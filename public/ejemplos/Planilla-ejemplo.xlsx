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isco ccc\Desktop\Metrados\"/>
    </mc:Choice>
  </mc:AlternateContent>
  <xr:revisionPtr revIDLastSave="0" documentId="13_ncr:1_{510804D0-6478-414E-9176-3E8D173371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B" sheetId="1" r:id="rId1"/>
    <sheet name="PLANILLA" sheetId="3" r:id="rId2"/>
  </sheets>
  <externalReferences>
    <externalReference r:id="rId3"/>
  </externalReferences>
  <definedNames>
    <definedName name="_xlnm._FilterDatabase" localSheetId="0" hidden="1">DB!$C$1:$C$875</definedName>
    <definedName name="LP">[1]Hoja1!$A$1:$F$38</definedName>
    <definedName name="LP_1">PLANILLA!$A$2:$AH$6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D3" i="3" s="1"/>
  <c r="C3" i="3"/>
  <c r="E3" i="3"/>
  <c r="F3" i="3"/>
  <c r="AC3" i="3" s="1"/>
  <c r="G3" i="3"/>
  <c r="H3" i="3"/>
  <c r="I3" i="3"/>
  <c r="J3" i="3"/>
  <c r="K3" i="3"/>
  <c r="M3" i="3"/>
  <c r="N3" i="3"/>
  <c r="L3" i="3" s="1"/>
  <c r="Q3" i="3"/>
  <c r="R3" i="3"/>
  <c r="S3" i="3"/>
  <c r="T3" i="3"/>
  <c r="U3" i="3"/>
  <c r="V3" i="3"/>
  <c r="W3" i="3"/>
  <c r="X3" i="3"/>
  <c r="Y3" i="3"/>
  <c r="Z3" i="3"/>
  <c r="AA3" i="3"/>
  <c r="AB3" i="3"/>
  <c r="AE3" i="3"/>
  <c r="AF3" i="3"/>
  <c r="AG3" i="3"/>
  <c r="A4" i="3"/>
  <c r="B4" i="3"/>
  <c r="D4" i="3" s="1"/>
  <c r="C4" i="3"/>
  <c r="E4" i="3"/>
  <c r="F4" i="3"/>
  <c r="AC4" i="3" s="1"/>
  <c r="G4" i="3"/>
  <c r="H4" i="3"/>
  <c r="I4" i="3"/>
  <c r="J4" i="3"/>
  <c r="K4" i="3"/>
  <c r="M4" i="3"/>
  <c r="N4" i="3"/>
  <c r="L4" i="3" s="1"/>
  <c r="Q4" i="3"/>
  <c r="R4" i="3"/>
  <c r="S4" i="3"/>
  <c r="T4" i="3"/>
  <c r="U4" i="3"/>
  <c r="V4" i="3"/>
  <c r="W4" i="3"/>
  <c r="X4" i="3"/>
  <c r="Y4" i="3"/>
  <c r="Z4" i="3"/>
  <c r="AA4" i="3"/>
  <c r="AB4" i="3"/>
  <c r="AE4" i="3"/>
  <c r="AF4" i="3"/>
  <c r="AG4" i="3"/>
  <c r="A5" i="3"/>
  <c r="B5" i="3"/>
  <c r="D5" i="3" s="1"/>
  <c r="C5" i="3"/>
  <c r="E5" i="3"/>
  <c r="F5" i="3"/>
  <c r="AC5" i="3" s="1"/>
  <c r="G5" i="3"/>
  <c r="H5" i="3"/>
  <c r="I5" i="3"/>
  <c r="J5" i="3"/>
  <c r="K5" i="3"/>
  <c r="M5" i="3"/>
  <c r="N5" i="3"/>
  <c r="L5" i="3" s="1"/>
  <c r="Q5" i="3"/>
  <c r="R5" i="3"/>
  <c r="S5" i="3"/>
  <c r="T5" i="3"/>
  <c r="U5" i="3"/>
  <c r="V5" i="3"/>
  <c r="W5" i="3"/>
  <c r="X5" i="3"/>
  <c r="Y5" i="3"/>
  <c r="Z5" i="3"/>
  <c r="AA5" i="3"/>
  <c r="AB5" i="3"/>
  <c r="AE5" i="3"/>
  <c r="AF5" i="3"/>
  <c r="AG5" i="3"/>
  <c r="A6" i="3"/>
  <c r="B6" i="3"/>
  <c r="D6" i="3" s="1"/>
  <c r="C6" i="3"/>
  <c r="E6" i="3"/>
  <c r="F6" i="3"/>
  <c r="AC6" i="3" s="1"/>
  <c r="G6" i="3"/>
  <c r="H6" i="3"/>
  <c r="I6" i="3"/>
  <c r="J6" i="3"/>
  <c r="K6" i="3"/>
  <c r="M6" i="3"/>
  <c r="N6" i="3"/>
  <c r="L6" i="3" s="1"/>
  <c r="Q6" i="3"/>
  <c r="R6" i="3"/>
  <c r="S6" i="3"/>
  <c r="T6" i="3"/>
  <c r="U6" i="3"/>
  <c r="V6" i="3"/>
  <c r="W6" i="3"/>
  <c r="X6" i="3"/>
  <c r="Y6" i="3"/>
  <c r="Z6" i="3"/>
  <c r="AA6" i="3"/>
  <c r="AB6" i="3"/>
  <c r="AE6" i="3"/>
  <c r="AF6" i="3"/>
  <c r="AG6" i="3"/>
  <c r="A7" i="3"/>
  <c r="B7" i="3"/>
  <c r="D7" i="3" s="1"/>
  <c r="C7" i="3"/>
  <c r="E7" i="3"/>
  <c r="F7" i="3"/>
  <c r="AC7" i="3" s="1"/>
  <c r="G7" i="3"/>
  <c r="H7" i="3"/>
  <c r="I7" i="3"/>
  <c r="J7" i="3"/>
  <c r="K7" i="3"/>
  <c r="M7" i="3"/>
  <c r="N7" i="3"/>
  <c r="L7" i="3" s="1"/>
  <c r="Q7" i="3"/>
  <c r="R7" i="3"/>
  <c r="S7" i="3"/>
  <c r="T7" i="3"/>
  <c r="U7" i="3"/>
  <c r="V7" i="3"/>
  <c r="W7" i="3"/>
  <c r="X7" i="3"/>
  <c r="Y7" i="3"/>
  <c r="Z7" i="3"/>
  <c r="AA7" i="3"/>
  <c r="AB7" i="3"/>
  <c r="AE7" i="3"/>
  <c r="AF7" i="3"/>
  <c r="AG7" i="3"/>
  <c r="A8" i="3"/>
  <c r="B8" i="3"/>
  <c r="D8" i="3" s="1"/>
  <c r="C8" i="3"/>
  <c r="E8" i="3"/>
  <c r="F8" i="3"/>
  <c r="AC8" i="3" s="1"/>
  <c r="G8" i="3"/>
  <c r="H8" i="3"/>
  <c r="I8" i="3"/>
  <c r="J8" i="3"/>
  <c r="K8" i="3"/>
  <c r="M8" i="3"/>
  <c r="N8" i="3"/>
  <c r="L8" i="3" s="1"/>
  <c r="Q8" i="3"/>
  <c r="R8" i="3"/>
  <c r="S8" i="3"/>
  <c r="T8" i="3"/>
  <c r="U8" i="3"/>
  <c r="V8" i="3"/>
  <c r="W8" i="3"/>
  <c r="X8" i="3"/>
  <c r="Y8" i="3"/>
  <c r="Z8" i="3"/>
  <c r="AA8" i="3"/>
  <c r="AB8" i="3"/>
  <c r="AE8" i="3"/>
  <c r="AF8" i="3"/>
  <c r="AG8" i="3"/>
  <c r="A9" i="3"/>
  <c r="B9" i="3"/>
  <c r="D9" i="3" s="1"/>
  <c r="C9" i="3"/>
  <c r="E9" i="3"/>
  <c r="F9" i="3"/>
  <c r="AC9" i="3" s="1"/>
  <c r="G9" i="3"/>
  <c r="H9" i="3"/>
  <c r="I9" i="3"/>
  <c r="J9" i="3"/>
  <c r="K9" i="3"/>
  <c r="M9" i="3"/>
  <c r="N9" i="3"/>
  <c r="L9" i="3" s="1"/>
  <c r="Q9" i="3"/>
  <c r="R9" i="3"/>
  <c r="S9" i="3"/>
  <c r="T9" i="3"/>
  <c r="U9" i="3"/>
  <c r="V9" i="3"/>
  <c r="W9" i="3"/>
  <c r="X9" i="3"/>
  <c r="Y9" i="3"/>
  <c r="Z9" i="3"/>
  <c r="AA9" i="3"/>
  <c r="AB9" i="3"/>
  <c r="AE9" i="3"/>
  <c r="AF9" i="3"/>
  <c r="AG9" i="3"/>
  <c r="A10" i="3"/>
  <c r="B10" i="3"/>
  <c r="D10" i="3" s="1"/>
  <c r="C10" i="3"/>
  <c r="E10" i="3"/>
  <c r="F10" i="3"/>
  <c r="AC10" i="3" s="1"/>
  <c r="G10" i="3"/>
  <c r="H10" i="3"/>
  <c r="I10" i="3"/>
  <c r="J10" i="3"/>
  <c r="K10" i="3"/>
  <c r="M10" i="3"/>
  <c r="N10" i="3"/>
  <c r="L10" i="3" s="1"/>
  <c r="Q10" i="3"/>
  <c r="R10" i="3"/>
  <c r="S10" i="3"/>
  <c r="T10" i="3"/>
  <c r="U10" i="3"/>
  <c r="V10" i="3"/>
  <c r="W10" i="3"/>
  <c r="X10" i="3"/>
  <c r="Y10" i="3"/>
  <c r="Z10" i="3"/>
  <c r="AA10" i="3"/>
  <c r="AB10" i="3"/>
  <c r="AE10" i="3"/>
  <c r="AF10" i="3"/>
  <c r="AG10" i="3"/>
  <c r="A11" i="3"/>
  <c r="B11" i="3"/>
  <c r="D11" i="3" s="1"/>
  <c r="C11" i="3"/>
  <c r="E11" i="3"/>
  <c r="F11" i="3"/>
  <c r="AC11" i="3" s="1"/>
  <c r="G11" i="3"/>
  <c r="H11" i="3"/>
  <c r="I11" i="3"/>
  <c r="J11" i="3"/>
  <c r="K11" i="3"/>
  <c r="M11" i="3"/>
  <c r="N11" i="3"/>
  <c r="L11" i="3" s="1"/>
  <c r="Q11" i="3"/>
  <c r="R11" i="3"/>
  <c r="S11" i="3"/>
  <c r="T11" i="3"/>
  <c r="U11" i="3"/>
  <c r="V11" i="3"/>
  <c r="W11" i="3"/>
  <c r="X11" i="3"/>
  <c r="Y11" i="3"/>
  <c r="Z11" i="3"/>
  <c r="AA11" i="3"/>
  <c r="AB11" i="3"/>
  <c r="AE11" i="3"/>
  <c r="AF11" i="3"/>
  <c r="AG11" i="3"/>
  <c r="A12" i="3"/>
  <c r="B12" i="3"/>
  <c r="D12" i="3" s="1"/>
  <c r="C12" i="3"/>
  <c r="E12" i="3"/>
  <c r="F12" i="3"/>
  <c r="AC12" i="3" s="1"/>
  <c r="G12" i="3"/>
  <c r="H12" i="3"/>
  <c r="I12" i="3"/>
  <c r="J12" i="3"/>
  <c r="K12" i="3"/>
  <c r="M12" i="3"/>
  <c r="N12" i="3"/>
  <c r="L12" i="3" s="1"/>
  <c r="Q12" i="3"/>
  <c r="R12" i="3"/>
  <c r="S12" i="3"/>
  <c r="T12" i="3"/>
  <c r="U12" i="3"/>
  <c r="V12" i="3"/>
  <c r="W12" i="3"/>
  <c r="X12" i="3"/>
  <c r="Y12" i="3"/>
  <c r="Z12" i="3"/>
  <c r="AA12" i="3"/>
  <c r="AB12" i="3"/>
  <c r="AE12" i="3"/>
  <c r="AF12" i="3"/>
  <c r="AG12" i="3"/>
  <c r="A13" i="3"/>
  <c r="B13" i="3"/>
  <c r="D13" i="3" s="1"/>
  <c r="C13" i="3"/>
  <c r="E13" i="3"/>
  <c r="F13" i="3"/>
  <c r="AC13" i="3" s="1"/>
  <c r="G13" i="3"/>
  <c r="H13" i="3"/>
  <c r="I13" i="3"/>
  <c r="J13" i="3"/>
  <c r="K13" i="3"/>
  <c r="M13" i="3"/>
  <c r="N13" i="3"/>
  <c r="L13" i="3" s="1"/>
  <c r="Q13" i="3"/>
  <c r="R13" i="3"/>
  <c r="S13" i="3"/>
  <c r="T13" i="3"/>
  <c r="U13" i="3"/>
  <c r="V13" i="3"/>
  <c r="W13" i="3"/>
  <c r="X13" i="3"/>
  <c r="Y13" i="3"/>
  <c r="Z13" i="3"/>
  <c r="AA13" i="3"/>
  <c r="AB13" i="3"/>
  <c r="AE13" i="3"/>
  <c r="AF13" i="3"/>
  <c r="AG13" i="3"/>
  <c r="A14" i="3"/>
  <c r="B14" i="3"/>
  <c r="D14" i="3" s="1"/>
  <c r="C14" i="3"/>
  <c r="E14" i="3"/>
  <c r="F14" i="3"/>
  <c r="AC14" i="3" s="1"/>
  <c r="G14" i="3"/>
  <c r="H14" i="3"/>
  <c r="I14" i="3"/>
  <c r="J14" i="3"/>
  <c r="K14" i="3"/>
  <c r="M14" i="3"/>
  <c r="N14" i="3"/>
  <c r="L14" i="3" s="1"/>
  <c r="Q14" i="3"/>
  <c r="R14" i="3"/>
  <c r="S14" i="3"/>
  <c r="T14" i="3"/>
  <c r="U14" i="3"/>
  <c r="V14" i="3"/>
  <c r="W14" i="3"/>
  <c r="X14" i="3"/>
  <c r="Y14" i="3"/>
  <c r="Z14" i="3"/>
  <c r="AA14" i="3"/>
  <c r="AB14" i="3"/>
  <c r="AE14" i="3"/>
  <c r="AF14" i="3"/>
  <c r="AG14" i="3"/>
  <c r="A15" i="3"/>
  <c r="B15" i="3"/>
  <c r="D15" i="3" s="1"/>
  <c r="C15" i="3"/>
  <c r="E15" i="3"/>
  <c r="F15" i="3"/>
  <c r="AC15" i="3" s="1"/>
  <c r="G15" i="3"/>
  <c r="H15" i="3"/>
  <c r="I15" i="3"/>
  <c r="J15" i="3"/>
  <c r="K15" i="3"/>
  <c r="M15" i="3"/>
  <c r="N15" i="3"/>
  <c r="L15" i="3" s="1"/>
  <c r="Q15" i="3"/>
  <c r="R15" i="3"/>
  <c r="S15" i="3"/>
  <c r="T15" i="3"/>
  <c r="U15" i="3"/>
  <c r="V15" i="3"/>
  <c r="W15" i="3"/>
  <c r="X15" i="3"/>
  <c r="Y15" i="3"/>
  <c r="Z15" i="3"/>
  <c r="AA15" i="3"/>
  <c r="AB15" i="3"/>
  <c r="AE15" i="3"/>
  <c r="AF15" i="3"/>
  <c r="AG15" i="3"/>
  <c r="A16" i="3"/>
  <c r="B16" i="3"/>
  <c r="D16" i="3" s="1"/>
  <c r="C16" i="3"/>
  <c r="E16" i="3"/>
  <c r="F16" i="3"/>
  <c r="AC16" i="3" s="1"/>
  <c r="G16" i="3"/>
  <c r="H16" i="3"/>
  <c r="I16" i="3"/>
  <c r="J16" i="3"/>
  <c r="K16" i="3"/>
  <c r="M16" i="3"/>
  <c r="N16" i="3"/>
  <c r="L16" i="3" s="1"/>
  <c r="Q16" i="3"/>
  <c r="R16" i="3"/>
  <c r="S16" i="3"/>
  <c r="T16" i="3"/>
  <c r="U16" i="3"/>
  <c r="V16" i="3"/>
  <c r="W16" i="3"/>
  <c r="X16" i="3"/>
  <c r="Y16" i="3"/>
  <c r="Z16" i="3"/>
  <c r="AA16" i="3"/>
  <c r="AB16" i="3"/>
  <c r="AE16" i="3"/>
  <c r="AF16" i="3"/>
  <c r="AG16" i="3"/>
  <c r="A17" i="3"/>
  <c r="B17" i="3"/>
  <c r="D17" i="3" s="1"/>
  <c r="C17" i="3"/>
  <c r="E17" i="3"/>
  <c r="F17" i="3"/>
  <c r="AC17" i="3" s="1"/>
  <c r="G17" i="3"/>
  <c r="H17" i="3"/>
  <c r="I17" i="3"/>
  <c r="J17" i="3"/>
  <c r="K17" i="3"/>
  <c r="M17" i="3"/>
  <c r="N17" i="3"/>
  <c r="L17" i="3" s="1"/>
  <c r="Q17" i="3"/>
  <c r="R17" i="3"/>
  <c r="S17" i="3"/>
  <c r="T17" i="3"/>
  <c r="U17" i="3"/>
  <c r="V17" i="3"/>
  <c r="W17" i="3"/>
  <c r="X17" i="3"/>
  <c r="Y17" i="3"/>
  <c r="Z17" i="3"/>
  <c r="AA17" i="3"/>
  <c r="AB17" i="3"/>
  <c r="AE17" i="3"/>
  <c r="AF17" i="3"/>
  <c r="AG17" i="3"/>
  <c r="A18" i="3"/>
  <c r="B18" i="3"/>
  <c r="D18" i="3" s="1"/>
  <c r="C18" i="3"/>
  <c r="E18" i="3"/>
  <c r="F18" i="3"/>
  <c r="AC18" i="3" s="1"/>
  <c r="G18" i="3"/>
  <c r="H18" i="3"/>
  <c r="I18" i="3"/>
  <c r="J18" i="3"/>
  <c r="K18" i="3"/>
  <c r="M18" i="3"/>
  <c r="N18" i="3"/>
  <c r="L18" i="3" s="1"/>
  <c r="Q18" i="3"/>
  <c r="R18" i="3"/>
  <c r="S18" i="3"/>
  <c r="T18" i="3"/>
  <c r="U18" i="3"/>
  <c r="V18" i="3"/>
  <c r="W18" i="3"/>
  <c r="X18" i="3"/>
  <c r="Y18" i="3"/>
  <c r="Z18" i="3"/>
  <c r="AA18" i="3"/>
  <c r="AB18" i="3"/>
  <c r="AE18" i="3"/>
  <c r="AF18" i="3"/>
  <c r="AG18" i="3"/>
  <c r="A19" i="3"/>
  <c r="B19" i="3"/>
  <c r="D19" i="3" s="1"/>
  <c r="C19" i="3"/>
  <c r="E19" i="3"/>
  <c r="F19" i="3"/>
  <c r="AC19" i="3" s="1"/>
  <c r="G19" i="3"/>
  <c r="H19" i="3"/>
  <c r="I19" i="3"/>
  <c r="J19" i="3"/>
  <c r="K19" i="3"/>
  <c r="M19" i="3"/>
  <c r="N19" i="3"/>
  <c r="L19" i="3" s="1"/>
  <c r="Q19" i="3"/>
  <c r="R19" i="3"/>
  <c r="S19" i="3"/>
  <c r="T19" i="3"/>
  <c r="U19" i="3"/>
  <c r="V19" i="3"/>
  <c r="W19" i="3"/>
  <c r="X19" i="3"/>
  <c r="Y19" i="3"/>
  <c r="Z19" i="3"/>
  <c r="AA19" i="3"/>
  <c r="AB19" i="3"/>
  <c r="AE19" i="3"/>
  <c r="AF19" i="3"/>
  <c r="AG19" i="3"/>
  <c r="A20" i="3"/>
  <c r="B20" i="3"/>
  <c r="D20" i="3" s="1"/>
  <c r="C20" i="3"/>
  <c r="E20" i="3"/>
  <c r="F20" i="3"/>
  <c r="AC20" i="3" s="1"/>
  <c r="G20" i="3"/>
  <c r="H20" i="3"/>
  <c r="I20" i="3"/>
  <c r="J20" i="3"/>
  <c r="K20" i="3"/>
  <c r="M20" i="3"/>
  <c r="N20" i="3"/>
  <c r="L20" i="3" s="1"/>
  <c r="Q20" i="3"/>
  <c r="R20" i="3"/>
  <c r="S20" i="3"/>
  <c r="T20" i="3"/>
  <c r="U20" i="3"/>
  <c r="V20" i="3"/>
  <c r="W20" i="3"/>
  <c r="X20" i="3"/>
  <c r="Y20" i="3"/>
  <c r="Z20" i="3"/>
  <c r="AA20" i="3"/>
  <c r="AB20" i="3"/>
  <c r="AE20" i="3"/>
  <c r="AF20" i="3"/>
  <c r="AG20" i="3"/>
  <c r="A21" i="3"/>
  <c r="B21" i="3"/>
  <c r="D21" i="3" s="1"/>
  <c r="C21" i="3"/>
  <c r="E21" i="3"/>
  <c r="F21" i="3"/>
  <c r="AC21" i="3" s="1"/>
  <c r="G21" i="3"/>
  <c r="H21" i="3"/>
  <c r="I21" i="3"/>
  <c r="J21" i="3"/>
  <c r="K21" i="3"/>
  <c r="M21" i="3"/>
  <c r="N21" i="3"/>
  <c r="L21" i="3" s="1"/>
  <c r="Q21" i="3"/>
  <c r="R21" i="3"/>
  <c r="S21" i="3"/>
  <c r="T21" i="3"/>
  <c r="U21" i="3"/>
  <c r="V21" i="3"/>
  <c r="W21" i="3"/>
  <c r="X21" i="3"/>
  <c r="Y21" i="3"/>
  <c r="Z21" i="3"/>
  <c r="AA21" i="3"/>
  <c r="AB21" i="3"/>
  <c r="AE21" i="3"/>
  <c r="AF21" i="3"/>
  <c r="AG21" i="3"/>
  <c r="A22" i="3"/>
  <c r="B22" i="3"/>
  <c r="D22" i="3" s="1"/>
  <c r="C22" i="3"/>
  <c r="E22" i="3"/>
  <c r="F22" i="3"/>
  <c r="AC22" i="3" s="1"/>
  <c r="G22" i="3"/>
  <c r="H22" i="3"/>
  <c r="I22" i="3"/>
  <c r="J22" i="3"/>
  <c r="K22" i="3"/>
  <c r="M22" i="3"/>
  <c r="N22" i="3"/>
  <c r="L22" i="3" s="1"/>
  <c r="Q22" i="3"/>
  <c r="R22" i="3"/>
  <c r="S22" i="3"/>
  <c r="T22" i="3"/>
  <c r="U22" i="3"/>
  <c r="V22" i="3"/>
  <c r="W22" i="3"/>
  <c r="X22" i="3"/>
  <c r="Y22" i="3"/>
  <c r="Z22" i="3"/>
  <c r="AA22" i="3"/>
  <c r="AB22" i="3"/>
  <c r="AE22" i="3"/>
  <c r="AF22" i="3"/>
  <c r="AG22" i="3"/>
  <c r="A23" i="3"/>
  <c r="B23" i="3"/>
  <c r="D23" i="3" s="1"/>
  <c r="C23" i="3"/>
  <c r="E23" i="3"/>
  <c r="F23" i="3"/>
  <c r="AC23" i="3" s="1"/>
  <c r="G23" i="3"/>
  <c r="H23" i="3"/>
  <c r="I23" i="3"/>
  <c r="J23" i="3"/>
  <c r="K23" i="3"/>
  <c r="M23" i="3"/>
  <c r="N23" i="3"/>
  <c r="L23" i="3" s="1"/>
  <c r="Q23" i="3"/>
  <c r="R23" i="3"/>
  <c r="S23" i="3"/>
  <c r="T23" i="3"/>
  <c r="U23" i="3"/>
  <c r="V23" i="3"/>
  <c r="W23" i="3"/>
  <c r="X23" i="3"/>
  <c r="Y23" i="3"/>
  <c r="Z23" i="3"/>
  <c r="AA23" i="3"/>
  <c r="AB23" i="3"/>
  <c r="AE23" i="3"/>
  <c r="AF23" i="3"/>
  <c r="AG23" i="3"/>
  <c r="A24" i="3"/>
  <c r="B24" i="3"/>
  <c r="D24" i="3" s="1"/>
  <c r="C24" i="3"/>
  <c r="E24" i="3"/>
  <c r="F24" i="3"/>
  <c r="AC24" i="3" s="1"/>
  <c r="G24" i="3"/>
  <c r="H24" i="3"/>
  <c r="I24" i="3"/>
  <c r="J24" i="3"/>
  <c r="K24" i="3"/>
  <c r="M24" i="3"/>
  <c r="N24" i="3"/>
  <c r="L24" i="3" s="1"/>
  <c r="Q24" i="3"/>
  <c r="R24" i="3"/>
  <c r="S24" i="3"/>
  <c r="T24" i="3"/>
  <c r="U24" i="3"/>
  <c r="V24" i="3"/>
  <c r="W24" i="3"/>
  <c r="X24" i="3"/>
  <c r="Y24" i="3"/>
  <c r="Z24" i="3"/>
  <c r="AA24" i="3"/>
  <c r="AB24" i="3"/>
  <c r="AE24" i="3"/>
  <c r="AF24" i="3"/>
  <c r="AG24" i="3"/>
  <c r="A25" i="3"/>
  <c r="B25" i="3"/>
  <c r="D25" i="3" s="1"/>
  <c r="C25" i="3"/>
  <c r="E25" i="3"/>
  <c r="F25" i="3"/>
  <c r="AC25" i="3" s="1"/>
  <c r="G25" i="3"/>
  <c r="H25" i="3"/>
  <c r="I25" i="3"/>
  <c r="J25" i="3"/>
  <c r="K25" i="3"/>
  <c r="M25" i="3"/>
  <c r="N25" i="3"/>
  <c r="L25" i="3" s="1"/>
  <c r="Q25" i="3"/>
  <c r="R25" i="3"/>
  <c r="S25" i="3"/>
  <c r="T25" i="3"/>
  <c r="U25" i="3"/>
  <c r="V25" i="3"/>
  <c r="W25" i="3"/>
  <c r="X25" i="3"/>
  <c r="Y25" i="3"/>
  <c r="Z25" i="3"/>
  <c r="AA25" i="3"/>
  <c r="AB25" i="3"/>
  <c r="AE25" i="3"/>
  <c r="AF25" i="3"/>
  <c r="AG25" i="3"/>
  <c r="A26" i="3"/>
  <c r="B26" i="3"/>
  <c r="D26" i="3" s="1"/>
  <c r="C26" i="3"/>
  <c r="E26" i="3"/>
  <c r="F26" i="3"/>
  <c r="AC26" i="3" s="1"/>
  <c r="G26" i="3"/>
  <c r="H26" i="3"/>
  <c r="I26" i="3"/>
  <c r="J26" i="3"/>
  <c r="K26" i="3"/>
  <c r="M26" i="3"/>
  <c r="N26" i="3"/>
  <c r="L26" i="3" s="1"/>
  <c r="Q26" i="3"/>
  <c r="R26" i="3"/>
  <c r="S26" i="3"/>
  <c r="T26" i="3"/>
  <c r="U26" i="3"/>
  <c r="V26" i="3"/>
  <c r="W26" i="3"/>
  <c r="X26" i="3"/>
  <c r="Y26" i="3"/>
  <c r="Z26" i="3"/>
  <c r="AA26" i="3"/>
  <c r="AB26" i="3"/>
  <c r="AE26" i="3"/>
  <c r="AF26" i="3"/>
  <c r="AG26" i="3"/>
  <c r="A27" i="3"/>
  <c r="B27" i="3"/>
  <c r="D27" i="3" s="1"/>
  <c r="C27" i="3"/>
  <c r="E27" i="3"/>
  <c r="F27" i="3"/>
  <c r="AC27" i="3" s="1"/>
  <c r="G27" i="3"/>
  <c r="H27" i="3"/>
  <c r="I27" i="3"/>
  <c r="J27" i="3"/>
  <c r="K27" i="3"/>
  <c r="M27" i="3"/>
  <c r="N27" i="3"/>
  <c r="L27" i="3" s="1"/>
  <c r="Q27" i="3"/>
  <c r="R27" i="3"/>
  <c r="S27" i="3"/>
  <c r="T27" i="3"/>
  <c r="U27" i="3"/>
  <c r="V27" i="3"/>
  <c r="W27" i="3"/>
  <c r="X27" i="3"/>
  <c r="Y27" i="3"/>
  <c r="Z27" i="3"/>
  <c r="AA27" i="3"/>
  <c r="AB27" i="3"/>
  <c r="AE27" i="3"/>
  <c r="AF27" i="3"/>
  <c r="AG27" i="3"/>
  <c r="A28" i="3"/>
  <c r="B28" i="3"/>
  <c r="D28" i="3" s="1"/>
  <c r="C28" i="3"/>
  <c r="E28" i="3"/>
  <c r="F28" i="3"/>
  <c r="AC28" i="3" s="1"/>
  <c r="G28" i="3"/>
  <c r="H28" i="3"/>
  <c r="I28" i="3"/>
  <c r="J28" i="3"/>
  <c r="K28" i="3"/>
  <c r="M28" i="3"/>
  <c r="N28" i="3"/>
  <c r="L28" i="3" s="1"/>
  <c r="Q28" i="3"/>
  <c r="R28" i="3"/>
  <c r="S28" i="3"/>
  <c r="T28" i="3"/>
  <c r="U28" i="3"/>
  <c r="V28" i="3"/>
  <c r="W28" i="3"/>
  <c r="X28" i="3"/>
  <c r="Y28" i="3"/>
  <c r="Z28" i="3"/>
  <c r="AA28" i="3"/>
  <c r="AB28" i="3"/>
  <c r="AE28" i="3"/>
  <c r="AF28" i="3"/>
  <c r="AG28" i="3"/>
  <c r="A29" i="3"/>
  <c r="B29" i="3"/>
  <c r="D29" i="3" s="1"/>
  <c r="C29" i="3"/>
  <c r="E29" i="3"/>
  <c r="F29" i="3"/>
  <c r="AC29" i="3" s="1"/>
  <c r="G29" i="3"/>
  <c r="H29" i="3"/>
  <c r="I29" i="3"/>
  <c r="J29" i="3"/>
  <c r="K29" i="3"/>
  <c r="M29" i="3"/>
  <c r="N29" i="3"/>
  <c r="L29" i="3" s="1"/>
  <c r="Q29" i="3"/>
  <c r="R29" i="3"/>
  <c r="S29" i="3"/>
  <c r="T29" i="3"/>
  <c r="U29" i="3"/>
  <c r="V29" i="3"/>
  <c r="W29" i="3"/>
  <c r="X29" i="3"/>
  <c r="Y29" i="3"/>
  <c r="Z29" i="3"/>
  <c r="AA29" i="3"/>
  <c r="AB29" i="3"/>
  <c r="AE29" i="3"/>
  <c r="AF29" i="3"/>
  <c r="AG29" i="3"/>
  <c r="A30" i="3"/>
  <c r="B30" i="3"/>
  <c r="D30" i="3" s="1"/>
  <c r="C30" i="3"/>
  <c r="E30" i="3"/>
  <c r="F30" i="3"/>
  <c r="AC30" i="3" s="1"/>
  <c r="G30" i="3"/>
  <c r="H30" i="3"/>
  <c r="I30" i="3"/>
  <c r="J30" i="3"/>
  <c r="K30" i="3"/>
  <c r="M30" i="3"/>
  <c r="N30" i="3"/>
  <c r="L30" i="3" s="1"/>
  <c r="Q30" i="3"/>
  <c r="R30" i="3"/>
  <c r="S30" i="3"/>
  <c r="T30" i="3"/>
  <c r="U30" i="3"/>
  <c r="V30" i="3"/>
  <c r="W30" i="3"/>
  <c r="X30" i="3"/>
  <c r="Y30" i="3"/>
  <c r="Z30" i="3"/>
  <c r="AA30" i="3"/>
  <c r="AB30" i="3"/>
  <c r="AE30" i="3"/>
  <c r="AF30" i="3"/>
  <c r="AG30" i="3"/>
  <c r="A31" i="3"/>
  <c r="B31" i="3"/>
  <c r="D31" i="3" s="1"/>
  <c r="C31" i="3"/>
  <c r="E31" i="3"/>
  <c r="F31" i="3"/>
  <c r="AC31" i="3" s="1"/>
  <c r="G31" i="3"/>
  <c r="H31" i="3"/>
  <c r="I31" i="3"/>
  <c r="J31" i="3"/>
  <c r="K31" i="3"/>
  <c r="M31" i="3"/>
  <c r="N31" i="3"/>
  <c r="L31" i="3" s="1"/>
  <c r="Q31" i="3"/>
  <c r="R31" i="3"/>
  <c r="S31" i="3"/>
  <c r="T31" i="3"/>
  <c r="U31" i="3"/>
  <c r="V31" i="3"/>
  <c r="W31" i="3"/>
  <c r="X31" i="3"/>
  <c r="Y31" i="3"/>
  <c r="Z31" i="3"/>
  <c r="AA31" i="3"/>
  <c r="AB31" i="3"/>
  <c r="AE31" i="3"/>
  <c r="AF31" i="3"/>
  <c r="AG31" i="3"/>
  <c r="A32" i="3"/>
  <c r="B32" i="3"/>
  <c r="D32" i="3" s="1"/>
  <c r="C32" i="3"/>
  <c r="E32" i="3"/>
  <c r="F32" i="3"/>
  <c r="AC32" i="3" s="1"/>
  <c r="G32" i="3"/>
  <c r="H32" i="3"/>
  <c r="I32" i="3"/>
  <c r="J32" i="3"/>
  <c r="K32" i="3"/>
  <c r="M32" i="3"/>
  <c r="N32" i="3"/>
  <c r="L32" i="3" s="1"/>
  <c r="Q32" i="3"/>
  <c r="R32" i="3"/>
  <c r="S32" i="3"/>
  <c r="T32" i="3"/>
  <c r="U32" i="3"/>
  <c r="V32" i="3"/>
  <c r="W32" i="3"/>
  <c r="X32" i="3"/>
  <c r="Y32" i="3"/>
  <c r="Z32" i="3"/>
  <c r="AA32" i="3"/>
  <c r="AB32" i="3"/>
  <c r="AE32" i="3"/>
  <c r="AF32" i="3"/>
  <c r="AG32" i="3"/>
  <c r="A33" i="3"/>
  <c r="B33" i="3"/>
  <c r="D33" i="3" s="1"/>
  <c r="C33" i="3"/>
  <c r="E33" i="3"/>
  <c r="F33" i="3"/>
  <c r="AC33" i="3" s="1"/>
  <c r="G33" i="3"/>
  <c r="H33" i="3"/>
  <c r="I33" i="3"/>
  <c r="J33" i="3"/>
  <c r="K33" i="3"/>
  <c r="M33" i="3"/>
  <c r="N33" i="3"/>
  <c r="L33" i="3" s="1"/>
  <c r="Q33" i="3"/>
  <c r="R33" i="3"/>
  <c r="S33" i="3"/>
  <c r="T33" i="3"/>
  <c r="U33" i="3"/>
  <c r="V33" i="3"/>
  <c r="W33" i="3"/>
  <c r="X33" i="3"/>
  <c r="Y33" i="3"/>
  <c r="Z33" i="3"/>
  <c r="AA33" i="3"/>
  <c r="AB33" i="3"/>
  <c r="AE33" i="3"/>
  <c r="AF33" i="3"/>
  <c r="AG33" i="3"/>
  <c r="A34" i="3"/>
  <c r="B34" i="3"/>
  <c r="D34" i="3" s="1"/>
  <c r="C34" i="3"/>
  <c r="E34" i="3"/>
  <c r="F34" i="3"/>
  <c r="AC34" i="3" s="1"/>
  <c r="G34" i="3"/>
  <c r="H34" i="3"/>
  <c r="I34" i="3"/>
  <c r="J34" i="3"/>
  <c r="K34" i="3"/>
  <c r="M34" i="3"/>
  <c r="N34" i="3"/>
  <c r="L34" i="3" s="1"/>
  <c r="Q34" i="3"/>
  <c r="R34" i="3"/>
  <c r="S34" i="3"/>
  <c r="T34" i="3"/>
  <c r="U34" i="3"/>
  <c r="V34" i="3"/>
  <c r="W34" i="3"/>
  <c r="X34" i="3"/>
  <c r="Y34" i="3"/>
  <c r="Z34" i="3"/>
  <c r="AA34" i="3"/>
  <c r="AB34" i="3"/>
  <c r="AE34" i="3"/>
  <c r="AF34" i="3"/>
  <c r="AG34" i="3"/>
  <c r="A35" i="3"/>
  <c r="B35" i="3"/>
  <c r="D35" i="3" s="1"/>
  <c r="C35" i="3"/>
  <c r="E35" i="3"/>
  <c r="F35" i="3"/>
  <c r="AC35" i="3" s="1"/>
  <c r="G35" i="3"/>
  <c r="H35" i="3"/>
  <c r="I35" i="3"/>
  <c r="J35" i="3"/>
  <c r="K35" i="3"/>
  <c r="M35" i="3"/>
  <c r="N35" i="3"/>
  <c r="L35" i="3" s="1"/>
  <c r="Q35" i="3"/>
  <c r="R35" i="3"/>
  <c r="S35" i="3"/>
  <c r="T35" i="3"/>
  <c r="U35" i="3"/>
  <c r="V35" i="3"/>
  <c r="W35" i="3"/>
  <c r="X35" i="3"/>
  <c r="Y35" i="3"/>
  <c r="Z35" i="3"/>
  <c r="AA35" i="3"/>
  <c r="AB35" i="3"/>
  <c r="AE35" i="3"/>
  <c r="AF35" i="3"/>
  <c r="AG35" i="3"/>
  <c r="A36" i="3"/>
  <c r="B36" i="3"/>
  <c r="D36" i="3" s="1"/>
  <c r="C36" i="3"/>
  <c r="E36" i="3"/>
  <c r="F36" i="3"/>
  <c r="AC36" i="3" s="1"/>
  <c r="G36" i="3"/>
  <c r="H36" i="3"/>
  <c r="I36" i="3"/>
  <c r="J36" i="3"/>
  <c r="K36" i="3"/>
  <c r="M36" i="3"/>
  <c r="N36" i="3"/>
  <c r="L36" i="3" s="1"/>
  <c r="Q36" i="3"/>
  <c r="R36" i="3"/>
  <c r="S36" i="3"/>
  <c r="T36" i="3"/>
  <c r="U36" i="3"/>
  <c r="V36" i="3"/>
  <c r="W36" i="3"/>
  <c r="X36" i="3"/>
  <c r="Y36" i="3"/>
  <c r="Z36" i="3"/>
  <c r="AA36" i="3"/>
  <c r="AB36" i="3"/>
  <c r="AE36" i="3"/>
  <c r="AF36" i="3"/>
  <c r="AG36" i="3"/>
  <c r="A37" i="3"/>
  <c r="B37" i="3"/>
  <c r="D37" i="3" s="1"/>
  <c r="C37" i="3"/>
  <c r="E37" i="3"/>
  <c r="F37" i="3"/>
  <c r="AC37" i="3" s="1"/>
  <c r="G37" i="3"/>
  <c r="H37" i="3"/>
  <c r="I37" i="3"/>
  <c r="J37" i="3"/>
  <c r="K37" i="3"/>
  <c r="M37" i="3"/>
  <c r="N37" i="3"/>
  <c r="L37" i="3" s="1"/>
  <c r="Q37" i="3"/>
  <c r="R37" i="3"/>
  <c r="S37" i="3"/>
  <c r="T37" i="3"/>
  <c r="U37" i="3"/>
  <c r="V37" i="3"/>
  <c r="W37" i="3"/>
  <c r="X37" i="3"/>
  <c r="Y37" i="3"/>
  <c r="Z37" i="3"/>
  <c r="AA37" i="3"/>
  <c r="AB37" i="3"/>
  <c r="AE37" i="3"/>
  <c r="AF37" i="3"/>
  <c r="AG37" i="3"/>
  <c r="A38" i="3"/>
  <c r="B38" i="3"/>
  <c r="D38" i="3" s="1"/>
  <c r="C38" i="3"/>
  <c r="E38" i="3"/>
  <c r="F38" i="3"/>
  <c r="AC38" i="3" s="1"/>
  <c r="G38" i="3"/>
  <c r="H38" i="3"/>
  <c r="I38" i="3"/>
  <c r="J38" i="3"/>
  <c r="K38" i="3"/>
  <c r="M38" i="3"/>
  <c r="N38" i="3"/>
  <c r="L38" i="3" s="1"/>
  <c r="Q38" i="3"/>
  <c r="R38" i="3"/>
  <c r="S38" i="3"/>
  <c r="T38" i="3"/>
  <c r="U38" i="3"/>
  <c r="V38" i="3"/>
  <c r="W38" i="3"/>
  <c r="X38" i="3"/>
  <c r="Y38" i="3"/>
  <c r="Z38" i="3"/>
  <c r="AA38" i="3"/>
  <c r="AB38" i="3"/>
  <c r="AE38" i="3"/>
  <c r="AF38" i="3"/>
  <c r="AG38" i="3"/>
  <c r="A39" i="3"/>
  <c r="B39" i="3"/>
  <c r="D39" i="3" s="1"/>
  <c r="C39" i="3"/>
  <c r="E39" i="3"/>
  <c r="F39" i="3"/>
  <c r="AC39" i="3" s="1"/>
  <c r="G39" i="3"/>
  <c r="H39" i="3"/>
  <c r="I39" i="3"/>
  <c r="J39" i="3"/>
  <c r="K39" i="3"/>
  <c r="M39" i="3"/>
  <c r="N39" i="3"/>
  <c r="L39" i="3" s="1"/>
  <c r="Q39" i="3"/>
  <c r="R39" i="3"/>
  <c r="S39" i="3"/>
  <c r="T39" i="3"/>
  <c r="U39" i="3"/>
  <c r="V39" i="3"/>
  <c r="W39" i="3"/>
  <c r="X39" i="3"/>
  <c r="Y39" i="3"/>
  <c r="Z39" i="3"/>
  <c r="AA39" i="3"/>
  <c r="AB39" i="3"/>
  <c r="AE39" i="3"/>
  <c r="AF39" i="3"/>
  <c r="AG39" i="3"/>
  <c r="A40" i="3"/>
  <c r="B40" i="3"/>
  <c r="D40" i="3" s="1"/>
  <c r="C40" i="3"/>
  <c r="E40" i="3"/>
  <c r="F40" i="3"/>
  <c r="AC40" i="3" s="1"/>
  <c r="G40" i="3"/>
  <c r="H40" i="3"/>
  <c r="I40" i="3"/>
  <c r="J40" i="3"/>
  <c r="K40" i="3"/>
  <c r="M40" i="3"/>
  <c r="N40" i="3"/>
  <c r="L40" i="3" s="1"/>
  <c r="Q40" i="3"/>
  <c r="R40" i="3"/>
  <c r="S40" i="3"/>
  <c r="T40" i="3"/>
  <c r="U40" i="3"/>
  <c r="V40" i="3"/>
  <c r="W40" i="3"/>
  <c r="X40" i="3"/>
  <c r="Y40" i="3"/>
  <c r="Z40" i="3"/>
  <c r="AA40" i="3"/>
  <c r="AB40" i="3"/>
  <c r="AE40" i="3"/>
  <c r="AF40" i="3"/>
  <c r="AG40" i="3"/>
  <c r="A41" i="3"/>
  <c r="B41" i="3"/>
  <c r="D41" i="3" s="1"/>
  <c r="C41" i="3"/>
  <c r="E41" i="3"/>
  <c r="F41" i="3"/>
  <c r="AC41" i="3" s="1"/>
  <c r="G41" i="3"/>
  <c r="H41" i="3"/>
  <c r="I41" i="3"/>
  <c r="J41" i="3"/>
  <c r="K41" i="3"/>
  <c r="M41" i="3"/>
  <c r="N41" i="3"/>
  <c r="L41" i="3" s="1"/>
  <c r="Q41" i="3"/>
  <c r="R41" i="3"/>
  <c r="S41" i="3"/>
  <c r="T41" i="3"/>
  <c r="U41" i="3"/>
  <c r="V41" i="3"/>
  <c r="W41" i="3"/>
  <c r="X41" i="3"/>
  <c r="Y41" i="3"/>
  <c r="Z41" i="3"/>
  <c r="AA41" i="3"/>
  <c r="AB41" i="3"/>
  <c r="AE41" i="3"/>
  <c r="AF41" i="3"/>
  <c r="AG41" i="3"/>
  <c r="A42" i="3"/>
  <c r="B42" i="3"/>
  <c r="D42" i="3" s="1"/>
  <c r="C42" i="3"/>
  <c r="E42" i="3"/>
  <c r="F42" i="3"/>
  <c r="AC42" i="3" s="1"/>
  <c r="G42" i="3"/>
  <c r="H42" i="3"/>
  <c r="I42" i="3"/>
  <c r="J42" i="3"/>
  <c r="K42" i="3"/>
  <c r="M42" i="3"/>
  <c r="N42" i="3"/>
  <c r="L42" i="3" s="1"/>
  <c r="Q42" i="3"/>
  <c r="R42" i="3"/>
  <c r="S42" i="3"/>
  <c r="T42" i="3"/>
  <c r="U42" i="3"/>
  <c r="V42" i="3"/>
  <c r="W42" i="3"/>
  <c r="X42" i="3"/>
  <c r="Y42" i="3"/>
  <c r="Z42" i="3"/>
  <c r="AA42" i="3"/>
  <c r="AB42" i="3"/>
  <c r="AE42" i="3"/>
  <c r="AF42" i="3"/>
  <c r="AG42" i="3"/>
  <c r="A43" i="3"/>
  <c r="B43" i="3"/>
  <c r="D43" i="3" s="1"/>
  <c r="C43" i="3"/>
  <c r="E43" i="3"/>
  <c r="F43" i="3"/>
  <c r="AC43" i="3" s="1"/>
  <c r="G43" i="3"/>
  <c r="H43" i="3"/>
  <c r="I43" i="3"/>
  <c r="J43" i="3"/>
  <c r="K43" i="3"/>
  <c r="M43" i="3"/>
  <c r="N43" i="3"/>
  <c r="L43" i="3" s="1"/>
  <c r="Q43" i="3"/>
  <c r="R43" i="3"/>
  <c r="S43" i="3"/>
  <c r="T43" i="3"/>
  <c r="U43" i="3"/>
  <c r="V43" i="3"/>
  <c r="W43" i="3"/>
  <c r="X43" i="3"/>
  <c r="Y43" i="3"/>
  <c r="Z43" i="3"/>
  <c r="AA43" i="3"/>
  <c r="AB43" i="3"/>
  <c r="AE43" i="3"/>
  <c r="AF43" i="3"/>
  <c r="AG43" i="3"/>
  <c r="A44" i="3"/>
  <c r="B44" i="3"/>
  <c r="D44" i="3" s="1"/>
  <c r="C44" i="3"/>
  <c r="E44" i="3"/>
  <c r="F44" i="3"/>
  <c r="AC44" i="3" s="1"/>
  <c r="G44" i="3"/>
  <c r="H44" i="3"/>
  <c r="I44" i="3"/>
  <c r="J44" i="3"/>
  <c r="K44" i="3"/>
  <c r="M44" i="3"/>
  <c r="N44" i="3"/>
  <c r="L44" i="3" s="1"/>
  <c r="Q44" i="3"/>
  <c r="R44" i="3"/>
  <c r="S44" i="3"/>
  <c r="T44" i="3"/>
  <c r="U44" i="3"/>
  <c r="V44" i="3"/>
  <c r="W44" i="3"/>
  <c r="X44" i="3"/>
  <c r="Y44" i="3"/>
  <c r="Z44" i="3"/>
  <c r="AA44" i="3"/>
  <c r="AB44" i="3"/>
  <c r="AE44" i="3"/>
  <c r="AF44" i="3"/>
  <c r="AG44" i="3"/>
  <c r="A45" i="3"/>
  <c r="B45" i="3"/>
  <c r="D45" i="3" s="1"/>
  <c r="C45" i="3"/>
  <c r="E45" i="3"/>
  <c r="F45" i="3"/>
  <c r="AC45" i="3" s="1"/>
  <c r="G45" i="3"/>
  <c r="H45" i="3"/>
  <c r="I45" i="3"/>
  <c r="J45" i="3"/>
  <c r="K45" i="3"/>
  <c r="M45" i="3"/>
  <c r="N45" i="3"/>
  <c r="L45" i="3" s="1"/>
  <c r="Q45" i="3"/>
  <c r="R45" i="3"/>
  <c r="S45" i="3"/>
  <c r="T45" i="3"/>
  <c r="U45" i="3"/>
  <c r="V45" i="3"/>
  <c r="W45" i="3"/>
  <c r="X45" i="3"/>
  <c r="Y45" i="3"/>
  <c r="Z45" i="3"/>
  <c r="AA45" i="3"/>
  <c r="AB45" i="3"/>
  <c r="AE45" i="3"/>
  <c r="AF45" i="3"/>
  <c r="AG45" i="3"/>
  <c r="A46" i="3"/>
  <c r="B46" i="3"/>
  <c r="D46" i="3" s="1"/>
  <c r="C46" i="3"/>
  <c r="E46" i="3"/>
  <c r="F46" i="3"/>
  <c r="AC46" i="3" s="1"/>
  <c r="G46" i="3"/>
  <c r="H46" i="3"/>
  <c r="I46" i="3"/>
  <c r="J46" i="3"/>
  <c r="K46" i="3"/>
  <c r="M46" i="3"/>
  <c r="N46" i="3"/>
  <c r="L46" i="3" s="1"/>
  <c r="Q46" i="3"/>
  <c r="R46" i="3"/>
  <c r="S46" i="3"/>
  <c r="T46" i="3"/>
  <c r="U46" i="3"/>
  <c r="V46" i="3"/>
  <c r="W46" i="3"/>
  <c r="X46" i="3"/>
  <c r="Y46" i="3"/>
  <c r="Z46" i="3"/>
  <c r="AA46" i="3"/>
  <c r="AB46" i="3"/>
  <c r="AE46" i="3"/>
  <c r="AF46" i="3"/>
  <c r="AG46" i="3"/>
  <c r="A47" i="3"/>
  <c r="B47" i="3"/>
  <c r="D47" i="3" s="1"/>
  <c r="C47" i="3"/>
  <c r="E47" i="3"/>
  <c r="F47" i="3"/>
  <c r="AC47" i="3" s="1"/>
  <c r="G47" i="3"/>
  <c r="H47" i="3"/>
  <c r="I47" i="3"/>
  <c r="J47" i="3"/>
  <c r="K47" i="3"/>
  <c r="M47" i="3"/>
  <c r="N47" i="3"/>
  <c r="L47" i="3" s="1"/>
  <c r="Q47" i="3"/>
  <c r="R47" i="3"/>
  <c r="S47" i="3"/>
  <c r="T47" i="3"/>
  <c r="U47" i="3"/>
  <c r="V47" i="3"/>
  <c r="W47" i="3"/>
  <c r="X47" i="3"/>
  <c r="Y47" i="3"/>
  <c r="Z47" i="3"/>
  <c r="AA47" i="3"/>
  <c r="AB47" i="3"/>
  <c r="AE47" i="3"/>
  <c r="AF47" i="3"/>
  <c r="AG47" i="3"/>
  <c r="A48" i="3"/>
  <c r="B48" i="3"/>
  <c r="D48" i="3" s="1"/>
  <c r="C48" i="3"/>
  <c r="E48" i="3"/>
  <c r="F48" i="3"/>
  <c r="AC48" i="3" s="1"/>
  <c r="G48" i="3"/>
  <c r="H48" i="3"/>
  <c r="I48" i="3"/>
  <c r="J48" i="3"/>
  <c r="K48" i="3"/>
  <c r="M48" i="3"/>
  <c r="N48" i="3"/>
  <c r="L48" i="3" s="1"/>
  <c r="Q48" i="3"/>
  <c r="R48" i="3"/>
  <c r="S48" i="3"/>
  <c r="T48" i="3"/>
  <c r="U48" i="3"/>
  <c r="V48" i="3"/>
  <c r="W48" i="3"/>
  <c r="X48" i="3"/>
  <c r="Y48" i="3"/>
  <c r="Z48" i="3"/>
  <c r="AA48" i="3"/>
  <c r="AB48" i="3"/>
  <c r="AE48" i="3"/>
  <c r="AF48" i="3"/>
  <c r="AG48" i="3"/>
  <c r="A49" i="3"/>
  <c r="B49" i="3"/>
  <c r="D49" i="3" s="1"/>
  <c r="C49" i="3"/>
  <c r="E49" i="3"/>
  <c r="F49" i="3"/>
  <c r="AC49" i="3" s="1"/>
  <c r="G49" i="3"/>
  <c r="H49" i="3"/>
  <c r="I49" i="3"/>
  <c r="J49" i="3"/>
  <c r="K49" i="3"/>
  <c r="M49" i="3"/>
  <c r="N49" i="3"/>
  <c r="L49" i="3" s="1"/>
  <c r="Q49" i="3"/>
  <c r="R49" i="3"/>
  <c r="S49" i="3"/>
  <c r="T49" i="3"/>
  <c r="U49" i="3"/>
  <c r="V49" i="3"/>
  <c r="W49" i="3"/>
  <c r="X49" i="3"/>
  <c r="Y49" i="3"/>
  <c r="Z49" i="3"/>
  <c r="AA49" i="3"/>
  <c r="AB49" i="3"/>
  <c r="AE49" i="3"/>
  <c r="AF49" i="3"/>
  <c r="AG49" i="3"/>
  <c r="A50" i="3"/>
  <c r="B50" i="3"/>
  <c r="D50" i="3" s="1"/>
  <c r="C50" i="3"/>
  <c r="E50" i="3"/>
  <c r="F50" i="3"/>
  <c r="AC50" i="3" s="1"/>
  <c r="G50" i="3"/>
  <c r="H50" i="3"/>
  <c r="I50" i="3"/>
  <c r="J50" i="3"/>
  <c r="K50" i="3"/>
  <c r="M50" i="3"/>
  <c r="N50" i="3"/>
  <c r="L50" i="3" s="1"/>
  <c r="Q50" i="3"/>
  <c r="R50" i="3"/>
  <c r="S50" i="3"/>
  <c r="T50" i="3"/>
  <c r="U50" i="3"/>
  <c r="V50" i="3"/>
  <c r="W50" i="3"/>
  <c r="X50" i="3"/>
  <c r="Y50" i="3"/>
  <c r="Z50" i="3"/>
  <c r="AA50" i="3"/>
  <c r="AB50" i="3"/>
  <c r="AE50" i="3"/>
  <c r="AF50" i="3"/>
  <c r="AG50" i="3"/>
  <c r="A51" i="3"/>
  <c r="B51" i="3"/>
  <c r="D51" i="3" s="1"/>
  <c r="C51" i="3"/>
  <c r="E51" i="3"/>
  <c r="F51" i="3"/>
  <c r="AC51" i="3" s="1"/>
  <c r="G51" i="3"/>
  <c r="H51" i="3"/>
  <c r="I51" i="3"/>
  <c r="J51" i="3"/>
  <c r="K51" i="3"/>
  <c r="M51" i="3"/>
  <c r="N51" i="3"/>
  <c r="L51" i="3" s="1"/>
  <c r="Q51" i="3"/>
  <c r="R51" i="3"/>
  <c r="S51" i="3"/>
  <c r="T51" i="3"/>
  <c r="U51" i="3"/>
  <c r="V51" i="3"/>
  <c r="W51" i="3"/>
  <c r="X51" i="3"/>
  <c r="Y51" i="3"/>
  <c r="Z51" i="3"/>
  <c r="AA51" i="3"/>
  <c r="AB51" i="3"/>
  <c r="AE51" i="3"/>
  <c r="AF51" i="3"/>
  <c r="AG51" i="3"/>
  <c r="A52" i="3"/>
  <c r="B52" i="3"/>
  <c r="D52" i="3" s="1"/>
  <c r="C52" i="3"/>
  <c r="E52" i="3"/>
  <c r="F52" i="3"/>
  <c r="AC52" i="3" s="1"/>
  <c r="G52" i="3"/>
  <c r="H52" i="3"/>
  <c r="I52" i="3"/>
  <c r="J52" i="3"/>
  <c r="K52" i="3"/>
  <c r="M52" i="3"/>
  <c r="N52" i="3"/>
  <c r="L52" i="3" s="1"/>
  <c r="Q52" i="3"/>
  <c r="R52" i="3"/>
  <c r="S52" i="3"/>
  <c r="T52" i="3"/>
  <c r="U52" i="3"/>
  <c r="V52" i="3"/>
  <c r="W52" i="3"/>
  <c r="X52" i="3"/>
  <c r="Y52" i="3"/>
  <c r="Z52" i="3"/>
  <c r="AA52" i="3"/>
  <c r="AB52" i="3"/>
  <c r="AE52" i="3"/>
  <c r="AF52" i="3"/>
  <c r="AG52" i="3"/>
  <c r="A53" i="3"/>
  <c r="B53" i="3"/>
  <c r="D53" i="3" s="1"/>
  <c r="C53" i="3"/>
  <c r="E53" i="3"/>
  <c r="F53" i="3"/>
  <c r="AC53" i="3" s="1"/>
  <c r="G53" i="3"/>
  <c r="H53" i="3"/>
  <c r="I53" i="3"/>
  <c r="J53" i="3"/>
  <c r="K53" i="3"/>
  <c r="M53" i="3"/>
  <c r="N53" i="3"/>
  <c r="L53" i="3" s="1"/>
  <c r="Q53" i="3"/>
  <c r="R53" i="3"/>
  <c r="S53" i="3"/>
  <c r="T53" i="3"/>
  <c r="U53" i="3"/>
  <c r="V53" i="3"/>
  <c r="W53" i="3"/>
  <c r="X53" i="3"/>
  <c r="Y53" i="3"/>
  <c r="Z53" i="3"/>
  <c r="AA53" i="3"/>
  <c r="AB53" i="3"/>
  <c r="AE53" i="3"/>
  <c r="AF53" i="3"/>
  <c r="AG53" i="3"/>
  <c r="A54" i="3"/>
  <c r="B54" i="3"/>
  <c r="D54" i="3" s="1"/>
  <c r="C54" i="3"/>
  <c r="E54" i="3"/>
  <c r="F54" i="3"/>
  <c r="AC54" i="3" s="1"/>
  <c r="G54" i="3"/>
  <c r="H54" i="3"/>
  <c r="I54" i="3"/>
  <c r="J54" i="3"/>
  <c r="K54" i="3"/>
  <c r="M54" i="3"/>
  <c r="N54" i="3"/>
  <c r="L54" i="3" s="1"/>
  <c r="Q54" i="3"/>
  <c r="R54" i="3"/>
  <c r="S54" i="3"/>
  <c r="T54" i="3"/>
  <c r="U54" i="3"/>
  <c r="V54" i="3"/>
  <c r="W54" i="3"/>
  <c r="X54" i="3"/>
  <c r="Y54" i="3"/>
  <c r="Z54" i="3"/>
  <c r="AA54" i="3"/>
  <c r="AB54" i="3"/>
  <c r="AE54" i="3"/>
  <c r="AF54" i="3"/>
  <c r="AG54" i="3"/>
  <c r="A55" i="3"/>
  <c r="B55" i="3"/>
  <c r="D55" i="3" s="1"/>
  <c r="C55" i="3"/>
  <c r="E55" i="3"/>
  <c r="F55" i="3"/>
  <c r="AC55" i="3" s="1"/>
  <c r="G55" i="3"/>
  <c r="H55" i="3"/>
  <c r="I55" i="3"/>
  <c r="J55" i="3"/>
  <c r="K55" i="3"/>
  <c r="M55" i="3"/>
  <c r="N55" i="3"/>
  <c r="L55" i="3" s="1"/>
  <c r="Q55" i="3"/>
  <c r="R55" i="3"/>
  <c r="S55" i="3"/>
  <c r="T55" i="3"/>
  <c r="U55" i="3"/>
  <c r="V55" i="3"/>
  <c r="W55" i="3"/>
  <c r="X55" i="3"/>
  <c r="Y55" i="3"/>
  <c r="Z55" i="3"/>
  <c r="AA55" i="3"/>
  <c r="AB55" i="3"/>
  <c r="AE55" i="3"/>
  <c r="AF55" i="3"/>
  <c r="AG55" i="3"/>
  <c r="A56" i="3"/>
  <c r="B56" i="3"/>
  <c r="D56" i="3" s="1"/>
  <c r="C56" i="3"/>
  <c r="E56" i="3"/>
  <c r="F56" i="3"/>
  <c r="AC56" i="3" s="1"/>
  <c r="G56" i="3"/>
  <c r="H56" i="3"/>
  <c r="I56" i="3"/>
  <c r="J56" i="3"/>
  <c r="K56" i="3"/>
  <c r="M56" i="3"/>
  <c r="N56" i="3"/>
  <c r="L56" i="3" s="1"/>
  <c r="Q56" i="3"/>
  <c r="R56" i="3"/>
  <c r="S56" i="3"/>
  <c r="T56" i="3"/>
  <c r="U56" i="3"/>
  <c r="V56" i="3"/>
  <c r="W56" i="3"/>
  <c r="X56" i="3"/>
  <c r="Y56" i="3"/>
  <c r="Z56" i="3"/>
  <c r="AA56" i="3"/>
  <c r="AB56" i="3"/>
  <c r="AE56" i="3"/>
  <c r="AF56" i="3"/>
  <c r="AG56" i="3"/>
  <c r="A57" i="3"/>
  <c r="B57" i="3"/>
  <c r="D57" i="3" s="1"/>
  <c r="C57" i="3"/>
  <c r="E57" i="3"/>
  <c r="F57" i="3"/>
  <c r="AC57" i="3" s="1"/>
  <c r="G57" i="3"/>
  <c r="H57" i="3"/>
  <c r="I57" i="3"/>
  <c r="J57" i="3"/>
  <c r="K57" i="3"/>
  <c r="M57" i="3"/>
  <c r="N57" i="3"/>
  <c r="L57" i="3" s="1"/>
  <c r="Q57" i="3"/>
  <c r="R57" i="3"/>
  <c r="S57" i="3"/>
  <c r="T57" i="3"/>
  <c r="U57" i="3"/>
  <c r="V57" i="3"/>
  <c r="W57" i="3"/>
  <c r="X57" i="3"/>
  <c r="Y57" i="3"/>
  <c r="Z57" i="3"/>
  <c r="AA57" i="3"/>
  <c r="AB57" i="3"/>
  <c r="AE57" i="3"/>
  <c r="AF57" i="3"/>
  <c r="AG57" i="3"/>
  <c r="A58" i="3"/>
  <c r="B58" i="3"/>
  <c r="D58" i="3" s="1"/>
  <c r="C58" i="3"/>
  <c r="E58" i="3"/>
  <c r="F58" i="3"/>
  <c r="AC58" i="3" s="1"/>
  <c r="G58" i="3"/>
  <c r="H58" i="3"/>
  <c r="I58" i="3"/>
  <c r="J58" i="3"/>
  <c r="K58" i="3"/>
  <c r="M58" i="3"/>
  <c r="N58" i="3"/>
  <c r="L58" i="3" s="1"/>
  <c r="Q58" i="3"/>
  <c r="R58" i="3"/>
  <c r="S58" i="3"/>
  <c r="T58" i="3"/>
  <c r="U58" i="3"/>
  <c r="V58" i="3"/>
  <c r="W58" i="3"/>
  <c r="X58" i="3"/>
  <c r="Y58" i="3"/>
  <c r="Z58" i="3"/>
  <c r="AA58" i="3"/>
  <c r="AB58" i="3"/>
  <c r="AE58" i="3"/>
  <c r="AF58" i="3"/>
  <c r="AG58" i="3"/>
  <c r="A59" i="3"/>
  <c r="B59" i="3"/>
  <c r="D59" i="3" s="1"/>
  <c r="C59" i="3"/>
  <c r="E59" i="3"/>
  <c r="F59" i="3"/>
  <c r="AC59" i="3" s="1"/>
  <c r="G59" i="3"/>
  <c r="H59" i="3"/>
  <c r="I59" i="3"/>
  <c r="J59" i="3"/>
  <c r="K59" i="3"/>
  <c r="M59" i="3"/>
  <c r="N59" i="3"/>
  <c r="L59" i="3" s="1"/>
  <c r="Q59" i="3"/>
  <c r="R59" i="3"/>
  <c r="S59" i="3"/>
  <c r="T59" i="3"/>
  <c r="U59" i="3"/>
  <c r="V59" i="3"/>
  <c r="W59" i="3"/>
  <c r="X59" i="3"/>
  <c r="Y59" i="3"/>
  <c r="Z59" i="3"/>
  <c r="AA59" i="3"/>
  <c r="AB59" i="3"/>
  <c r="AE59" i="3"/>
  <c r="AF59" i="3"/>
  <c r="AG59" i="3"/>
  <c r="A60" i="3"/>
  <c r="B60" i="3"/>
  <c r="D60" i="3" s="1"/>
  <c r="C60" i="3"/>
  <c r="E60" i="3"/>
  <c r="F60" i="3"/>
  <c r="AC60" i="3" s="1"/>
  <c r="G60" i="3"/>
  <c r="H60" i="3"/>
  <c r="I60" i="3"/>
  <c r="J60" i="3"/>
  <c r="K60" i="3"/>
  <c r="M60" i="3"/>
  <c r="N60" i="3"/>
  <c r="L60" i="3" s="1"/>
  <c r="Q60" i="3"/>
  <c r="R60" i="3"/>
  <c r="S60" i="3"/>
  <c r="T60" i="3"/>
  <c r="U60" i="3"/>
  <c r="V60" i="3"/>
  <c r="W60" i="3"/>
  <c r="X60" i="3"/>
  <c r="Y60" i="3"/>
  <c r="Z60" i="3"/>
  <c r="AA60" i="3"/>
  <c r="AB60" i="3"/>
  <c r="AE60" i="3"/>
  <c r="AF60" i="3"/>
  <c r="AG60" i="3"/>
  <c r="A61" i="3"/>
  <c r="B61" i="3"/>
  <c r="D61" i="3" s="1"/>
  <c r="C61" i="3"/>
  <c r="E61" i="3"/>
  <c r="F61" i="3"/>
  <c r="AC61" i="3" s="1"/>
  <c r="G61" i="3"/>
  <c r="H61" i="3"/>
  <c r="I61" i="3"/>
  <c r="J61" i="3"/>
  <c r="K61" i="3"/>
  <c r="M61" i="3"/>
  <c r="N61" i="3"/>
  <c r="L61" i="3" s="1"/>
  <c r="Q61" i="3"/>
  <c r="R61" i="3"/>
  <c r="S61" i="3"/>
  <c r="T61" i="3"/>
  <c r="U61" i="3"/>
  <c r="V61" i="3"/>
  <c r="W61" i="3"/>
  <c r="X61" i="3"/>
  <c r="Y61" i="3"/>
  <c r="Z61" i="3"/>
  <c r="AA61" i="3"/>
  <c r="AB61" i="3"/>
  <c r="AE61" i="3"/>
  <c r="AF61" i="3"/>
  <c r="AG61" i="3"/>
  <c r="A62" i="3"/>
  <c r="B62" i="3"/>
  <c r="D62" i="3" s="1"/>
  <c r="C62" i="3"/>
  <c r="E62" i="3"/>
  <c r="F62" i="3"/>
  <c r="AC62" i="3" s="1"/>
  <c r="G62" i="3"/>
  <c r="H62" i="3"/>
  <c r="I62" i="3"/>
  <c r="J62" i="3"/>
  <c r="K62" i="3"/>
  <c r="M62" i="3"/>
  <c r="N62" i="3"/>
  <c r="L62" i="3" s="1"/>
  <c r="Q62" i="3"/>
  <c r="R62" i="3"/>
  <c r="S62" i="3"/>
  <c r="T62" i="3"/>
  <c r="U62" i="3"/>
  <c r="V62" i="3"/>
  <c r="W62" i="3"/>
  <c r="X62" i="3"/>
  <c r="Y62" i="3"/>
  <c r="Z62" i="3"/>
  <c r="AA62" i="3"/>
  <c r="AB62" i="3"/>
  <c r="AE62" i="3"/>
  <c r="AF62" i="3"/>
  <c r="AG62" i="3"/>
  <c r="A63" i="3"/>
  <c r="B63" i="3"/>
  <c r="D63" i="3" s="1"/>
  <c r="C63" i="3"/>
  <c r="E63" i="3"/>
  <c r="F63" i="3"/>
  <c r="AC63" i="3" s="1"/>
  <c r="G63" i="3"/>
  <c r="H63" i="3"/>
  <c r="I63" i="3"/>
  <c r="J63" i="3"/>
  <c r="K63" i="3"/>
  <c r="M63" i="3"/>
  <c r="N63" i="3"/>
  <c r="L63" i="3" s="1"/>
  <c r="Q63" i="3"/>
  <c r="R63" i="3"/>
  <c r="S63" i="3"/>
  <c r="T63" i="3"/>
  <c r="U63" i="3"/>
  <c r="V63" i="3"/>
  <c r="W63" i="3"/>
  <c r="X63" i="3"/>
  <c r="Y63" i="3"/>
  <c r="Z63" i="3"/>
  <c r="AA63" i="3"/>
  <c r="AB63" i="3"/>
  <c r="AE63" i="3"/>
  <c r="AF63" i="3"/>
  <c r="AG63" i="3"/>
  <c r="A64" i="3"/>
  <c r="B64" i="3"/>
  <c r="D64" i="3" s="1"/>
  <c r="C64" i="3"/>
  <c r="E64" i="3"/>
  <c r="F64" i="3"/>
  <c r="AC64" i="3" s="1"/>
  <c r="G64" i="3"/>
  <c r="H64" i="3"/>
  <c r="I64" i="3"/>
  <c r="J64" i="3"/>
  <c r="K64" i="3"/>
  <c r="M64" i="3"/>
  <c r="N64" i="3"/>
  <c r="L64" i="3" s="1"/>
  <c r="Q64" i="3"/>
  <c r="R64" i="3"/>
  <c r="S64" i="3"/>
  <c r="T64" i="3"/>
  <c r="U64" i="3"/>
  <c r="V64" i="3"/>
  <c r="W64" i="3"/>
  <c r="X64" i="3"/>
  <c r="Y64" i="3"/>
  <c r="Z64" i="3"/>
  <c r="AA64" i="3"/>
  <c r="AB64" i="3"/>
  <c r="AE64" i="3"/>
  <c r="AF64" i="3"/>
  <c r="AG64" i="3"/>
  <c r="A65" i="3"/>
  <c r="B65" i="3"/>
  <c r="D65" i="3" s="1"/>
  <c r="C65" i="3"/>
  <c r="E65" i="3"/>
  <c r="F65" i="3"/>
  <c r="AC65" i="3" s="1"/>
  <c r="G65" i="3"/>
  <c r="H65" i="3"/>
  <c r="I65" i="3"/>
  <c r="J65" i="3"/>
  <c r="K65" i="3"/>
  <c r="M65" i="3"/>
  <c r="N65" i="3"/>
  <c r="L65" i="3" s="1"/>
  <c r="Q65" i="3"/>
  <c r="R65" i="3"/>
  <c r="S65" i="3"/>
  <c r="T65" i="3"/>
  <c r="U65" i="3"/>
  <c r="V65" i="3"/>
  <c r="W65" i="3"/>
  <c r="X65" i="3"/>
  <c r="Y65" i="3"/>
  <c r="Z65" i="3"/>
  <c r="AA65" i="3"/>
  <c r="AB65" i="3"/>
  <c r="AE65" i="3"/>
  <c r="AF65" i="3"/>
  <c r="AG65" i="3"/>
  <c r="A66" i="3"/>
  <c r="B66" i="3"/>
  <c r="D66" i="3" s="1"/>
  <c r="C66" i="3"/>
  <c r="E66" i="3"/>
  <c r="F66" i="3"/>
  <c r="AC66" i="3" s="1"/>
  <c r="G66" i="3"/>
  <c r="H66" i="3"/>
  <c r="I66" i="3"/>
  <c r="J66" i="3"/>
  <c r="K66" i="3"/>
  <c r="M66" i="3"/>
  <c r="N66" i="3"/>
  <c r="L66" i="3" s="1"/>
  <c r="Q66" i="3"/>
  <c r="R66" i="3"/>
  <c r="S66" i="3"/>
  <c r="T66" i="3"/>
  <c r="U66" i="3"/>
  <c r="V66" i="3"/>
  <c r="W66" i="3"/>
  <c r="X66" i="3"/>
  <c r="Y66" i="3"/>
  <c r="Z66" i="3"/>
  <c r="AA66" i="3"/>
  <c r="AB66" i="3"/>
  <c r="AE66" i="3"/>
  <c r="AF66" i="3"/>
  <c r="AG66" i="3"/>
  <c r="A67" i="3"/>
  <c r="B67" i="3"/>
  <c r="D67" i="3" s="1"/>
  <c r="C67" i="3"/>
  <c r="E67" i="3"/>
  <c r="F67" i="3"/>
  <c r="AC67" i="3" s="1"/>
  <c r="G67" i="3"/>
  <c r="H67" i="3"/>
  <c r="I67" i="3"/>
  <c r="J67" i="3"/>
  <c r="K67" i="3"/>
  <c r="M67" i="3"/>
  <c r="N67" i="3"/>
  <c r="L67" i="3" s="1"/>
  <c r="Q67" i="3"/>
  <c r="R67" i="3"/>
  <c r="S67" i="3"/>
  <c r="T67" i="3"/>
  <c r="U67" i="3"/>
  <c r="V67" i="3"/>
  <c r="W67" i="3"/>
  <c r="X67" i="3"/>
  <c r="Y67" i="3"/>
  <c r="Z67" i="3"/>
  <c r="AA67" i="3"/>
  <c r="AB67" i="3"/>
  <c r="AE67" i="3"/>
  <c r="AF67" i="3"/>
  <c r="AG67" i="3"/>
  <c r="A68" i="3"/>
  <c r="B68" i="3"/>
  <c r="D68" i="3" s="1"/>
  <c r="C68" i="3"/>
  <c r="E68" i="3"/>
  <c r="F68" i="3"/>
  <c r="AC68" i="3" s="1"/>
  <c r="G68" i="3"/>
  <c r="H68" i="3"/>
  <c r="I68" i="3"/>
  <c r="J68" i="3"/>
  <c r="K68" i="3"/>
  <c r="M68" i="3"/>
  <c r="N68" i="3"/>
  <c r="L68" i="3" s="1"/>
  <c r="Q68" i="3"/>
  <c r="R68" i="3"/>
  <c r="S68" i="3"/>
  <c r="T68" i="3"/>
  <c r="U68" i="3"/>
  <c r="V68" i="3"/>
  <c r="W68" i="3"/>
  <c r="X68" i="3"/>
  <c r="Y68" i="3"/>
  <c r="Z68" i="3"/>
  <c r="AA68" i="3"/>
  <c r="AB68" i="3"/>
  <c r="AE68" i="3"/>
  <c r="AF68" i="3"/>
  <c r="AG68" i="3"/>
  <c r="A69" i="3"/>
  <c r="B69" i="3"/>
  <c r="D69" i="3" s="1"/>
  <c r="C69" i="3"/>
  <c r="E69" i="3"/>
  <c r="F69" i="3"/>
  <c r="AC69" i="3" s="1"/>
  <c r="G69" i="3"/>
  <c r="H69" i="3"/>
  <c r="I69" i="3"/>
  <c r="J69" i="3"/>
  <c r="K69" i="3"/>
  <c r="M69" i="3"/>
  <c r="N69" i="3"/>
  <c r="L69" i="3" s="1"/>
  <c r="Q69" i="3"/>
  <c r="R69" i="3"/>
  <c r="S69" i="3"/>
  <c r="T69" i="3"/>
  <c r="U69" i="3"/>
  <c r="V69" i="3"/>
  <c r="W69" i="3"/>
  <c r="X69" i="3"/>
  <c r="Y69" i="3"/>
  <c r="Z69" i="3"/>
  <c r="AA69" i="3"/>
  <c r="AB69" i="3"/>
  <c r="AE69" i="3"/>
  <c r="AF69" i="3"/>
  <c r="AG69" i="3"/>
  <c r="A70" i="3"/>
  <c r="B70" i="3"/>
  <c r="D70" i="3" s="1"/>
  <c r="C70" i="3"/>
  <c r="E70" i="3"/>
  <c r="F70" i="3"/>
  <c r="AC70" i="3" s="1"/>
  <c r="G70" i="3"/>
  <c r="H70" i="3"/>
  <c r="I70" i="3"/>
  <c r="J70" i="3"/>
  <c r="K70" i="3"/>
  <c r="M70" i="3"/>
  <c r="N70" i="3"/>
  <c r="L70" i="3" s="1"/>
  <c r="Q70" i="3"/>
  <c r="R70" i="3"/>
  <c r="S70" i="3"/>
  <c r="T70" i="3"/>
  <c r="U70" i="3"/>
  <c r="V70" i="3"/>
  <c r="W70" i="3"/>
  <c r="X70" i="3"/>
  <c r="Y70" i="3"/>
  <c r="Z70" i="3"/>
  <c r="AA70" i="3"/>
  <c r="AB70" i="3"/>
  <c r="AE70" i="3"/>
  <c r="AF70" i="3"/>
  <c r="AG70" i="3"/>
  <c r="A71" i="3"/>
  <c r="B71" i="3"/>
  <c r="D71" i="3" s="1"/>
  <c r="C71" i="3"/>
  <c r="E71" i="3"/>
  <c r="F71" i="3"/>
  <c r="AC71" i="3" s="1"/>
  <c r="G71" i="3"/>
  <c r="H71" i="3"/>
  <c r="I71" i="3"/>
  <c r="J71" i="3"/>
  <c r="K71" i="3"/>
  <c r="M71" i="3"/>
  <c r="N71" i="3"/>
  <c r="L71" i="3" s="1"/>
  <c r="Q71" i="3"/>
  <c r="R71" i="3"/>
  <c r="S71" i="3"/>
  <c r="T71" i="3"/>
  <c r="U71" i="3"/>
  <c r="V71" i="3"/>
  <c r="W71" i="3"/>
  <c r="X71" i="3"/>
  <c r="Y71" i="3"/>
  <c r="Z71" i="3"/>
  <c r="AA71" i="3"/>
  <c r="AB71" i="3"/>
  <c r="AE71" i="3"/>
  <c r="AF71" i="3"/>
  <c r="AG71" i="3"/>
  <c r="A72" i="3"/>
  <c r="B72" i="3"/>
  <c r="D72" i="3" s="1"/>
  <c r="C72" i="3"/>
  <c r="E72" i="3"/>
  <c r="F72" i="3"/>
  <c r="AC72" i="3" s="1"/>
  <c r="G72" i="3"/>
  <c r="H72" i="3"/>
  <c r="I72" i="3"/>
  <c r="J72" i="3"/>
  <c r="K72" i="3"/>
  <c r="M72" i="3"/>
  <c r="N72" i="3"/>
  <c r="L72" i="3" s="1"/>
  <c r="Q72" i="3"/>
  <c r="R72" i="3"/>
  <c r="S72" i="3"/>
  <c r="T72" i="3"/>
  <c r="U72" i="3"/>
  <c r="V72" i="3"/>
  <c r="W72" i="3"/>
  <c r="X72" i="3"/>
  <c r="Y72" i="3"/>
  <c r="Z72" i="3"/>
  <c r="AA72" i="3"/>
  <c r="AB72" i="3"/>
  <c r="AE72" i="3"/>
  <c r="AF72" i="3"/>
  <c r="AG72" i="3"/>
  <c r="A73" i="3"/>
  <c r="B73" i="3"/>
  <c r="D73" i="3" s="1"/>
  <c r="C73" i="3"/>
  <c r="E73" i="3"/>
  <c r="F73" i="3"/>
  <c r="AC73" i="3" s="1"/>
  <c r="G73" i="3"/>
  <c r="H73" i="3"/>
  <c r="I73" i="3"/>
  <c r="J73" i="3"/>
  <c r="K73" i="3"/>
  <c r="M73" i="3"/>
  <c r="N73" i="3"/>
  <c r="L73" i="3" s="1"/>
  <c r="Q73" i="3"/>
  <c r="R73" i="3"/>
  <c r="S73" i="3"/>
  <c r="T73" i="3"/>
  <c r="U73" i="3"/>
  <c r="V73" i="3"/>
  <c r="W73" i="3"/>
  <c r="X73" i="3"/>
  <c r="Y73" i="3"/>
  <c r="Z73" i="3"/>
  <c r="AA73" i="3"/>
  <c r="AB73" i="3"/>
  <c r="AE73" i="3"/>
  <c r="AF73" i="3"/>
  <c r="AG73" i="3"/>
  <c r="A74" i="3"/>
  <c r="B74" i="3"/>
  <c r="D74" i="3" s="1"/>
  <c r="C74" i="3"/>
  <c r="E74" i="3"/>
  <c r="F74" i="3"/>
  <c r="AC74" i="3" s="1"/>
  <c r="G74" i="3"/>
  <c r="H74" i="3"/>
  <c r="I74" i="3"/>
  <c r="J74" i="3"/>
  <c r="K74" i="3"/>
  <c r="M74" i="3"/>
  <c r="N74" i="3"/>
  <c r="L74" i="3" s="1"/>
  <c r="Q74" i="3"/>
  <c r="R74" i="3"/>
  <c r="S74" i="3"/>
  <c r="T74" i="3"/>
  <c r="U74" i="3"/>
  <c r="V74" i="3"/>
  <c r="W74" i="3"/>
  <c r="X74" i="3"/>
  <c r="Y74" i="3"/>
  <c r="Z74" i="3"/>
  <c r="AA74" i="3"/>
  <c r="AB74" i="3"/>
  <c r="AE74" i="3"/>
  <c r="AF74" i="3"/>
  <c r="AG74" i="3"/>
  <c r="A75" i="3"/>
  <c r="B75" i="3"/>
  <c r="D75" i="3" s="1"/>
  <c r="C75" i="3"/>
  <c r="E75" i="3"/>
  <c r="F75" i="3"/>
  <c r="AC75" i="3" s="1"/>
  <c r="G75" i="3"/>
  <c r="H75" i="3"/>
  <c r="I75" i="3"/>
  <c r="J75" i="3"/>
  <c r="K75" i="3"/>
  <c r="M75" i="3"/>
  <c r="N75" i="3"/>
  <c r="L75" i="3" s="1"/>
  <c r="Q75" i="3"/>
  <c r="R75" i="3"/>
  <c r="S75" i="3"/>
  <c r="T75" i="3"/>
  <c r="U75" i="3"/>
  <c r="V75" i="3"/>
  <c r="W75" i="3"/>
  <c r="X75" i="3"/>
  <c r="Y75" i="3"/>
  <c r="Z75" i="3"/>
  <c r="AA75" i="3"/>
  <c r="AB75" i="3"/>
  <c r="AE75" i="3"/>
  <c r="AF75" i="3"/>
  <c r="AG75" i="3"/>
  <c r="A76" i="3"/>
  <c r="B76" i="3"/>
  <c r="D76" i="3" s="1"/>
  <c r="C76" i="3"/>
  <c r="E76" i="3"/>
  <c r="F76" i="3"/>
  <c r="AC76" i="3" s="1"/>
  <c r="G76" i="3"/>
  <c r="H76" i="3"/>
  <c r="I76" i="3"/>
  <c r="J76" i="3"/>
  <c r="K76" i="3"/>
  <c r="M76" i="3"/>
  <c r="N76" i="3"/>
  <c r="L76" i="3" s="1"/>
  <c r="Q76" i="3"/>
  <c r="R76" i="3"/>
  <c r="S76" i="3"/>
  <c r="T76" i="3"/>
  <c r="U76" i="3"/>
  <c r="V76" i="3"/>
  <c r="W76" i="3"/>
  <c r="X76" i="3"/>
  <c r="Y76" i="3"/>
  <c r="Z76" i="3"/>
  <c r="AA76" i="3"/>
  <c r="AB76" i="3"/>
  <c r="AE76" i="3"/>
  <c r="AF76" i="3"/>
  <c r="AG76" i="3"/>
  <c r="A77" i="3"/>
  <c r="B77" i="3"/>
  <c r="D77" i="3" s="1"/>
  <c r="C77" i="3"/>
  <c r="E77" i="3"/>
  <c r="F77" i="3"/>
  <c r="AC77" i="3" s="1"/>
  <c r="G77" i="3"/>
  <c r="H77" i="3"/>
  <c r="I77" i="3"/>
  <c r="J77" i="3"/>
  <c r="K77" i="3"/>
  <c r="M77" i="3"/>
  <c r="N77" i="3"/>
  <c r="L77" i="3" s="1"/>
  <c r="Q77" i="3"/>
  <c r="R77" i="3"/>
  <c r="S77" i="3"/>
  <c r="T77" i="3"/>
  <c r="U77" i="3"/>
  <c r="V77" i="3"/>
  <c r="W77" i="3"/>
  <c r="X77" i="3"/>
  <c r="Y77" i="3"/>
  <c r="Z77" i="3"/>
  <c r="AA77" i="3"/>
  <c r="AB77" i="3"/>
  <c r="AE77" i="3"/>
  <c r="AF77" i="3"/>
  <c r="AG77" i="3"/>
  <c r="A78" i="3"/>
  <c r="B78" i="3"/>
  <c r="D78" i="3" s="1"/>
  <c r="C78" i="3"/>
  <c r="E78" i="3"/>
  <c r="F78" i="3"/>
  <c r="AC78" i="3" s="1"/>
  <c r="G78" i="3"/>
  <c r="H78" i="3"/>
  <c r="I78" i="3"/>
  <c r="J78" i="3"/>
  <c r="K78" i="3"/>
  <c r="M78" i="3"/>
  <c r="N78" i="3"/>
  <c r="L78" i="3" s="1"/>
  <c r="Q78" i="3"/>
  <c r="R78" i="3"/>
  <c r="S78" i="3"/>
  <c r="T78" i="3"/>
  <c r="U78" i="3"/>
  <c r="V78" i="3"/>
  <c r="W78" i="3"/>
  <c r="X78" i="3"/>
  <c r="Y78" i="3"/>
  <c r="Z78" i="3"/>
  <c r="AA78" i="3"/>
  <c r="AB78" i="3"/>
  <c r="AE78" i="3"/>
  <c r="AF78" i="3"/>
  <c r="AG78" i="3"/>
  <c r="A79" i="3"/>
  <c r="B79" i="3"/>
  <c r="D79" i="3" s="1"/>
  <c r="C79" i="3"/>
  <c r="E79" i="3"/>
  <c r="F79" i="3"/>
  <c r="AC79" i="3" s="1"/>
  <c r="G79" i="3"/>
  <c r="H79" i="3"/>
  <c r="I79" i="3"/>
  <c r="J79" i="3"/>
  <c r="K79" i="3"/>
  <c r="M79" i="3"/>
  <c r="N79" i="3"/>
  <c r="L79" i="3" s="1"/>
  <c r="Q79" i="3"/>
  <c r="R79" i="3"/>
  <c r="S79" i="3"/>
  <c r="T79" i="3"/>
  <c r="U79" i="3"/>
  <c r="V79" i="3"/>
  <c r="W79" i="3"/>
  <c r="X79" i="3"/>
  <c r="Y79" i="3"/>
  <c r="Z79" i="3"/>
  <c r="AA79" i="3"/>
  <c r="AB79" i="3"/>
  <c r="AE79" i="3"/>
  <c r="AF79" i="3"/>
  <c r="AG79" i="3"/>
  <c r="A80" i="3"/>
  <c r="B80" i="3"/>
  <c r="D80" i="3" s="1"/>
  <c r="C80" i="3"/>
  <c r="E80" i="3"/>
  <c r="F80" i="3"/>
  <c r="AC80" i="3" s="1"/>
  <c r="G80" i="3"/>
  <c r="H80" i="3"/>
  <c r="I80" i="3"/>
  <c r="J80" i="3"/>
  <c r="K80" i="3"/>
  <c r="M80" i="3"/>
  <c r="N80" i="3"/>
  <c r="L80" i="3" s="1"/>
  <c r="Q80" i="3"/>
  <c r="R80" i="3"/>
  <c r="S80" i="3"/>
  <c r="T80" i="3"/>
  <c r="U80" i="3"/>
  <c r="V80" i="3"/>
  <c r="W80" i="3"/>
  <c r="X80" i="3"/>
  <c r="Y80" i="3"/>
  <c r="Z80" i="3"/>
  <c r="AA80" i="3"/>
  <c r="AB80" i="3"/>
  <c r="AE80" i="3"/>
  <c r="AF80" i="3"/>
  <c r="AG80" i="3"/>
  <c r="A81" i="3"/>
  <c r="B81" i="3"/>
  <c r="D81" i="3" s="1"/>
  <c r="C81" i="3"/>
  <c r="E81" i="3"/>
  <c r="F81" i="3"/>
  <c r="AC81" i="3" s="1"/>
  <c r="G81" i="3"/>
  <c r="H81" i="3"/>
  <c r="I81" i="3"/>
  <c r="J81" i="3"/>
  <c r="K81" i="3"/>
  <c r="M81" i="3"/>
  <c r="N81" i="3"/>
  <c r="L81" i="3" s="1"/>
  <c r="Q81" i="3"/>
  <c r="R81" i="3"/>
  <c r="S81" i="3"/>
  <c r="T81" i="3"/>
  <c r="U81" i="3"/>
  <c r="V81" i="3"/>
  <c r="W81" i="3"/>
  <c r="X81" i="3"/>
  <c r="Y81" i="3"/>
  <c r="Z81" i="3"/>
  <c r="AA81" i="3"/>
  <c r="AB81" i="3"/>
  <c r="AE81" i="3"/>
  <c r="AF81" i="3"/>
  <c r="AG81" i="3"/>
  <c r="A82" i="3"/>
  <c r="B82" i="3"/>
  <c r="D82" i="3" s="1"/>
  <c r="C82" i="3"/>
  <c r="E82" i="3"/>
  <c r="F82" i="3"/>
  <c r="AC82" i="3" s="1"/>
  <c r="G82" i="3"/>
  <c r="H82" i="3"/>
  <c r="I82" i="3"/>
  <c r="J82" i="3"/>
  <c r="K82" i="3"/>
  <c r="M82" i="3"/>
  <c r="N82" i="3"/>
  <c r="L82" i="3" s="1"/>
  <c r="Q82" i="3"/>
  <c r="R82" i="3"/>
  <c r="S82" i="3"/>
  <c r="T82" i="3"/>
  <c r="U82" i="3"/>
  <c r="V82" i="3"/>
  <c r="W82" i="3"/>
  <c r="X82" i="3"/>
  <c r="Y82" i="3"/>
  <c r="Z82" i="3"/>
  <c r="AA82" i="3"/>
  <c r="AB82" i="3"/>
  <c r="AE82" i="3"/>
  <c r="AF82" i="3"/>
  <c r="AG82" i="3"/>
  <c r="A83" i="3"/>
  <c r="B83" i="3"/>
  <c r="D83" i="3" s="1"/>
  <c r="C83" i="3"/>
  <c r="E83" i="3"/>
  <c r="F83" i="3"/>
  <c r="AC83" i="3" s="1"/>
  <c r="G83" i="3"/>
  <c r="H83" i="3"/>
  <c r="I83" i="3"/>
  <c r="J83" i="3"/>
  <c r="K83" i="3"/>
  <c r="M83" i="3"/>
  <c r="N83" i="3"/>
  <c r="L83" i="3" s="1"/>
  <c r="Q83" i="3"/>
  <c r="R83" i="3"/>
  <c r="S83" i="3"/>
  <c r="T83" i="3"/>
  <c r="U83" i="3"/>
  <c r="V83" i="3"/>
  <c r="W83" i="3"/>
  <c r="X83" i="3"/>
  <c r="Y83" i="3"/>
  <c r="Z83" i="3"/>
  <c r="AA83" i="3"/>
  <c r="AB83" i="3"/>
  <c r="AE83" i="3"/>
  <c r="AF83" i="3"/>
  <c r="AG83" i="3"/>
  <c r="A84" i="3"/>
  <c r="B84" i="3"/>
  <c r="D84" i="3" s="1"/>
  <c r="C84" i="3"/>
  <c r="E84" i="3"/>
  <c r="F84" i="3"/>
  <c r="AC84" i="3" s="1"/>
  <c r="G84" i="3"/>
  <c r="H84" i="3"/>
  <c r="I84" i="3"/>
  <c r="J84" i="3"/>
  <c r="K84" i="3"/>
  <c r="M84" i="3"/>
  <c r="N84" i="3"/>
  <c r="L84" i="3" s="1"/>
  <c r="Q84" i="3"/>
  <c r="R84" i="3"/>
  <c r="S84" i="3"/>
  <c r="T84" i="3"/>
  <c r="U84" i="3"/>
  <c r="V84" i="3"/>
  <c r="W84" i="3"/>
  <c r="X84" i="3"/>
  <c r="Y84" i="3"/>
  <c r="Z84" i="3"/>
  <c r="AA84" i="3"/>
  <c r="AB84" i="3"/>
  <c r="AE84" i="3"/>
  <c r="AF84" i="3"/>
  <c r="AG84" i="3"/>
  <c r="A85" i="3"/>
  <c r="B85" i="3"/>
  <c r="D85" i="3" s="1"/>
  <c r="C85" i="3"/>
  <c r="E85" i="3"/>
  <c r="F85" i="3"/>
  <c r="AC85" i="3" s="1"/>
  <c r="G85" i="3"/>
  <c r="H85" i="3"/>
  <c r="I85" i="3"/>
  <c r="J85" i="3"/>
  <c r="K85" i="3"/>
  <c r="M85" i="3"/>
  <c r="N85" i="3"/>
  <c r="L85" i="3" s="1"/>
  <c r="Q85" i="3"/>
  <c r="R85" i="3"/>
  <c r="S85" i="3"/>
  <c r="T85" i="3"/>
  <c r="U85" i="3"/>
  <c r="V85" i="3"/>
  <c r="W85" i="3"/>
  <c r="X85" i="3"/>
  <c r="Y85" i="3"/>
  <c r="Z85" i="3"/>
  <c r="AA85" i="3"/>
  <c r="AB85" i="3"/>
  <c r="AE85" i="3"/>
  <c r="AF85" i="3"/>
  <c r="AG85" i="3"/>
  <c r="A86" i="3"/>
  <c r="B86" i="3"/>
  <c r="D86" i="3" s="1"/>
  <c r="C86" i="3"/>
  <c r="E86" i="3"/>
  <c r="F86" i="3"/>
  <c r="AC86" i="3" s="1"/>
  <c r="G86" i="3"/>
  <c r="H86" i="3"/>
  <c r="I86" i="3"/>
  <c r="J86" i="3"/>
  <c r="K86" i="3"/>
  <c r="M86" i="3"/>
  <c r="N86" i="3"/>
  <c r="L86" i="3" s="1"/>
  <c r="Q86" i="3"/>
  <c r="R86" i="3"/>
  <c r="S86" i="3"/>
  <c r="T86" i="3"/>
  <c r="U86" i="3"/>
  <c r="V86" i="3"/>
  <c r="W86" i="3"/>
  <c r="X86" i="3"/>
  <c r="Y86" i="3"/>
  <c r="Z86" i="3"/>
  <c r="AA86" i="3"/>
  <c r="AB86" i="3"/>
  <c r="AE86" i="3"/>
  <c r="AF86" i="3"/>
  <c r="AG86" i="3"/>
  <c r="A87" i="3"/>
  <c r="B87" i="3"/>
  <c r="D87" i="3" s="1"/>
  <c r="C87" i="3"/>
  <c r="E87" i="3"/>
  <c r="F87" i="3"/>
  <c r="AC87" i="3" s="1"/>
  <c r="G87" i="3"/>
  <c r="H87" i="3"/>
  <c r="I87" i="3"/>
  <c r="J87" i="3"/>
  <c r="K87" i="3"/>
  <c r="M87" i="3"/>
  <c r="N87" i="3"/>
  <c r="L87" i="3" s="1"/>
  <c r="Q87" i="3"/>
  <c r="R87" i="3"/>
  <c r="S87" i="3"/>
  <c r="T87" i="3"/>
  <c r="U87" i="3"/>
  <c r="V87" i="3"/>
  <c r="W87" i="3"/>
  <c r="X87" i="3"/>
  <c r="Y87" i="3"/>
  <c r="Z87" i="3"/>
  <c r="AA87" i="3"/>
  <c r="AB87" i="3"/>
  <c r="AE87" i="3"/>
  <c r="AF87" i="3"/>
  <c r="AG87" i="3"/>
  <c r="A88" i="3"/>
  <c r="B88" i="3"/>
  <c r="D88" i="3" s="1"/>
  <c r="C88" i="3"/>
  <c r="E88" i="3"/>
  <c r="F88" i="3"/>
  <c r="AC88" i="3" s="1"/>
  <c r="G88" i="3"/>
  <c r="H88" i="3"/>
  <c r="I88" i="3"/>
  <c r="J88" i="3"/>
  <c r="K88" i="3"/>
  <c r="M88" i="3"/>
  <c r="N88" i="3"/>
  <c r="L88" i="3" s="1"/>
  <c r="Q88" i="3"/>
  <c r="R88" i="3"/>
  <c r="S88" i="3"/>
  <c r="T88" i="3"/>
  <c r="U88" i="3"/>
  <c r="V88" i="3"/>
  <c r="W88" i="3"/>
  <c r="X88" i="3"/>
  <c r="Y88" i="3"/>
  <c r="Z88" i="3"/>
  <c r="AA88" i="3"/>
  <c r="AB88" i="3"/>
  <c r="AE88" i="3"/>
  <c r="AF88" i="3"/>
  <c r="AG88" i="3"/>
  <c r="A89" i="3"/>
  <c r="B89" i="3"/>
  <c r="D89" i="3" s="1"/>
  <c r="C89" i="3"/>
  <c r="E89" i="3"/>
  <c r="F89" i="3"/>
  <c r="AC89" i="3" s="1"/>
  <c r="G89" i="3"/>
  <c r="H89" i="3"/>
  <c r="I89" i="3"/>
  <c r="J89" i="3"/>
  <c r="K89" i="3"/>
  <c r="M89" i="3"/>
  <c r="N89" i="3"/>
  <c r="L89" i="3" s="1"/>
  <c r="Q89" i="3"/>
  <c r="R89" i="3"/>
  <c r="S89" i="3"/>
  <c r="T89" i="3"/>
  <c r="U89" i="3"/>
  <c r="V89" i="3"/>
  <c r="W89" i="3"/>
  <c r="X89" i="3"/>
  <c r="Y89" i="3"/>
  <c r="Z89" i="3"/>
  <c r="AA89" i="3"/>
  <c r="AB89" i="3"/>
  <c r="AE89" i="3"/>
  <c r="AF89" i="3"/>
  <c r="AG89" i="3"/>
  <c r="A90" i="3"/>
  <c r="B90" i="3"/>
  <c r="D90" i="3" s="1"/>
  <c r="C90" i="3"/>
  <c r="E90" i="3"/>
  <c r="F90" i="3"/>
  <c r="AC90" i="3" s="1"/>
  <c r="G90" i="3"/>
  <c r="H90" i="3"/>
  <c r="I90" i="3"/>
  <c r="J90" i="3"/>
  <c r="K90" i="3"/>
  <c r="M90" i="3"/>
  <c r="N90" i="3"/>
  <c r="L90" i="3" s="1"/>
  <c r="Q90" i="3"/>
  <c r="R90" i="3"/>
  <c r="S90" i="3"/>
  <c r="T90" i="3"/>
  <c r="U90" i="3"/>
  <c r="V90" i="3"/>
  <c r="W90" i="3"/>
  <c r="X90" i="3"/>
  <c r="Y90" i="3"/>
  <c r="Z90" i="3"/>
  <c r="AA90" i="3"/>
  <c r="AB90" i="3"/>
  <c r="AE90" i="3"/>
  <c r="AF90" i="3"/>
  <c r="AG90" i="3"/>
  <c r="A91" i="3"/>
  <c r="B91" i="3"/>
  <c r="D91" i="3" s="1"/>
  <c r="C91" i="3"/>
  <c r="E91" i="3"/>
  <c r="F91" i="3"/>
  <c r="AC91" i="3" s="1"/>
  <c r="G91" i="3"/>
  <c r="H91" i="3"/>
  <c r="I91" i="3"/>
  <c r="J91" i="3"/>
  <c r="K91" i="3"/>
  <c r="M91" i="3"/>
  <c r="N91" i="3"/>
  <c r="L91" i="3" s="1"/>
  <c r="Q91" i="3"/>
  <c r="R91" i="3"/>
  <c r="S91" i="3"/>
  <c r="T91" i="3"/>
  <c r="U91" i="3"/>
  <c r="V91" i="3"/>
  <c r="W91" i="3"/>
  <c r="X91" i="3"/>
  <c r="Y91" i="3"/>
  <c r="Z91" i="3"/>
  <c r="AA91" i="3"/>
  <c r="AB91" i="3"/>
  <c r="AE91" i="3"/>
  <c r="AF91" i="3"/>
  <c r="AG91" i="3"/>
  <c r="A92" i="3"/>
  <c r="B92" i="3"/>
  <c r="D92" i="3" s="1"/>
  <c r="C92" i="3"/>
  <c r="E92" i="3"/>
  <c r="F92" i="3"/>
  <c r="AC92" i="3" s="1"/>
  <c r="G92" i="3"/>
  <c r="H92" i="3"/>
  <c r="I92" i="3"/>
  <c r="J92" i="3"/>
  <c r="K92" i="3"/>
  <c r="M92" i="3"/>
  <c r="N92" i="3"/>
  <c r="L92" i="3" s="1"/>
  <c r="Q92" i="3"/>
  <c r="R92" i="3"/>
  <c r="S92" i="3"/>
  <c r="T92" i="3"/>
  <c r="U92" i="3"/>
  <c r="V92" i="3"/>
  <c r="W92" i="3"/>
  <c r="X92" i="3"/>
  <c r="Y92" i="3"/>
  <c r="Z92" i="3"/>
  <c r="AA92" i="3"/>
  <c r="AB92" i="3"/>
  <c r="AE92" i="3"/>
  <c r="AF92" i="3"/>
  <c r="AG92" i="3"/>
  <c r="A93" i="3"/>
  <c r="B93" i="3"/>
  <c r="D93" i="3" s="1"/>
  <c r="C93" i="3"/>
  <c r="E93" i="3"/>
  <c r="F93" i="3"/>
  <c r="AC93" i="3" s="1"/>
  <c r="G93" i="3"/>
  <c r="H93" i="3"/>
  <c r="I93" i="3"/>
  <c r="J93" i="3"/>
  <c r="K93" i="3"/>
  <c r="M93" i="3"/>
  <c r="N93" i="3"/>
  <c r="L93" i="3" s="1"/>
  <c r="Q93" i="3"/>
  <c r="R93" i="3"/>
  <c r="S93" i="3"/>
  <c r="T93" i="3"/>
  <c r="U93" i="3"/>
  <c r="V93" i="3"/>
  <c r="W93" i="3"/>
  <c r="X93" i="3"/>
  <c r="Y93" i="3"/>
  <c r="Z93" i="3"/>
  <c r="AA93" i="3"/>
  <c r="AB93" i="3"/>
  <c r="AE93" i="3"/>
  <c r="AF93" i="3"/>
  <c r="AG93" i="3"/>
  <c r="A94" i="3"/>
  <c r="B94" i="3"/>
  <c r="D94" i="3" s="1"/>
  <c r="C94" i="3"/>
  <c r="E94" i="3"/>
  <c r="F94" i="3"/>
  <c r="AC94" i="3" s="1"/>
  <c r="G94" i="3"/>
  <c r="H94" i="3"/>
  <c r="I94" i="3"/>
  <c r="J94" i="3"/>
  <c r="K94" i="3"/>
  <c r="M94" i="3"/>
  <c r="N94" i="3"/>
  <c r="L94" i="3" s="1"/>
  <c r="Q94" i="3"/>
  <c r="R94" i="3"/>
  <c r="S94" i="3"/>
  <c r="T94" i="3"/>
  <c r="U94" i="3"/>
  <c r="V94" i="3"/>
  <c r="W94" i="3"/>
  <c r="X94" i="3"/>
  <c r="Y94" i="3"/>
  <c r="Z94" i="3"/>
  <c r="AA94" i="3"/>
  <c r="AB94" i="3"/>
  <c r="AE94" i="3"/>
  <c r="AF94" i="3"/>
  <c r="AG94" i="3"/>
  <c r="A95" i="3"/>
  <c r="B95" i="3"/>
  <c r="D95" i="3" s="1"/>
  <c r="C95" i="3"/>
  <c r="E95" i="3"/>
  <c r="F95" i="3"/>
  <c r="AC95" i="3" s="1"/>
  <c r="G95" i="3"/>
  <c r="H95" i="3"/>
  <c r="I95" i="3"/>
  <c r="J95" i="3"/>
  <c r="K95" i="3"/>
  <c r="M95" i="3"/>
  <c r="N95" i="3"/>
  <c r="L95" i="3" s="1"/>
  <c r="Q95" i="3"/>
  <c r="R95" i="3"/>
  <c r="S95" i="3"/>
  <c r="T95" i="3"/>
  <c r="U95" i="3"/>
  <c r="V95" i="3"/>
  <c r="W95" i="3"/>
  <c r="X95" i="3"/>
  <c r="Y95" i="3"/>
  <c r="Z95" i="3"/>
  <c r="AA95" i="3"/>
  <c r="AB95" i="3"/>
  <c r="AE95" i="3"/>
  <c r="AF95" i="3"/>
  <c r="AG95" i="3"/>
  <c r="A96" i="3"/>
  <c r="B96" i="3"/>
  <c r="D96" i="3" s="1"/>
  <c r="C96" i="3"/>
  <c r="E96" i="3"/>
  <c r="F96" i="3"/>
  <c r="AC96" i="3" s="1"/>
  <c r="G96" i="3"/>
  <c r="H96" i="3"/>
  <c r="I96" i="3"/>
  <c r="J96" i="3"/>
  <c r="K96" i="3"/>
  <c r="M96" i="3"/>
  <c r="N96" i="3"/>
  <c r="L96" i="3" s="1"/>
  <c r="Q96" i="3"/>
  <c r="R96" i="3"/>
  <c r="S96" i="3"/>
  <c r="T96" i="3"/>
  <c r="U96" i="3"/>
  <c r="V96" i="3"/>
  <c r="W96" i="3"/>
  <c r="X96" i="3"/>
  <c r="Y96" i="3"/>
  <c r="Z96" i="3"/>
  <c r="AA96" i="3"/>
  <c r="AB96" i="3"/>
  <c r="AE96" i="3"/>
  <c r="AF96" i="3"/>
  <c r="AG96" i="3"/>
  <c r="A97" i="3"/>
  <c r="B97" i="3"/>
  <c r="D97" i="3" s="1"/>
  <c r="C97" i="3"/>
  <c r="E97" i="3"/>
  <c r="F97" i="3"/>
  <c r="AC97" i="3" s="1"/>
  <c r="G97" i="3"/>
  <c r="H97" i="3"/>
  <c r="I97" i="3"/>
  <c r="J97" i="3"/>
  <c r="K97" i="3"/>
  <c r="M97" i="3"/>
  <c r="N97" i="3"/>
  <c r="L97" i="3" s="1"/>
  <c r="Q97" i="3"/>
  <c r="R97" i="3"/>
  <c r="S97" i="3"/>
  <c r="T97" i="3"/>
  <c r="U97" i="3"/>
  <c r="V97" i="3"/>
  <c r="W97" i="3"/>
  <c r="X97" i="3"/>
  <c r="Y97" i="3"/>
  <c r="Z97" i="3"/>
  <c r="AA97" i="3"/>
  <c r="AB97" i="3"/>
  <c r="AE97" i="3"/>
  <c r="AF97" i="3"/>
  <c r="AG97" i="3"/>
  <c r="A98" i="3"/>
  <c r="B98" i="3"/>
  <c r="D98" i="3" s="1"/>
  <c r="C98" i="3"/>
  <c r="E98" i="3"/>
  <c r="F98" i="3"/>
  <c r="AC98" i="3" s="1"/>
  <c r="G98" i="3"/>
  <c r="H98" i="3"/>
  <c r="I98" i="3"/>
  <c r="J98" i="3"/>
  <c r="K98" i="3"/>
  <c r="M98" i="3"/>
  <c r="N98" i="3"/>
  <c r="L98" i="3" s="1"/>
  <c r="Q98" i="3"/>
  <c r="R98" i="3"/>
  <c r="S98" i="3"/>
  <c r="T98" i="3"/>
  <c r="U98" i="3"/>
  <c r="V98" i="3"/>
  <c r="W98" i="3"/>
  <c r="X98" i="3"/>
  <c r="Y98" i="3"/>
  <c r="Z98" i="3"/>
  <c r="AA98" i="3"/>
  <c r="AB98" i="3"/>
  <c r="AE98" i="3"/>
  <c r="AF98" i="3"/>
  <c r="AG98" i="3"/>
  <c r="A99" i="3"/>
  <c r="B99" i="3"/>
  <c r="D99" i="3" s="1"/>
  <c r="C99" i="3"/>
  <c r="E99" i="3"/>
  <c r="F99" i="3"/>
  <c r="AC99" i="3" s="1"/>
  <c r="G99" i="3"/>
  <c r="H99" i="3"/>
  <c r="I99" i="3"/>
  <c r="J99" i="3"/>
  <c r="K99" i="3"/>
  <c r="M99" i="3"/>
  <c r="N99" i="3"/>
  <c r="L99" i="3" s="1"/>
  <c r="Q99" i="3"/>
  <c r="R99" i="3"/>
  <c r="S99" i="3"/>
  <c r="T99" i="3"/>
  <c r="U99" i="3"/>
  <c r="V99" i="3"/>
  <c r="W99" i="3"/>
  <c r="X99" i="3"/>
  <c r="Y99" i="3"/>
  <c r="Z99" i="3"/>
  <c r="AA99" i="3"/>
  <c r="AB99" i="3"/>
  <c r="AE99" i="3"/>
  <c r="AF99" i="3"/>
  <c r="AG99" i="3"/>
  <c r="A100" i="3"/>
  <c r="B100" i="3"/>
  <c r="D100" i="3" s="1"/>
  <c r="C100" i="3"/>
  <c r="E100" i="3"/>
  <c r="F100" i="3"/>
  <c r="AC100" i="3" s="1"/>
  <c r="G100" i="3"/>
  <c r="H100" i="3"/>
  <c r="I100" i="3"/>
  <c r="J100" i="3"/>
  <c r="K100" i="3"/>
  <c r="M100" i="3"/>
  <c r="N100" i="3"/>
  <c r="L100" i="3" s="1"/>
  <c r="Q100" i="3"/>
  <c r="R100" i="3"/>
  <c r="S100" i="3"/>
  <c r="T100" i="3"/>
  <c r="U100" i="3"/>
  <c r="V100" i="3"/>
  <c r="W100" i="3"/>
  <c r="X100" i="3"/>
  <c r="Y100" i="3"/>
  <c r="Z100" i="3"/>
  <c r="AA100" i="3"/>
  <c r="AB100" i="3"/>
  <c r="AE100" i="3"/>
  <c r="AF100" i="3"/>
  <c r="AG100" i="3"/>
  <c r="A101" i="3"/>
  <c r="B101" i="3"/>
  <c r="D101" i="3" s="1"/>
  <c r="C101" i="3"/>
  <c r="E101" i="3"/>
  <c r="F101" i="3"/>
  <c r="AC101" i="3" s="1"/>
  <c r="G101" i="3"/>
  <c r="H101" i="3"/>
  <c r="I101" i="3"/>
  <c r="J101" i="3"/>
  <c r="K101" i="3"/>
  <c r="M101" i="3"/>
  <c r="N101" i="3"/>
  <c r="L101" i="3" s="1"/>
  <c r="Q101" i="3"/>
  <c r="R101" i="3"/>
  <c r="S101" i="3"/>
  <c r="T101" i="3"/>
  <c r="U101" i="3"/>
  <c r="V101" i="3"/>
  <c r="W101" i="3"/>
  <c r="X101" i="3"/>
  <c r="Y101" i="3"/>
  <c r="Z101" i="3"/>
  <c r="AA101" i="3"/>
  <c r="AB101" i="3"/>
  <c r="AE101" i="3"/>
  <c r="AF101" i="3"/>
  <c r="AG101" i="3"/>
  <c r="A102" i="3"/>
  <c r="B102" i="3"/>
  <c r="D102" i="3" s="1"/>
  <c r="C102" i="3"/>
  <c r="E102" i="3"/>
  <c r="F102" i="3"/>
  <c r="AC102" i="3" s="1"/>
  <c r="G102" i="3"/>
  <c r="H102" i="3"/>
  <c r="I102" i="3"/>
  <c r="J102" i="3"/>
  <c r="K102" i="3"/>
  <c r="M102" i="3"/>
  <c r="N102" i="3"/>
  <c r="L102" i="3" s="1"/>
  <c r="Q102" i="3"/>
  <c r="R102" i="3"/>
  <c r="S102" i="3"/>
  <c r="T102" i="3"/>
  <c r="U102" i="3"/>
  <c r="V102" i="3"/>
  <c r="W102" i="3"/>
  <c r="X102" i="3"/>
  <c r="Y102" i="3"/>
  <c r="Z102" i="3"/>
  <c r="AA102" i="3"/>
  <c r="AB102" i="3"/>
  <c r="AE102" i="3"/>
  <c r="AF102" i="3"/>
  <c r="AG102" i="3"/>
  <c r="A103" i="3"/>
  <c r="B103" i="3"/>
  <c r="D103" i="3" s="1"/>
  <c r="C103" i="3"/>
  <c r="E103" i="3"/>
  <c r="F103" i="3"/>
  <c r="AC103" i="3" s="1"/>
  <c r="G103" i="3"/>
  <c r="H103" i="3"/>
  <c r="I103" i="3"/>
  <c r="J103" i="3"/>
  <c r="K103" i="3"/>
  <c r="M103" i="3"/>
  <c r="N103" i="3"/>
  <c r="L103" i="3" s="1"/>
  <c r="Q103" i="3"/>
  <c r="R103" i="3"/>
  <c r="S103" i="3"/>
  <c r="T103" i="3"/>
  <c r="U103" i="3"/>
  <c r="V103" i="3"/>
  <c r="W103" i="3"/>
  <c r="X103" i="3"/>
  <c r="Y103" i="3"/>
  <c r="Z103" i="3"/>
  <c r="AA103" i="3"/>
  <c r="AB103" i="3"/>
  <c r="AE103" i="3"/>
  <c r="AF103" i="3"/>
  <c r="AG103" i="3"/>
  <c r="A104" i="3"/>
  <c r="B104" i="3"/>
  <c r="D104" i="3" s="1"/>
  <c r="C104" i="3"/>
  <c r="E104" i="3"/>
  <c r="F104" i="3"/>
  <c r="AC104" i="3" s="1"/>
  <c r="G104" i="3"/>
  <c r="H104" i="3"/>
  <c r="I104" i="3"/>
  <c r="J104" i="3"/>
  <c r="K104" i="3"/>
  <c r="M104" i="3"/>
  <c r="N104" i="3"/>
  <c r="L104" i="3" s="1"/>
  <c r="Q104" i="3"/>
  <c r="R104" i="3"/>
  <c r="S104" i="3"/>
  <c r="T104" i="3"/>
  <c r="U104" i="3"/>
  <c r="V104" i="3"/>
  <c r="W104" i="3"/>
  <c r="X104" i="3"/>
  <c r="Y104" i="3"/>
  <c r="Z104" i="3"/>
  <c r="AA104" i="3"/>
  <c r="AB104" i="3"/>
  <c r="AE104" i="3"/>
  <c r="AF104" i="3"/>
  <c r="AG104" i="3"/>
  <c r="A105" i="3"/>
  <c r="B105" i="3"/>
  <c r="D105" i="3" s="1"/>
  <c r="C105" i="3"/>
  <c r="E105" i="3"/>
  <c r="F105" i="3"/>
  <c r="AC105" i="3" s="1"/>
  <c r="G105" i="3"/>
  <c r="H105" i="3"/>
  <c r="I105" i="3"/>
  <c r="J105" i="3"/>
  <c r="K105" i="3"/>
  <c r="M105" i="3"/>
  <c r="N105" i="3"/>
  <c r="L105" i="3" s="1"/>
  <c r="Q105" i="3"/>
  <c r="R105" i="3"/>
  <c r="S105" i="3"/>
  <c r="T105" i="3"/>
  <c r="U105" i="3"/>
  <c r="V105" i="3"/>
  <c r="W105" i="3"/>
  <c r="X105" i="3"/>
  <c r="Y105" i="3"/>
  <c r="Z105" i="3"/>
  <c r="AA105" i="3"/>
  <c r="AB105" i="3"/>
  <c r="AE105" i="3"/>
  <c r="AF105" i="3"/>
  <c r="AG105" i="3"/>
  <c r="A106" i="3"/>
  <c r="B106" i="3"/>
  <c r="D106" i="3" s="1"/>
  <c r="C106" i="3"/>
  <c r="E106" i="3"/>
  <c r="F106" i="3"/>
  <c r="AC106" i="3" s="1"/>
  <c r="G106" i="3"/>
  <c r="H106" i="3"/>
  <c r="I106" i="3"/>
  <c r="J106" i="3"/>
  <c r="K106" i="3"/>
  <c r="M106" i="3"/>
  <c r="N106" i="3"/>
  <c r="L106" i="3" s="1"/>
  <c r="Q106" i="3"/>
  <c r="R106" i="3"/>
  <c r="S106" i="3"/>
  <c r="T106" i="3"/>
  <c r="U106" i="3"/>
  <c r="V106" i="3"/>
  <c r="W106" i="3"/>
  <c r="X106" i="3"/>
  <c r="Y106" i="3"/>
  <c r="Z106" i="3"/>
  <c r="AA106" i="3"/>
  <c r="AB106" i="3"/>
  <c r="AE106" i="3"/>
  <c r="AF106" i="3"/>
  <c r="AG106" i="3"/>
  <c r="A107" i="3"/>
  <c r="B107" i="3"/>
  <c r="D107" i="3" s="1"/>
  <c r="C107" i="3"/>
  <c r="E107" i="3"/>
  <c r="F107" i="3"/>
  <c r="AC107" i="3" s="1"/>
  <c r="G107" i="3"/>
  <c r="H107" i="3"/>
  <c r="I107" i="3"/>
  <c r="J107" i="3"/>
  <c r="K107" i="3"/>
  <c r="M107" i="3"/>
  <c r="N107" i="3"/>
  <c r="L107" i="3" s="1"/>
  <c r="Q107" i="3"/>
  <c r="R107" i="3"/>
  <c r="S107" i="3"/>
  <c r="T107" i="3"/>
  <c r="U107" i="3"/>
  <c r="V107" i="3"/>
  <c r="W107" i="3"/>
  <c r="X107" i="3"/>
  <c r="Y107" i="3"/>
  <c r="Z107" i="3"/>
  <c r="AA107" i="3"/>
  <c r="AB107" i="3"/>
  <c r="AE107" i="3"/>
  <c r="AF107" i="3"/>
  <c r="AG107" i="3"/>
  <c r="A108" i="3"/>
  <c r="B108" i="3"/>
  <c r="D108" i="3" s="1"/>
  <c r="C108" i="3"/>
  <c r="E108" i="3"/>
  <c r="F108" i="3"/>
  <c r="AC108" i="3" s="1"/>
  <c r="G108" i="3"/>
  <c r="H108" i="3"/>
  <c r="I108" i="3"/>
  <c r="J108" i="3"/>
  <c r="K108" i="3"/>
  <c r="M108" i="3"/>
  <c r="N108" i="3"/>
  <c r="L108" i="3" s="1"/>
  <c r="Q108" i="3"/>
  <c r="R108" i="3"/>
  <c r="S108" i="3"/>
  <c r="T108" i="3"/>
  <c r="U108" i="3"/>
  <c r="V108" i="3"/>
  <c r="W108" i="3"/>
  <c r="X108" i="3"/>
  <c r="Y108" i="3"/>
  <c r="Z108" i="3"/>
  <c r="AA108" i="3"/>
  <c r="AB108" i="3"/>
  <c r="AE108" i="3"/>
  <c r="AF108" i="3"/>
  <c r="AG108" i="3"/>
  <c r="A109" i="3"/>
  <c r="B109" i="3"/>
  <c r="D109" i="3" s="1"/>
  <c r="C109" i="3"/>
  <c r="E109" i="3"/>
  <c r="F109" i="3"/>
  <c r="AC109" i="3" s="1"/>
  <c r="G109" i="3"/>
  <c r="H109" i="3"/>
  <c r="I109" i="3"/>
  <c r="J109" i="3"/>
  <c r="K109" i="3"/>
  <c r="M109" i="3"/>
  <c r="N109" i="3"/>
  <c r="L109" i="3" s="1"/>
  <c r="Q109" i="3"/>
  <c r="R109" i="3"/>
  <c r="S109" i="3"/>
  <c r="T109" i="3"/>
  <c r="U109" i="3"/>
  <c r="V109" i="3"/>
  <c r="W109" i="3"/>
  <c r="X109" i="3"/>
  <c r="Y109" i="3"/>
  <c r="Z109" i="3"/>
  <c r="AA109" i="3"/>
  <c r="AB109" i="3"/>
  <c r="AE109" i="3"/>
  <c r="AF109" i="3"/>
  <c r="AG109" i="3"/>
  <c r="A110" i="3"/>
  <c r="B110" i="3"/>
  <c r="D110" i="3" s="1"/>
  <c r="C110" i="3"/>
  <c r="E110" i="3"/>
  <c r="F110" i="3"/>
  <c r="AC110" i="3" s="1"/>
  <c r="G110" i="3"/>
  <c r="H110" i="3"/>
  <c r="I110" i="3"/>
  <c r="J110" i="3"/>
  <c r="K110" i="3"/>
  <c r="M110" i="3"/>
  <c r="N110" i="3"/>
  <c r="L110" i="3" s="1"/>
  <c r="Q110" i="3"/>
  <c r="R110" i="3"/>
  <c r="S110" i="3"/>
  <c r="T110" i="3"/>
  <c r="U110" i="3"/>
  <c r="V110" i="3"/>
  <c r="W110" i="3"/>
  <c r="X110" i="3"/>
  <c r="Y110" i="3"/>
  <c r="Z110" i="3"/>
  <c r="AA110" i="3"/>
  <c r="AB110" i="3"/>
  <c r="AE110" i="3"/>
  <c r="AF110" i="3"/>
  <c r="AG110" i="3"/>
  <c r="A111" i="3"/>
  <c r="B111" i="3"/>
  <c r="D111" i="3" s="1"/>
  <c r="C111" i="3"/>
  <c r="E111" i="3"/>
  <c r="F111" i="3"/>
  <c r="AC111" i="3" s="1"/>
  <c r="G111" i="3"/>
  <c r="H111" i="3"/>
  <c r="I111" i="3"/>
  <c r="J111" i="3"/>
  <c r="K111" i="3"/>
  <c r="M111" i="3"/>
  <c r="N111" i="3"/>
  <c r="L111" i="3" s="1"/>
  <c r="Q111" i="3"/>
  <c r="R111" i="3"/>
  <c r="S111" i="3"/>
  <c r="T111" i="3"/>
  <c r="U111" i="3"/>
  <c r="V111" i="3"/>
  <c r="W111" i="3"/>
  <c r="X111" i="3"/>
  <c r="Y111" i="3"/>
  <c r="Z111" i="3"/>
  <c r="AA111" i="3"/>
  <c r="AB111" i="3"/>
  <c r="AE111" i="3"/>
  <c r="AF111" i="3"/>
  <c r="AG111" i="3"/>
  <c r="A112" i="3"/>
  <c r="B112" i="3"/>
  <c r="D112" i="3" s="1"/>
  <c r="C112" i="3"/>
  <c r="E112" i="3"/>
  <c r="F112" i="3"/>
  <c r="AC112" i="3" s="1"/>
  <c r="G112" i="3"/>
  <c r="H112" i="3"/>
  <c r="I112" i="3"/>
  <c r="J112" i="3"/>
  <c r="K112" i="3"/>
  <c r="M112" i="3"/>
  <c r="N112" i="3"/>
  <c r="L112" i="3" s="1"/>
  <c r="Q112" i="3"/>
  <c r="R112" i="3"/>
  <c r="S112" i="3"/>
  <c r="T112" i="3"/>
  <c r="U112" i="3"/>
  <c r="V112" i="3"/>
  <c r="W112" i="3"/>
  <c r="X112" i="3"/>
  <c r="Y112" i="3"/>
  <c r="Z112" i="3"/>
  <c r="AA112" i="3"/>
  <c r="AB112" i="3"/>
  <c r="AE112" i="3"/>
  <c r="AF112" i="3"/>
  <c r="AG112" i="3"/>
  <c r="A113" i="3"/>
  <c r="B113" i="3"/>
  <c r="D113" i="3" s="1"/>
  <c r="C113" i="3"/>
  <c r="E113" i="3"/>
  <c r="F113" i="3"/>
  <c r="AC113" i="3" s="1"/>
  <c r="G113" i="3"/>
  <c r="H113" i="3"/>
  <c r="I113" i="3"/>
  <c r="J113" i="3"/>
  <c r="K113" i="3"/>
  <c r="M113" i="3"/>
  <c r="N113" i="3"/>
  <c r="L113" i="3" s="1"/>
  <c r="Q113" i="3"/>
  <c r="R113" i="3"/>
  <c r="S113" i="3"/>
  <c r="T113" i="3"/>
  <c r="U113" i="3"/>
  <c r="V113" i="3"/>
  <c r="W113" i="3"/>
  <c r="X113" i="3"/>
  <c r="Y113" i="3"/>
  <c r="Z113" i="3"/>
  <c r="AA113" i="3"/>
  <c r="AB113" i="3"/>
  <c r="AE113" i="3"/>
  <c r="AF113" i="3"/>
  <c r="AG113" i="3"/>
  <c r="A114" i="3"/>
  <c r="B114" i="3"/>
  <c r="D114" i="3" s="1"/>
  <c r="C114" i="3"/>
  <c r="E114" i="3"/>
  <c r="F114" i="3"/>
  <c r="AC114" i="3" s="1"/>
  <c r="G114" i="3"/>
  <c r="H114" i="3"/>
  <c r="I114" i="3"/>
  <c r="J114" i="3"/>
  <c r="K114" i="3"/>
  <c r="M114" i="3"/>
  <c r="N114" i="3"/>
  <c r="L114" i="3" s="1"/>
  <c r="Q114" i="3"/>
  <c r="R114" i="3"/>
  <c r="S114" i="3"/>
  <c r="T114" i="3"/>
  <c r="U114" i="3"/>
  <c r="V114" i="3"/>
  <c r="W114" i="3"/>
  <c r="X114" i="3"/>
  <c r="Y114" i="3"/>
  <c r="Z114" i="3"/>
  <c r="AA114" i="3"/>
  <c r="AB114" i="3"/>
  <c r="AE114" i="3"/>
  <c r="AF114" i="3"/>
  <c r="AG114" i="3"/>
  <c r="A115" i="3"/>
  <c r="B115" i="3"/>
  <c r="D115" i="3" s="1"/>
  <c r="C115" i="3"/>
  <c r="E115" i="3"/>
  <c r="F115" i="3"/>
  <c r="AC115" i="3" s="1"/>
  <c r="G115" i="3"/>
  <c r="H115" i="3"/>
  <c r="I115" i="3"/>
  <c r="J115" i="3"/>
  <c r="K115" i="3"/>
  <c r="M115" i="3"/>
  <c r="N115" i="3"/>
  <c r="L115" i="3" s="1"/>
  <c r="Q115" i="3"/>
  <c r="R115" i="3"/>
  <c r="S115" i="3"/>
  <c r="T115" i="3"/>
  <c r="U115" i="3"/>
  <c r="V115" i="3"/>
  <c r="W115" i="3"/>
  <c r="X115" i="3"/>
  <c r="Y115" i="3"/>
  <c r="Z115" i="3"/>
  <c r="AA115" i="3"/>
  <c r="AB115" i="3"/>
  <c r="AE115" i="3"/>
  <c r="AF115" i="3"/>
  <c r="AG115" i="3"/>
  <c r="A116" i="3"/>
  <c r="B116" i="3"/>
  <c r="D116" i="3" s="1"/>
  <c r="C116" i="3"/>
  <c r="E116" i="3"/>
  <c r="F116" i="3"/>
  <c r="AC116" i="3" s="1"/>
  <c r="G116" i="3"/>
  <c r="H116" i="3"/>
  <c r="I116" i="3"/>
  <c r="J116" i="3"/>
  <c r="K116" i="3"/>
  <c r="M116" i="3"/>
  <c r="N116" i="3"/>
  <c r="L116" i="3" s="1"/>
  <c r="Q116" i="3"/>
  <c r="R116" i="3"/>
  <c r="S116" i="3"/>
  <c r="T116" i="3"/>
  <c r="U116" i="3"/>
  <c r="V116" i="3"/>
  <c r="W116" i="3"/>
  <c r="X116" i="3"/>
  <c r="Y116" i="3"/>
  <c r="Z116" i="3"/>
  <c r="AA116" i="3"/>
  <c r="AB116" i="3"/>
  <c r="AE116" i="3"/>
  <c r="AF116" i="3"/>
  <c r="AG116" i="3"/>
  <c r="A117" i="3"/>
  <c r="B117" i="3"/>
  <c r="D117" i="3" s="1"/>
  <c r="C117" i="3"/>
  <c r="E117" i="3"/>
  <c r="F117" i="3"/>
  <c r="AC117" i="3" s="1"/>
  <c r="G117" i="3"/>
  <c r="H117" i="3"/>
  <c r="I117" i="3"/>
  <c r="J117" i="3"/>
  <c r="K117" i="3"/>
  <c r="M117" i="3"/>
  <c r="N117" i="3"/>
  <c r="L117" i="3" s="1"/>
  <c r="Q117" i="3"/>
  <c r="R117" i="3"/>
  <c r="S117" i="3"/>
  <c r="T117" i="3"/>
  <c r="U117" i="3"/>
  <c r="V117" i="3"/>
  <c r="W117" i="3"/>
  <c r="X117" i="3"/>
  <c r="Y117" i="3"/>
  <c r="Z117" i="3"/>
  <c r="AA117" i="3"/>
  <c r="AB117" i="3"/>
  <c r="AE117" i="3"/>
  <c r="AF117" i="3"/>
  <c r="AG117" i="3"/>
  <c r="A118" i="3"/>
  <c r="B118" i="3"/>
  <c r="D118" i="3" s="1"/>
  <c r="C118" i="3"/>
  <c r="E118" i="3"/>
  <c r="F118" i="3"/>
  <c r="AC118" i="3" s="1"/>
  <c r="G118" i="3"/>
  <c r="H118" i="3"/>
  <c r="I118" i="3"/>
  <c r="J118" i="3"/>
  <c r="K118" i="3"/>
  <c r="M118" i="3"/>
  <c r="N118" i="3"/>
  <c r="L118" i="3" s="1"/>
  <c r="Q118" i="3"/>
  <c r="R118" i="3"/>
  <c r="S118" i="3"/>
  <c r="T118" i="3"/>
  <c r="U118" i="3"/>
  <c r="V118" i="3"/>
  <c r="W118" i="3"/>
  <c r="X118" i="3"/>
  <c r="Y118" i="3"/>
  <c r="Z118" i="3"/>
  <c r="AA118" i="3"/>
  <c r="AB118" i="3"/>
  <c r="AE118" i="3"/>
  <c r="AF118" i="3"/>
  <c r="AG118" i="3"/>
  <c r="A119" i="3"/>
  <c r="B119" i="3"/>
  <c r="D119" i="3" s="1"/>
  <c r="C119" i="3"/>
  <c r="E119" i="3"/>
  <c r="F119" i="3"/>
  <c r="AC119" i="3" s="1"/>
  <c r="G119" i="3"/>
  <c r="H119" i="3"/>
  <c r="I119" i="3"/>
  <c r="J119" i="3"/>
  <c r="K119" i="3"/>
  <c r="M119" i="3"/>
  <c r="N119" i="3"/>
  <c r="L119" i="3" s="1"/>
  <c r="Q119" i="3"/>
  <c r="R119" i="3"/>
  <c r="S119" i="3"/>
  <c r="T119" i="3"/>
  <c r="U119" i="3"/>
  <c r="V119" i="3"/>
  <c r="W119" i="3"/>
  <c r="X119" i="3"/>
  <c r="Y119" i="3"/>
  <c r="Z119" i="3"/>
  <c r="AA119" i="3"/>
  <c r="AB119" i="3"/>
  <c r="AE119" i="3"/>
  <c r="AF119" i="3"/>
  <c r="AG119" i="3"/>
  <c r="A120" i="3"/>
  <c r="B120" i="3"/>
  <c r="D120" i="3" s="1"/>
  <c r="C120" i="3"/>
  <c r="E120" i="3"/>
  <c r="F120" i="3"/>
  <c r="AC120" i="3" s="1"/>
  <c r="G120" i="3"/>
  <c r="H120" i="3"/>
  <c r="I120" i="3"/>
  <c r="J120" i="3"/>
  <c r="K120" i="3"/>
  <c r="M120" i="3"/>
  <c r="N120" i="3"/>
  <c r="L120" i="3" s="1"/>
  <c r="Q120" i="3"/>
  <c r="R120" i="3"/>
  <c r="S120" i="3"/>
  <c r="T120" i="3"/>
  <c r="U120" i="3"/>
  <c r="V120" i="3"/>
  <c r="W120" i="3"/>
  <c r="X120" i="3"/>
  <c r="Y120" i="3"/>
  <c r="Z120" i="3"/>
  <c r="AA120" i="3"/>
  <c r="AB120" i="3"/>
  <c r="AE120" i="3"/>
  <c r="AF120" i="3"/>
  <c r="AG120" i="3"/>
  <c r="A121" i="3"/>
  <c r="B121" i="3"/>
  <c r="D121" i="3" s="1"/>
  <c r="C121" i="3"/>
  <c r="E121" i="3"/>
  <c r="F121" i="3"/>
  <c r="AC121" i="3" s="1"/>
  <c r="G121" i="3"/>
  <c r="H121" i="3"/>
  <c r="I121" i="3"/>
  <c r="J121" i="3"/>
  <c r="K121" i="3"/>
  <c r="M121" i="3"/>
  <c r="N121" i="3"/>
  <c r="L121" i="3" s="1"/>
  <c r="Q121" i="3"/>
  <c r="R121" i="3"/>
  <c r="S121" i="3"/>
  <c r="T121" i="3"/>
  <c r="U121" i="3"/>
  <c r="V121" i="3"/>
  <c r="W121" i="3"/>
  <c r="X121" i="3"/>
  <c r="Y121" i="3"/>
  <c r="Z121" i="3"/>
  <c r="AA121" i="3"/>
  <c r="AB121" i="3"/>
  <c r="AE121" i="3"/>
  <c r="AF121" i="3"/>
  <c r="AG121" i="3"/>
  <c r="A122" i="3"/>
  <c r="B122" i="3"/>
  <c r="D122" i="3" s="1"/>
  <c r="C122" i="3"/>
  <c r="E122" i="3"/>
  <c r="F122" i="3"/>
  <c r="AC122" i="3" s="1"/>
  <c r="G122" i="3"/>
  <c r="H122" i="3"/>
  <c r="I122" i="3"/>
  <c r="J122" i="3"/>
  <c r="K122" i="3"/>
  <c r="M122" i="3"/>
  <c r="N122" i="3"/>
  <c r="L122" i="3" s="1"/>
  <c r="Q122" i="3"/>
  <c r="R122" i="3"/>
  <c r="S122" i="3"/>
  <c r="T122" i="3"/>
  <c r="U122" i="3"/>
  <c r="V122" i="3"/>
  <c r="W122" i="3"/>
  <c r="X122" i="3"/>
  <c r="Y122" i="3"/>
  <c r="Z122" i="3"/>
  <c r="AA122" i="3"/>
  <c r="AB122" i="3"/>
  <c r="AE122" i="3"/>
  <c r="AF122" i="3"/>
  <c r="AG122" i="3"/>
  <c r="A123" i="3"/>
  <c r="B123" i="3"/>
  <c r="D123" i="3" s="1"/>
  <c r="C123" i="3"/>
  <c r="E123" i="3"/>
  <c r="F123" i="3"/>
  <c r="AC123" i="3" s="1"/>
  <c r="G123" i="3"/>
  <c r="H123" i="3"/>
  <c r="I123" i="3"/>
  <c r="J123" i="3"/>
  <c r="K123" i="3"/>
  <c r="M123" i="3"/>
  <c r="N123" i="3"/>
  <c r="L123" i="3" s="1"/>
  <c r="Q123" i="3"/>
  <c r="R123" i="3"/>
  <c r="S123" i="3"/>
  <c r="T123" i="3"/>
  <c r="U123" i="3"/>
  <c r="V123" i="3"/>
  <c r="W123" i="3"/>
  <c r="X123" i="3"/>
  <c r="Y123" i="3"/>
  <c r="Z123" i="3"/>
  <c r="AA123" i="3"/>
  <c r="AB123" i="3"/>
  <c r="AE123" i="3"/>
  <c r="AF123" i="3"/>
  <c r="AG123" i="3"/>
  <c r="A124" i="3"/>
  <c r="B124" i="3"/>
  <c r="D124" i="3" s="1"/>
  <c r="C124" i="3"/>
  <c r="E124" i="3"/>
  <c r="F124" i="3"/>
  <c r="AC124" i="3" s="1"/>
  <c r="G124" i="3"/>
  <c r="H124" i="3"/>
  <c r="I124" i="3"/>
  <c r="J124" i="3"/>
  <c r="K124" i="3"/>
  <c r="M124" i="3"/>
  <c r="N124" i="3"/>
  <c r="L124" i="3" s="1"/>
  <c r="Q124" i="3"/>
  <c r="R124" i="3"/>
  <c r="S124" i="3"/>
  <c r="T124" i="3"/>
  <c r="U124" i="3"/>
  <c r="V124" i="3"/>
  <c r="W124" i="3"/>
  <c r="X124" i="3"/>
  <c r="Y124" i="3"/>
  <c r="Z124" i="3"/>
  <c r="AA124" i="3"/>
  <c r="AB124" i="3"/>
  <c r="AE124" i="3"/>
  <c r="AF124" i="3"/>
  <c r="AG124" i="3"/>
  <c r="A125" i="3"/>
  <c r="B125" i="3"/>
  <c r="D125" i="3" s="1"/>
  <c r="C125" i="3"/>
  <c r="E125" i="3"/>
  <c r="F125" i="3"/>
  <c r="AC125" i="3" s="1"/>
  <c r="G125" i="3"/>
  <c r="H125" i="3"/>
  <c r="I125" i="3"/>
  <c r="J125" i="3"/>
  <c r="K125" i="3"/>
  <c r="M125" i="3"/>
  <c r="N125" i="3"/>
  <c r="L125" i="3" s="1"/>
  <c r="Q125" i="3"/>
  <c r="R125" i="3"/>
  <c r="S125" i="3"/>
  <c r="T125" i="3"/>
  <c r="U125" i="3"/>
  <c r="V125" i="3"/>
  <c r="W125" i="3"/>
  <c r="X125" i="3"/>
  <c r="Y125" i="3"/>
  <c r="Z125" i="3"/>
  <c r="AA125" i="3"/>
  <c r="AB125" i="3"/>
  <c r="AE125" i="3"/>
  <c r="AF125" i="3"/>
  <c r="AG125" i="3"/>
  <c r="A126" i="3"/>
  <c r="B126" i="3"/>
  <c r="D126" i="3" s="1"/>
  <c r="C126" i="3"/>
  <c r="E126" i="3"/>
  <c r="F126" i="3"/>
  <c r="AC126" i="3" s="1"/>
  <c r="G126" i="3"/>
  <c r="H126" i="3"/>
  <c r="I126" i="3"/>
  <c r="J126" i="3"/>
  <c r="K126" i="3"/>
  <c r="M126" i="3"/>
  <c r="N126" i="3"/>
  <c r="L126" i="3" s="1"/>
  <c r="Q126" i="3"/>
  <c r="R126" i="3"/>
  <c r="S126" i="3"/>
  <c r="T126" i="3"/>
  <c r="U126" i="3"/>
  <c r="V126" i="3"/>
  <c r="W126" i="3"/>
  <c r="X126" i="3"/>
  <c r="Y126" i="3"/>
  <c r="Z126" i="3"/>
  <c r="AA126" i="3"/>
  <c r="AB126" i="3"/>
  <c r="AE126" i="3"/>
  <c r="AF126" i="3"/>
  <c r="AG126" i="3"/>
  <c r="A127" i="3"/>
  <c r="B127" i="3"/>
  <c r="D127" i="3" s="1"/>
  <c r="C127" i="3"/>
  <c r="E127" i="3"/>
  <c r="F127" i="3"/>
  <c r="AC127" i="3" s="1"/>
  <c r="G127" i="3"/>
  <c r="H127" i="3"/>
  <c r="I127" i="3"/>
  <c r="J127" i="3"/>
  <c r="K127" i="3"/>
  <c r="M127" i="3"/>
  <c r="N127" i="3"/>
  <c r="L127" i="3" s="1"/>
  <c r="Q127" i="3"/>
  <c r="R127" i="3"/>
  <c r="S127" i="3"/>
  <c r="T127" i="3"/>
  <c r="U127" i="3"/>
  <c r="V127" i="3"/>
  <c r="W127" i="3"/>
  <c r="X127" i="3"/>
  <c r="Y127" i="3"/>
  <c r="Z127" i="3"/>
  <c r="AA127" i="3"/>
  <c r="AB127" i="3"/>
  <c r="AE127" i="3"/>
  <c r="AF127" i="3"/>
  <c r="AG127" i="3"/>
  <c r="A128" i="3"/>
  <c r="B128" i="3"/>
  <c r="D128" i="3" s="1"/>
  <c r="C128" i="3"/>
  <c r="E128" i="3"/>
  <c r="F128" i="3"/>
  <c r="AC128" i="3" s="1"/>
  <c r="G128" i="3"/>
  <c r="H128" i="3"/>
  <c r="I128" i="3"/>
  <c r="J128" i="3"/>
  <c r="K128" i="3"/>
  <c r="M128" i="3"/>
  <c r="N128" i="3"/>
  <c r="L128" i="3" s="1"/>
  <c r="Q128" i="3"/>
  <c r="R128" i="3"/>
  <c r="S128" i="3"/>
  <c r="T128" i="3"/>
  <c r="U128" i="3"/>
  <c r="V128" i="3"/>
  <c r="W128" i="3"/>
  <c r="X128" i="3"/>
  <c r="Y128" i="3"/>
  <c r="Z128" i="3"/>
  <c r="AA128" i="3"/>
  <c r="AB128" i="3"/>
  <c r="AE128" i="3"/>
  <c r="AF128" i="3"/>
  <c r="AG128" i="3"/>
  <c r="A129" i="3"/>
  <c r="B129" i="3"/>
  <c r="D129" i="3" s="1"/>
  <c r="C129" i="3"/>
  <c r="E129" i="3"/>
  <c r="F129" i="3"/>
  <c r="AC129" i="3" s="1"/>
  <c r="G129" i="3"/>
  <c r="H129" i="3"/>
  <c r="I129" i="3"/>
  <c r="J129" i="3"/>
  <c r="K129" i="3"/>
  <c r="M129" i="3"/>
  <c r="N129" i="3"/>
  <c r="L129" i="3" s="1"/>
  <c r="Q129" i="3"/>
  <c r="R129" i="3"/>
  <c r="S129" i="3"/>
  <c r="T129" i="3"/>
  <c r="U129" i="3"/>
  <c r="V129" i="3"/>
  <c r="W129" i="3"/>
  <c r="X129" i="3"/>
  <c r="Y129" i="3"/>
  <c r="Z129" i="3"/>
  <c r="AA129" i="3"/>
  <c r="AB129" i="3"/>
  <c r="AE129" i="3"/>
  <c r="AF129" i="3"/>
  <c r="AG129" i="3"/>
  <c r="A130" i="3"/>
  <c r="B130" i="3"/>
  <c r="D130" i="3" s="1"/>
  <c r="C130" i="3"/>
  <c r="E130" i="3"/>
  <c r="F130" i="3"/>
  <c r="AC130" i="3" s="1"/>
  <c r="G130" i="3"/>
  <c r="H130" i="3"/>
  <c r="I130" i="3"/>
  <c r="J130" i="3"/>
  <c r="K130" i="3"/>
  <c r="M130" i="3"/>
  <c r="N130" i="3"/>
  <c r="L130" i="3" s="1"/>
  <c r="Q130" i="3"/>
  <c r="R130" i="3"/>
  <c r="S130" i="3"/>
  <c r="T130" i="3"/>
  <c r="U130" i="3"/>
  <c r="V130" i="3"/>
  <c r="W130" i="3"/>
  <c r="X130" i="3"/>
  <c r="Y130" i="3"/>
  <c r="Z130" i="3"/>
  <c r="AA130" i="3"/>
  <c r="AB130" i="3"/>
  <c r="AE130" i="3"/>
  <c r="AF130" i="3"/>
  <c r="AG130" i="3"/>
  <c r="A131" i="3"/>
  <c r="B131" i="3"/>
  <c r="D131" i="3" s="1"/>
  <c r="C131" i="3"/>
  <c r="E131" i="3"/>
  <c r="F131" i="3"/>
  <c r="AC131" i="3" s="1"/>
  <c r="G131" i="3"/>
  <c r="H131" i="3"/>
  <c r="I131" i="3"/>
  <c r="J131" i="3"/>
  <c r="K131" i="3"/>
  <c r="M131" i="3"/>
  <c r="N131" i="3"/>
  <c r="L131" i="3" s="1"/>
  <c r="Q131" i="3"/>
  <c r="R131" i="3"/>
  <c r="S131" i="3"/>
  <c r="T131" i="3"/>
  <c r="U131" i="3"/>
  <c r="V131" i="3"/>
  <c r="W131" i="3"/>
  <c r="X131" i="3"/>
  <c r="Y131" i="3"/>
  <c r="Z131" i="3"/>
  <c r="AA131" i="3"/>
  <c r="AB131" i="3"/>
  <c r="AE131" i="3"/>
  <c r="AF131" i="3"/>
  <c r="AG131" i="3"/>
  <c r="A132" i="3"/>
  <c r="B132" i="3"/>
  <c r="D132" i="3" s="1"/>
  <c r="C132" i="3"/>
  <c r="E132" i="3"/>
  <c r="F132" i="3"/>
  <c r="AC132" i="3" s="1"/>
  <c r="G132" i="3"/>
  <c r="H132" i="3"/>
  <c r="I132" i="3"/>
  <c r="J132" i="3"/>
  <c r="K132" i="3"/>
  <c r="M132" i="3"/>
  <c r="N132" i="3"/>
  <c r="L132" i="3" s="1"/>
  <c r="Q132" i="3"/>
  <c r="R132" i="3"/>
  <c r="S132" i="3"/>
  <c r="T132" i="3"/>
  <c r="U132" i="3"/>
  <c r="V132" i="3"/>
  <c r="W132" i="3"/>
  <c r="X132" i="3"/>
  <c r="Y132" i="3"/>
  <c r="Z132" i="3"/>
  <c r="AA132" i="3"/>
  <c r="AB132" i="3"/>
  <c r="AE132" i="3"/>
  <c r="AF132" i="3"/>
  <c r="AG132" i="3"/>
  <c r="A133" i="3"/>
  <c r="B133" i="3"/>
  <c r="D133" i="3" s="1"/>
  <c r="C133" i="3"/>
  <c r="E133" i="3"/>
  <c r="F133" i="3"/>
  <c r="AC133" i="3" s="1"/>
  <c r="G133" i="3"/>
  <c r="H133" i="3"/>
  <c r="I133" i="3"/>
  <c r="J133" i="3"/>
  <c r="K133" i="3"/>
  <c r="M133" i="3"/>
  <c r="N133" i="3"/>
  <c r="L133" i="3" s="1"/>
  <c r="Q133" i="3"/>
  <c r="R133" i="3"/>
  <c r="S133" i="3"/>
  <c r="T133" i="3"/>
  <c r="U133" i="3"/>
  <c r="V133" i="3"/>
  <c r="W133" i="3"/>
  <c r="X133" i="3"/>
  <c r="Y133" i="3"/>
  <c r="Z133" i="3"/>
  <c r="AA133" i="3"/>
  <c r="AB133" i="3"/>
  <c r="AE133" i="3"/>
  <c r="AF133" i="3"/>
  <c r="AG133" i="3"/>
  <c r="A134" i="3"/>
  <c r="B134" i="3"/>
  <c r="D134" i="3" s="1"/>
  <c r="C134" i="3"/>
  <c r="E134" i="3"/>
  <c r="F134" i="3"/>
  <c r="AC134" i="3" s="1"/>
  <c r="G134" i="3"/>
  <c r="H134" i="3"/>
  <c r="I134" i="3"/>
  <c r="J134" i="3"/>
  <c r="K134" i="3"/>
  <c r="M134" i="3"/>
  <c r="N134" i="3"/>
  <c r="L134" i="3" s="1"/>
  <c r="Q134" i="3"/>
  <c r="R134" i="3"/>
  <c r="S134" i="3"/>
  <c r="T134" i="3"/>
  <c r="U134" i="3"/>
  <c r="V134" i="3"/>
  <c r="W134" i="3"/>
  <c r="X134" i="3"/>
  <c r="Y134" i="3"/>
  <c r="Z134" i="3"/>
  <c r="AA134" i="3"/>
  <c r="AB134" i="3"/>
  <c r="AE134" i="3"/>
  <c r="AF134" i="3"/>
  <c r="AG134" i="3"/>
  <c r="A135" i="3"/>
  <c r="B135" i="3"/>
  <c r="D135" i="3" s="1"/>
  <c r="C135" i="3"/>
  <c r="E135" i="3"/>
  <c r="F135" i="3"/>
  <c r="AC135" i="3" s="1"/>
  <c r="G135" i="3"/>
  <c r="H135" i="3"/>
  <c r="I135" i="3"/>
  <c r="J135" i="3"/>
  <c r="K135" i="3"/>
  <c r="M135" i="3"/>
  <c r="N135" i="3"/>
  <c r="L135" i="3" s="1"/>
  <c r="Q135" i="3"/>
  <c r="R135" i="3"/>
  <c r="S135" i="3"/>
  <c r="T135" i="3"/>
  <c r="U135" i="3"/>
  <c r="V135" i="3"/>
  <c r="W135" i="3"/>
  <c r="X135" i="3"/>
  <c r="Y135" i="3"/>
  <c r="Z135" i="3"/>
  <c r="AA135" i="3"/>
  <c r="AB135" i="3"/>
  <c r="AE135" i="3"/>
  <c r="AF135" i="3"/>
  <c r="AG135" i="3"/>
  <c r="A136" i="3"/>
  <c r="B136" i="3"/>
  <c r="D136" i="3" s="1"/>
  <c r="C136" i="3"/>
  <c r="E136" i="3"/>
  <c r="F136" i="3"/>
  <c r="AC136" i="3" s="1"/>
  <c r="G136" i="3"/>
  <c r="H136" i="3"/>
  <c r="I136" i="3"/>
  <c r="J136" i="3"/>
  <c r="K136" i="3"/>
  <c r="M136" i="3"/>
  <c r="N136" i="3"/>
  <c r="L136" i="3" s="1"/>
  <c r="Q136" i="3"/>
  <c r="R136" i="3"/>
  <c r="S136" i="3"/>
  <c r="T136" i="3"/>
  <c r="U136" i="3"/>
  <c r="V136" i="3"/>
  <c r="W136" i="3"/>
  <c r="X136" i="3"/>
  <c r="Y136" i="3"/>
  <c r="Z136" i="3"/>
  <c r="AA136" i="3"/>
  <c r="AB136" i="3"/>
  <c r="AE136" i="3"/>
  <c r="AF136" i="3"/>
  <c r="AG136" i="3"/>
  <c r="A137" i="3"/>
  <c r="B137" i="3"/>
  <c r="D137" i="3" s="1"/>
  <c r="C137" i="3"/>
  <c r="E137" i="3"/>
  <c r="F137" i="3"/>
  <c r="AC137" i="3" s="1"/>
  <c r="G137" i="3"/>
  <c r="H137" i="3"/>
  <c r="I137" i="3"/>
  <c r="J137" i="3"/>
  <c r="K137" i="3"/>
  <c r="M137" i="3"/>
  <c r="N137" i="3"/>
  <c r="L137" i="3" s="1"/>
  <c r="Q137" i="3"/>
  <c r="R137" i="3"/>
  <c r="S137" i="3"/>
  <c r="T137" i="3"/>
  <c r="U137" i="3"/>
  <c r="V137" i="3"/>
  <c r="W137" i="3"/>
  <c r="X137" i="3"/>
  <c r="Y137" i="3"/>
  <c r="Z137" i="3"/>
  <c r="AA137" i="3"/>
  <c r="AB137" i="3"/>
  <c r="AE137" i="3"/>
  <c r="AF137" i="3"/>
  <c r="AG137" i="3"/>
  <c r="A138" i="3"/>
  <c r="B138" i="3"/>
  <c r="D138" i="3" s="1"/>
  <c r="C138" i="3"/>
  <c r="E138" i="3"/>
  <c r="F138" i="3"/>
  <c r="AC138" i="3" s="1"/>
  <c r="G138" i="3"/>
  <c r="H138" i="3"/>
  <c r="I138" i="3"/>
  <c r="J138" i="3"/>
  <c r="K138" i="3"/>
  <c r="M138" i="3"/>
  <c r="N138" i="3"/>
  <c r="L138" i="3" s="1"/>
  <c r="Q138" i="3"/>
  <c r="R138" i="3"/>
  <c r="S138" i="3"/>
  <c r="T138" i="3"/>
  <c r="U138" i="3"/>
  <c r="V138" i="3"/>
  <c r="W138" i="3"/>
  <c r="X138" i="3"/>
  <c r="Y138" i="3"/>
  <c r="Z138" i="3"/>
  <c r="AA138" i="3"/>
  <c r="AB138" i="3"/>
  <c r="AE138" i="3"/>
  <c r="AF138" i="3"/>
  <c r="AG138" i="3"/>
  <c r="A139" i="3"/>
  <c r="B139" i="3"/>
  <c r="D139" i="3" s="1"/>
  <c r="C139" i="3"/>
  <c r="E139" i="3"/>
  <c r="F139" i="3"/>
  <c r="AC139" i="3" s="1"/>
  <c r="G139" i="3"/>
  <c r="H139" i="3"/>
  <c r="I139" i="3"/>
  <c r="J139" i="3"/>
  <c r="K139" i="3"/>
  <c r="M139" i="3"/>
  <c r="N139" i="3"/>
  <c r="L139" i="3" s="1"/>
  <c r="Q139" i="3"/>
  <c r="R139" i="3"/>
  <c r="S139" i="3"/>
  <c r="T139" i="3"/>
  <c r="U139" i="3"/>
  <c r="V139" i="3"/>
  <c r="W139" i="3"/>
  <c r="X139" i="3"/>
  <c r="Y139" i="3"/>
  <c r="Z139" i="3"/>
  <c r="AA139" i="3"/>
  <c r="AB139" i="3"/>
  <c r="AE139" i="3"/>
  <c r="AF139" i="3"/>
  <c r="AG139" i="3"/>
  <c r="A140" i="3"/>
  <c r="B140" i="3"/>
  <c r="D140" i="3" s="1"/>
  <c r="C140" i="3"/>
  <c r="E140" i="3"/>
  <c r="F140" i="3"/>
  <c r="AC140" i="3" s="1"/>
  <c r="G140" i="3"/>
  <c r="H140" i="3"/>
  <c r="I140" i="3"/>
  <c r="J140" i="3"/>
  <c r="K140" i="3"/>
  <c r="M140" i="3"/>
  <c r="N140" i="3"/>
  <c r="L140" i="3" s="1"/>
  <c r="Q140" i="3"/>
  <c r="R140" i="3"/>
  <c r="S140" i="3"/>
  <c r="T140" i="3"/>
  <c r="U140" i="3"/>
  <c r="V140" i="3"/>
  <c r="W140" i="3"/>
  <c r="X140" i="3"/>
  <c r="Y140" i="3"/>
  <c r="Z140" i="3"/>
  <c r="AA140" i="3"/>
  <c r="AB140" i="3"/>
  <c r="AE140" i="3"/>
  <c r="AF140" i="3"/>
  <c r="AG140" i="3"/>
  <c r="A141" i="3"/>
  <c r="B141" i="3"/>
  <c r="D141" i="3" s="1"/>
  <c r="C141" i="3"/>
  <c r="E141" i="3"/>
  <c r="F141" i="3"/>
  <c r="AC141" i="3" s="1"/>
  <c r="G141" i="3"/>
  <c r="H141" i="3"/>
  <c r="I141" i="3"/>
  <c r="J141" i="3"/>
  <c r="K141" i="3"/>
  <c r="M141" i="3"/>
  <c r="N141" i="3"/>
  <c r="L141" i="3" s="1"/>
  <c r="Q141" i="3"/>
  <c r="R141" i="3"/>
  <c r="S141" i="3"/>
  <c r="T141" i="3"/>
  <c r="U141" i="3"/>
  <c r="V141" i="3"/>
  <c r="W141" i="3"/>
  <c r="X141" i="3"/>
  <c r="Y141" i="3"/>
  <c r="Z141" i="3"/>
  <c r="AA141" i="3"/>
  <c r="AB141" i="3"/>
  <c r="AE141" i="3"/>
  <c r="AF141" i="3"/>
  <c r="AG141" i="3"/>
  <c r="A142" i="3"/>
  <c r="B142" i="3"/>
  <c r="D142" i="3" s="1"/>
  <c r="C142" i="3"/>
  <c r="E142" i="3"/>
  <c r="F142" i="3"/>
  <c r="AC142" i="3" s="1"/>
  <c r="G142" i="3"/>
  <c r="H142" i="3"/>
  <c r="I142" i="3"/>
  <c r="J142" i="3"/>
  <c r="K142" i="3"/>
  <c r="M142" i="3"/>
  <c r="N142" i="3"/>
  <c r="L142" i="3" s="1"/>
  <c r="Q142" i="3"/>
  <c r="R142" i="3"/>
  <c r="S142" i="3"/>
  <c r="T142" i="3"/>
  <c r="U142" i="3"/>
  <c r="V142" i="3"/>
  <c r="W142" i="3"/>
  <c r="X142" i="3"/>
  <c r="Y142" i="3"/>
  <c r="Z142" i="3"/>
  <c r="AA142" i="3"/>
  <c r="AB142" i="3"/>
  <c r="AE142" i="3"/>
  <c r="AF142" i="3"/>
  <c r="AG142" i="3"/>
  <c r="A143" i="3"/>
  <c r="B143" i="3"/>
  <c r="D143" i="3" s="1"/>
  <c r="C143" i="3"/>
  <c r="E143" i="3"/>
  <c r="F143" i="3"/>
  <c r="AC143" i="3" s="1"/>
  <c r="G143" i="3"/>
  <c r="H143" i="3"/>
  <c r="I143" i="3"/>
  <c r="J143" i="3"/>
  <c r="K143" i="3"/>
  <c r="M143" i="3"/>
  <c r="N143" i="3"/>
  <c r="L143" i="3" s="1"/>
  <c r="Q143" i="3"/>
  <c r="R143" i="3"/>
  <c r="S143" i="3"/>
  <c r="T143" i="3"/>
  <c r="U143" i="3"/>
  <c r="V143" i="3"/>
  <c r="W143" i="3"/>
  <c r="X143" i="3"/>
  <c r="Y143" i="3"/>
  <c r="Z143" i="3"/>
  <c r="AA143" i="3"/>
  <c r="AB143" i="3"/>
  <c r="AE143" i="3"/>
  <c r="AF143" i="3"/>
  <c r="AG143" i="3"/>
  <c r="A144" i="3"/>
  <c r="B144" i="3"/>
  <c r="D144" i="3" s="1"/>
  <c r="C144" i="3"/>
  <c r="E144" i="3"/>
  <c r="F144" i="3"/>
  <c r="AC144" i="3" s="1"/>
  <c r="G144" i="3"/>
  <c r="H144" i="3"/>
  <c r="I144" i="3"/>
  <c r="J144" i="3"/>
  <c r="K144" i="3"/>
  <c r="M144" i="3"/>
  <c r="N144" i="3"/>
  <c r="L144" i="3" s="1"/>
  <c r="Q144" i="3"/>
  <c r="R144" i="3"/>
  <c r="S144" i="3"/>
  <c r="T144" i="3"/>
  <c r="U144" i="3"/>
  <c r="V144" i="3"/>
  <c r="W144" i="3"/>
  <c r="X144" i="3"/>
  <c r="Y144" i="3"/>
  <c r="Z144" i="3"/>
  <c r="AA144" i="3"/>
  <c r="AB144" i="3"/>
  <c r="AE144" i="3"/>
  <c r="AF144" i="3"/>
  <c r="AG144" i="3"/>
  <c r="A145" i="3"/>
  <c r="B145" i="3"/>
  <c r="D145" i="3" s="1"/>
  <c r="C145" i="3"/>
  <c r="E145" i="3"/>
  <c r="F145" i="3"/>
  <c r="AC145" i="3" s="1"/>
  <c r="G145" i="3"/>
  <c r="H145" i="3"/>
  <c r="I145" i="3"/>
  <c r="J145" i="3"/>
  <c r="K145" i="3"/>
  <c r="M145" i="3"/>
  <c r="N145" i="3"/>
  <c r="L145" i="3" s="1"/>
  <c r="Q145" i="3"/>
  <c r="R145" i="3"/>
  <c r="S145" i="3"/>
  <c r="T145" i="3"/>
  <c r="U145" i="3"/>
  <c r="V145" i="3"/>
  <c r="W145" i="3"/>
  <c r="X145" i="3"/>
  <c r="Y145" i="3"/>
  <c r="Z145" i="3"/>
  <c r="AA145" i="3"/>
  <c r="AB145" i="3"/>
  <c r="AE145" i="3"/>
  <c r="AF145" i="3"/>
  <c r="AG145" i="3"/>
  <c r="A146" i="3"/>
  <c r="B146" i="3"/>
  <c r="D146" i="3" s="1"/>
  <c r="C146" i="3"/>
  <c r="E146" i="3"/>
  <c r="F146" i="3"/>
  <c r="AC146" i="3" s="1"/>
  <c r="G146" i="3"/>
  <c r="H146" i="3"/>
  <c r="I146" i="3"/>
  <c r="J146" i="3"/>
  <c r="K146" i="3"/>
  <c r="M146" i="3"/>
  <c r="N146" i="3"/>
  <c r="L146" i="3" s="1"/>
  <c r="Q146" i="3"/>
  <c r="R146" i="3"/>
  <c r="S146" i="3"/>
  <c r="T146" i="3"/>
  <c r="U146" i="3"/>
  <c r="V146" i="3"/>
  <c r="W146" i="3"/>
  <c r="X146" i="3"/>
  <c r="Y146" i="3"/>
  <c r="Z146" i="3"/>
  <c r="AA146" i="3"/>
  <c r="AB146" i="3"/>
  <c r="AE146" i="3"/>
  <c r="AF146" i="3"/>
  <c r="AG146" i="3"/>
  <c r="A147" i="3"/>
  <c r="B147" i="3"/>
  <c r="D147" i="3" s="1"/>
  <c r="C147" i="3"/>
  <c r="E147" i="3"/>
  <c r="F147" i="3"/>
  <c r="AC147" i="3" s="1"/>
  <c r="G147" i="3"/>
  <c r="H147" i="3"/>
  <c r="I147" i="3"/>
  <c r="J147" i="3"/>
  <c r="K147" i="3"/>
  <c r="M147" i="3"/>
  <c r="N147" i="3"/>
  <c r="L147" i="3" s="1"/>
  <c r="Q147" i="3"/>
  <c r="R147" i="3"/>
  <c r="S147" i="3"/>
  <c r="T147" i="3"/>
  <c r="U147" i="3"/>
  <c r="V147" i="3"/>
  <c r="W147" i="3"/>
  <c r="X147" i="3"/>
  <c r="Y147" i="3"/>
  <c r="Z147" i="3"/>
  <c r="AA147" i="3"/>
  <c r="AB147" i="3"/>
  <c r="AE147" i="3"/>
  <c r="AF147" i="3"/>
  <c r="AG147" i="3"/>
  <c r="A148" i="3"/>
  <c r="B148" i="3"/>
  <c r="D148" i="3" s="1"/>
  <c r="C148" i="3"/>
  <c r="E148" i="3"/>
  <c r="F148" i="3"/>
  <c r="AC148" i="3" s="1"/>
  <c r="G148" i="3"/>
  <c r="H148" i="3"/>
  <c r="I148" i="3"/>
  <c r="J148" i="3"/>
  <c r="K148" i="3"/>
  <c r="M148" i="3"/>
  <c r="N148" i="3"/>
  <c r="L148" i="3" s="1"/>
  <c r="Q148" i="3"/>
  <c r="R148" i="3"/>
  <c r="S148" i="3"/>
  <c r="T148" i="3"/>
  <c r="U148" i="3"/>
  <c r="V148" i="3"/>
  <c r="W148" i="3"/>
  <c r="X148" i="3"/>
  <c r="Y148" i="3"/>
  <c r="Z148" i="3"/>
  <c r="AA148" i="3"/>
  <c r="AB148" i="3"/>
  <c r="AE148" i="3"/>
  <c r="AF148" i="3"/>
  <c r="AG148" i="3"/>
  <c r="A149" i="3"/>
  <c r="B149" i="3"/>
  <c r="D149" i="3" s="1"/>
  <c r="C149" i="3"/>
  <c r="E149" i="3"/>
  <c r="F149" i="3"/>
  <c r="AC149" i="3" s="1"/>
  <c r="G149" i="3"/>
  <c r="H149" i="3"/>
  <c r="I149" i="3"/>
  <c r="J149" i="3"/>
  <c r="K149" i="3"/>
  <c r="M149" i="3"/>
  <c r="N149" i="3"/>
  <c r="L149" i="3" s="1"/>
  <c r="Q149" i="3"/>
  <c r="R149" i="3"/>
  <c r="S149" i="3"/>
  <c r="T149" i="3"/>
  <c r="U149" i="3"/>
  <c r="V149" i="3"/>
  <c r="W149" i="3"/>
  <c r="X149" i="3"/>
  <c r="Y149" i="3"/>
  <c r="Z149" i="3"/>
  <c r="AA149" i="3"/>
  <c r="AB149" i="3"/>
  <c r="AE149" i="3"/>
  <c r="AF149" i="3"/>
  <c r="AG149" i="3"/>
  <c r="A150" i="3"/>
  <c r="B150" i="3"/>
  <c r="D150" i="3" s="1"/>
  <c r="C150" i="3"/>
  <c r="E150" i="3"/>
  <c r="F150" i="3"/>
  <c r="AC150" i="3" s="1"/>
  <c r="G150" i="3"/>
  <c r="H150" i="3"/>
  <c r="I150" i="3"/>
  <c r="J150" i="3"/>
  <c r="K150" i="3"/>
  <c r="M150" i="3"/>
  <c r="N150" i="3"/>
  <c r="L150" i="3" s="1"/>
  <c r="Q150" i="3"/>
  <c r="R150" i="3"/>
  <c r="S150" i="3"/>
  <c r="T150" i="3"/>
  <c r="U150" i="3"/>
  <c r="V150" i="3"/>
  <c r="W150" i="3"/>
  <c r="X150" i="3"/>
  <c r="Y150" i="3"/>
  <c r="Z150" i="3"/>
  <c r="AA150" i="3"/>
  <c r="AB150" i="3"/>
  <c r="AE150" i="3"/>
  <c r="AF150" i="3"/>
  <c r="AG150" i="3"/>
  <c r="A151" i="3"/>
  <c r="B151" i="3"/>
  <c r="D151" i="3" s="1"/>
  <c r="C151" i="3"/>
  <c r="E151" i="3"/>
  <c r="F151" i="3"/>
  <c r="AC151" i="3" s="1"/>
  <c r="G151" i="3"/>
  <c r="H151" i="3"/>
  <c r="I151" i="3"/>
  <c r="J151" i="3"/>
  <c r="K151" i="3"/>
  <c r="M151" i="3"/>
  <c r="N151" i="3"/>
  <c r="L151" i="3" s="1"/>
  <c r="Q151" i="3"/>
  <c r="R151" i="3"/>
  <c r="S151" i="3"/>
  <c r="T151" i="3"/>
  <c r="U151" i="3"/>
  <c r="V151" i="3"/>
  <c r="W151" i="3"/>
  <c r="X151" i="3"/>
  <c r="Y151" i="3"/>
  <c r="Z151" i="3"/>
  <c r="AA151" i="3"/>
  <c r="AB151" i="3"/>
  <c r="AE151" i="3"/>
  <c r="AF151" i="3"/>
  <c r="AG151" i="3"/>
  <c r="A152" i="3"/>
  <c r="B152" i="3"/>
  <c r="D152" i="3" s="1"/>
  <c r="C152" i="3"/>
  <c r="E152" i="3"/>
  <c r="F152" i="3"/>
  <c r="AC152" i="3" s="1"/>
  <c r="G152" i="3"/>
  <c r="H152" i="3"/>
  <c r="I152" i="3"/>
  <c r="J152" i="3"/>
  <c r="K152" i="3"/>
  <c r="M152" i="3"/>
  <c r="N152" i="3"/>
  <c r="L152" i="3" s="1"/>
  <c r="Q152" i="3"/>
  <c r="R152" i="3"/>
  <c r="S152" i="3"/>
  <c r="T152" i="3"/>
  <c r="U152" i="3"/>
  <c r="V152" i="3"/>
  <c r="W152" i="3"/>
  <c r="X152" i="3"/>
  <c r="Y152" i="3"/>
  <c r="Z152" i="3"/>
  <c r="AA152" i="3"/>
  <c r="AB152" i="3"/>
  <c r="AE152" i="3"/>
  <c r="AF152" i="3"/>
  <c r="AG152" i="3"/>
  <c r="A153" i="3"/>
  <c r="B153" i="3"/>
  <c r="D153" i="3" s="1"/>
  <c r="C153" i="3"/>
  <c r="E153" i="3"/>
  <c r="F153" i="3"/>
  <c r="AC153" i="3" s="1"/>
  <c r="G153" i="3"/>
  <c r="H153" i="3"/>
  <c r="I153" i="3"/>
  <c r="J153" i="3"/>
  <c r="K153" i="3"/>
  <c r="M153" i="3"/>
  <c r="N153" i="3"/>
  <c r="L153" i="3" s="1"/>
  <c r="Q153" i="3"/>
  <c r="R153" i="3"/>
  <c r="S153" i="3"/>
  <c r="T153" i="3"/>
  <c r="U153" i="3"/>
  <c r="V153" i="3"/>
  <c r="W153" i="3"/>
  <c r="X153" i="3"/>
  <c r="Y153" i="3"/>
  <c r="Z153" i="3"/>
  <c r="AA153" i="3"/>
  <c r="AB153" i="3"/>
  <c r="AE153" i="3"/>
  <c r="AF153" i="3"/>
  <c r="AG153" i="3"/>
  <c r="A154" i="3"/>
  <c r="B154" i="3"/>
  <c r="D154" i="3" s="1"/>
  <c r="C154" i="3"/>
  <c r="E154" i="3"/>
  <c r="F154" i="3"/>
  <c r="AC154" i="3" s="1"/>
  <c r="G154" i="3"/>
  <c r="H154" i="3"/>
  <c r="I154" i="3"/>
  <c r="J154" i="3"/>
  <c r="K154" i="3"/>
  <c r="M154" i="3"/>
  <c r="N154" i="3"/>
  <c r="L154" i="3" s="1"/>
  <c r="Q154" i="3"/>
  <c r="R154" i="3"/>
  <c r="S154" i="3"/>
  <c r="T154" i="3"/>
  <c r="U154" i="3"/>
  <c r="V154" i="3"/>
  <c r="W154" i="3"/>
  <c r="X154" i="3"/>
  <c r="Y154" i="3"/>
  <c r="Z154" i="3"/>
  <c r="AA154" i="3"/>
  <c r="AB154" i="3"/>
  <c r="AE154" i="3"/>
  <c r="AF154" i="3"/>
  <c r="AG154" i="3"/>
  <c r="A155" i="3"/>
  <c r="B155" i="3"/>
  <c r="D155" i="3" s="1"/>
  <c r="C155" i="3"/>
  <c r="E155" i="3"/>
  <c r="F155" i="3"/>
  <c r="AC155" i="3" s="1"/>
  <c r="G155" i="3"/>
  <c r="H155" i="3"/>
  <c r="I155" i="3"/>
  <c r="J155" i="3"/>
  <c r="K155" i="3"/>
  <c r="M155" i="3"/>
  <c r="N155" i="3"/>
  <c r="L155" i="3" s="1"/>
  <c r="Q155" i="3"/>
  <c r="R155" i="3"/>
  <c r="S155" i="3"/>
  <c r="T155" i="3"/>
  <c r="U155" i="3"/>
  <c r="V155" i="3"/>
  <c r="W155" i="3"/>
  <c r="X155" i="3"/>
  <c r="Y155" i="3"/>
  <c r="Z155" i="3"/>
  <c r="AA155" i="3"/>
  <c r="AB155" i="3"/>
  <c r="AE155" i="3"/>
  <c r="AF155" i="3"/>
  <c r="AG155" i="3"/>
  <c r="A156" i="3"/>
  <c r="B156" i="3"/>
  <c r="D156" i="3" s="1"/>
  <c r="C156" i="3"/>
  <c r="E156" i="3"/>
  <c r="F156" i="3"/>
  <c r="AC156" i="3" s="1"/>
  <c r="G156" i="3"/>
  <c r="H156" i="3"/>
  <c r="I156" i="3"/>
  <c r="J156" i="3"/>
  <c r="K156" i="3"/>
  <c r="M156" i="3"/>
  <c r="N156" i="3"/>
  <c r="L156" i="3" s="1"/>
  <c r="Q156" i="3"/>
  <c r="R156" i="3"/>
  <c r="S156" i="3"/>
  <c r="T156" i="3"/>
  <c r="U156" i="3"/>
  <c r="V156" i="3"/>
  <c r="W156" i="3"/>
  <c r="X156" i="3"/>
  <c r="Y156" i="3"/>
  <c r="Z156" i="3"/>
  <c r="AA156" i="3"/>
  <c r="AB156" i="3"/>
  <c r="AE156" i="3"/>
  <c r="AF156" i="3"/>
  <c r="AG156" i="3"/>
  <c r="A157" i="3"/>
  <c r="B157" i="3"/>
  <c r="D157" i="3" s="1"/>
  <c r="C157" i="3"/>
  <c r="E157" i="3"/>
  <c r="F157" i="3"/>
  <c r="AC157" i="3" s="1"/>
  <c r="G157" i="3"/>
  <c r="H157" i="3"/>
  <c r="I157" i="3"/>
  <c r="J157" i="3"/>
  <c r="K157" i="3"/>
  <c r="M157" i="3"/>
  <c r="N157" i="3"/>
  <c r="L157" i="3" s="1"/>
  <c r="Q157" i="3"/>
  <c r="R157" i="3"/>
  <c r="S157" i="3"/>
  <c r="T157" i="3"/>
  <c r="U157" i="3"/>
  <c r="V157" i="3"/>
  <c r="W157" i="3"/>
  <c r="X157" i="3"/>
  <c r="Y157" i="3"/>
  <c r="Z157" i="3"/>
  <c r="AA157" i="3"/>
  <c r="AB157" i="3"/>
  <c r="AE157" i="3"/>
  <c r="AF157" i="3"/>
  <c r="AG157" i="3"/>
  <c r="A158" i="3"/>
  <c r="B158" i="3"/>
  <c r="D158" i="3" s="1"/>
  <c r="C158" i="3"/>
  <c r="E158" i="3"/>
  <c r="F158" i="3"/>
  <c r="AC158" i="3" s="1"/>
  <c r="G158" i="3"/>
  <c r="H158" i="3"/>
  <c r="I158" i="3"/>
  <c r="J158" i="3"/>
  <c r="K158" i="3"/>
  <c r="M158" i="3"/>
  <c r="N158" i="3"/>
  <c r="L158" i="3" s="1"/>
  <c r="Q158" i="3"/>
  <c r="R158" i="3"/>
  <c r="S158" i="3"/>
  <c r="T158" i="3"/>
  <c r="U158" i="3"/>
  <c r="V158" i="3"/>
  <c r="W158" i="3"/>
  <c r="X158" i="3"/>
  <c r="Y158" i="3"/>
  <c r="Z158" i="3"/>
  <c r="AA158" i="3"/>
  <c r="AB158" i="3"/>
  <c r="AE158" i="3"/>
  <c r="AF158" i="3"/>
  <c r="AG158" i="3"/>
  <c r="A159" i="3"/>
  <c r="B159" i="3"/>
  <c r="D159" i="3" s="1"/>
  <c r="C159" i="3"/>
  <c r="E159" i="3"/>
  <c r="F159" i="3"/>
  <c r="AC159" i="3" s="1"/>
  <c r="G159" i="3"/>
  <c r="H159" i="3"/>
  <c r="I159" i="3"/>
  <c r="J159" i="3"/>
  <c r="K159" i="3"/>
  <c r="M159" i="3"/>
  <c r="N159" i="3"/>
  <c r="L159" i="3" s="1"/>
  <c r="Q159" i="3"/>
  <c r="R159" i="3"/>
  <c r="S159" i="3"/>
  <c r="T159" i="3"/>
  <c r="U159" i="3"/>
  <c r="V159" i="3"/>
  <c r="W159" i="3"/>
  <c r="X159" i="3"/>
  <c r="Y159" i="3"/>
  <c r="Z159" i="3"/>
  <c r="AA159" i="3"/>
  <c r="AB159" i="3"/>
  <c r="AE159" i="3"/>
  <c r="AF159" i="3"/>
  <c r="AG159" i="3"/>
  <c r="A160" i="3"/>
  <c r="B160" i="3"/>
  <c r="D160" i="3" s="1"/>
  <c r="C160" i="3"/>
  <c r="E160" i="3"/>
  <c r="F160" i="3"/>
  <c r="AC160" i="3" s="1"/>
  <c r="G160" i="3"/>
  <c r="H160" i="3"/>
  <c r="I160" i="3"/>
  <c r="J160" i="3"/>
  <c r="K160" i="3"/>
  <c r="M160" i="3"/>
  <c r="N160" i="3"/>
  <c r="L160" i="3" s="1"/>
  <c r="Q160" i="3"/>
  <c r="R160" i="3"/>
  <c r="S160" i="3"/>
  <c r="T160" i="3"/>
  <c r="U160" i="3"/>
  <c r="V160" i="3"/>
  <c r="W160" i="3"/>
  <c r="X160" i="3"/>
  <c r="Y160" i="3"/>
  <c r="Z160" i="3"/>
  <c r="AA160" i="3"/>
  <c r="AB160" i="3"/>
  <c r="AE160" i="3"/>
  <c r="AF160" i="3"/>
  <c r="AG160" i="3"/>
  <c r="A161" i="3"/>
  <c r="B161" i="3"/>
  <c r="D161" i="3" s="1"/>
  <c r="C161" i="3"/>
  <c r="E161" i="3"/>
  <c r="F161" i="3"/>
  <c r="AC161" i="3" s="1"/>
  <c r="G161" i="3"/>
  <c r="H161" i="3"/>
  <c r="I161" i="3"/>
  <c r="J161" i="3"/>
  <c r="K161" i="3"/>
  <c r="M161" i="3"/>
  <c r="N161" i="3"/>
  <c r="L161" i="3" s="1"/>
  <c r="Q161" i="3"/>
  <c r="R161" i="3"/>
  <c r="S161" i="3"/>
  <c r="T161" i="3"/>
  <c r="U161" i="3"/>
  <c r="V161" i="3"/>
  <c r="W161" i="3"/>
  <c r="X161" i="3"/>
  <c r="Y161" i="3"/>
  <c r="Z161" i="3"/>
  <c r="AA161" i="3"/>
  <c r="AB161" i="3"/>
  <c r="AE161" i="3"/>
  <c r="AF161" i="3"/>
  <c r="AG161" i="3"/>
  <c r="A162" i="3"/>
  <c r="B162" i="3"/>
  <c r="D162" i="3" s="1"/>
  <c r="C162" i="3"/>
  <c r="E162" i="3"/>
  <c r="F162" i="3"/>
  <c r="AC162" i="3" s="1"/>
  <c r="G162" i="3"/>
  <c r="H162" i="3"/>
  <c r="I162" i="3"/>
  <c r="J162" i="3"/>
  <c r="K162" i="3"/>
  <c r="M162" i="3"/>
  <c r="N162" i="3"/>
  <c r="L162" i="3" s="1"/>
  <c r="Q162" i="3"/>
  <c r="R162" i="3"/>
  <c r="S162" i="3"/>
  <c r="T162" i="3"/>
  <c r="U162" i="3"/>
  <c r="V162" i="3"/>
  <c r="W162" i="3"/>
  <c r="X162" i="3"/>
  <c r="Y162" i="3"/>
  <c r="Z162" i="3"/>
  <c r="AA162" i="3"/>
  <c r="AB162" i="3"/>
  <c r="AE162" i="3"/>
  <c r="AF162" i="3"/>
  <c r="AG162" i="3"/>
  <c r="A163" i="3"/>
  <c r="B163" i="3"/>
  <c r="D163" i="3" s="1"/>
  <c r="C163" i="3"/>
  <c r="E163" i="3"/>
  <c r="F163" i="3"/>
  <c r="AC163" i="3" s="1"/>
  <c r="G163" i="3"/>
  <c r="H163" i="3"/>
  <c r="I163" i="3"/>
  <c r="J163" i="3"/>
  <c r="K163" i="3"/>
  <c r="M163" i="3"/>
  <c r="N163" i="3"/>
  <c r="L163" i="3" s="1"/>
  <c r="Q163" i="3"/>
  <c r="R163" i="3"/>
  <c r="S163" i="3"/>
  <c r="T163" i="3"/>
  <c r="U163" i="3"/>
  <c r="V163" i="3"/>
  <c r="W163" i="3"/>
  <c r="X163" i="3"/>
  <c r="Y163" i="3"/>
  <c r="Z163" i="3"/>
  <c r="AA163" i="3"/>
  <c r="AB163" i="3"/>
  <c r="AE163" i="3"/>
  <c r="AF163" i="3"/>
  <c r="AG163" i="3"/>
  <c r="A164" i="3"/>
  <c r="B164" i="3"/>
  <c r="D164" i="3" s="1"/>
  <c r="C164" i="3"/>
  <c r="E164" i="3"/>
  <c r="F164" i="3"/>
  <c r="AC164" i="3" s="1"/>
  <c r="G164" i="3"/>
  <c r="H164" i="3"/>
  <c r="I164" i="3"/>
  <c r="J164" i="3"/>
  <c r="K164" i="3"/>
  <c r="M164" i="3"/>
  <c r="N164" i="3"/>
  <c r="L164" i="3" s="1"/>
  <c r="Q164" i="3"/>
  <c r="R164" i="3"/>
  <c r="S164" i="3"/>
  <c r="T164" i="3"/>
  <c r="U164" i="3"/>
  <c r="V164" i="3"/>
  <c r="W164" i="3"/>
  <c r="X164" i="3"/>
  <c r="Y164" i="3"/>
  <c r="Z164" i="3"/>
  <c r="AA164" i="3"/>
  <c r="AB164" i="3"/>
  <c r="AE164" i="3"/>
  <c r="AF164" i="3"/>
  <c r="AG164" i="3"/>
  <c r="A165" i="3"/>
  <c r="B165" i="3"/>
  <c r="D165" i="3" s="1"/>
  <c r="C165" i="3"/>
  <c r="E165" i="3"/>
  <c r="F165" i="3"/>
  <c r="AC165" i="3" s="1"/>
  <c r="G165" i="3"/>
  <c r="H165" i="3"/>
  <c r="I165" i="3"/>
  <c r="J165" i="3"/>
  <c r="K165" i="3"/>
  <c r="M165" i="3"/>
  <c r="N165" i="3"/>
  <c r="L165" i="3" s="1"/>
  <c r="Q165" i="3"/>
  <c r="R165" i="3"/>
  <c r="S165" i="3"/>
  <c r="T165" i="3"/>
  <c r="U165" i="3"/>
  <c r="V165" i="3"/>
  <c r="W165" i="3"/>
  <c r="X165" i="3"/>
  <c r="Y165" i="3"/>
  <c r="Z165" i="3"/>
  <c r="AA165" i="3"/>
  <c r="AB165" i="3"/>
  <c r="AE165" i="3"/>
  <c r="AF165" i="3"/>
  <c r="AG165" i="3"/>
  <c r="A166" i="3"/>
  <c r="B166" i="3"/>
  <c r="D166" i="3" s="1"/>
  <c r="C166" i="3"/>
  <c r="E166" i="3"/>
  <c r="F166" i="3"/>
  <c r="AC166" i="3" s="1"/>
  <c r="G166" i="3"/>
  <c r="H166" i="3"/>
  <c r="I166" i="3"/>
  <c r="J166" i="3"/>
  <c r="K166" i="3"/>
  <c r="M166" i="3"/>
  <c r="N166" i="3"/>
  <c r="L166" i="3" s="1"/>
  <c r="Q166" i="3"/>
  <c r="R166" i="3"/>
  <c r="S166" i="3"/>
  <c r="T166" i="3"/>
  <c r="U166" i="3"/>
  <c r="V166" i="3"/>
  <c r="W166" i="3"/>
  <c r="X166" i="3"/>
  <c r="Y166" i="3"/>
  <c r="Z166" i="3"/>
  <c r="AA166" i="3"/>
  <c r="AB166" i="3"/>
  <c r="AE166" i="3"/>
  <c r="AF166" i="3"/>
  <c r="AG166" i="3"/>
  <c r="A167" i="3"/>
  <c r="B167" i="3"/>
  <c r="D167" i="3" s="1"/>
  <c r="C167" i="3"/>
  <c r="E167" i="3"/>
  <c r="F167" i="3"/>
  <c r="AC167" i="3" s="1"/>
  <c r="G167" i="3"/>
  <c r="H167" i="3"/>
  <c r="I167" i="3"/>
  <c r="J167" i="3"/>
  <c r="K167" i="3"/>
  <c r="M167" i="3"/>
  <c r="N167" i="3"/>
  <c r="L167" i="3" s="1"/>
  <c r="Q167" i="3"/>
  <c r="R167" i="3"/>
  <c r="S167" i="3"/>
  <c r="T167" i="3"/>
  <c r="U167" i="3"/>
  <c r="V167" i="3"/>
  <c r="W167" i="3"/>
  <c r="X167" i="3"/>
  <c r="Y167" i="3"/>
  <c r="Z167" i="3"/>
  <c r="AA167" i="3"/>
  <c r="AB167" i="3"/>
  <c r="AE167" i="3"/>
  <c r="AF167" i="3"/>
  <c r="AG167" i="3"/>
  <c r="A168" i="3"/>
  <c r="B168" i="3"/>
  <c r="D168" i="3" s="1"/>
  <c r="C168" i="3"/>
  <c r="E168" i="3"/>
  <c r="F168" i="3"/>
  <c r="AC168" i="3" s="1"/>
  <c r="G168" i="3"/>
  <c r="H168" i="3"/>
  <c r="I168" i="3"/>
  <c r="J168" i="3"/>
  <c r="K168" i="3"/>
  <c r="M168" i="3"/>
  <c r="N168" i="3"/>
  <c r="L168" i="3" s="1"/>
  <c r="Q168" i="3"/>
  <c r="R168" i="3"/>
  <c r="S168" i="3"/>
  <c r="T168" i="3"/>
  <c r="U168" i="3"/>
  <c r="V168" i="3"/>
  <c r="W168" i="3"/>
  <c r="X168" i="3"/>
  <c r="Y168" i="3"/>
  <c r="Z168" i="3"/>
  <c r="AA168" i="3"/>
  <c r="AB168" i="3"/>
  <c r="AE168" i="3"/>
  <c r="AF168" i="3"/>
  <c r="AG168" i="3"/>
  <c r="A169" i="3"/>
  <c r="B169" i="3"/>
  <c r="D169" i="3" s="1"/>
  <c r="C169" i="3"/>
  <c r="E169" i="3"/>
  <c r="F169" i="3"/>
  <c r="AC169" i="3" s="1"/>
  <c r="G169" i="3"/>
  <c r="H169" i="3"/>
  <c r="I169" i="3"/>
  <c r="J169" i="3"/>
  <c r="K169" i="3"/>
  <c r="M169" i="3"/>
  <c r="N169" i="3"/>
  <c r="L169" i="3" s="1"/>
  <c r="Q169" i="3"/>
  <c r="R169" i="3"/>
  <c r="S169" i="3"/>
  <c r="T169" i="3"/>
  <c r="U169" i="3"/>
  <c r="V169" i="3"/>
  <c r="W169" i="3"/>
  <c r="X169" i="3"/>
  <c r="Y169" i="3"/>
  <c r="Z169" i="3"/>
  <c r="AA169" i="3"/>
  <c r="AB169" i="3"/>
  <c r="AE169" i="3"/>
  <c r="AF169" i="3"/>
  <c r="AG169" i="3"/>
  <c r="A170" i="3"/>
  <c r="B170" i="3"/>
  <c r="D170" i="3" s="1"/>
  <c r="C170" i="3"/>
  <c r="E170" i="3"/>
  <c r="F170" i="3"/>
  <c r="AC170" i="3" s="1"/>
  <c r="G170" i="3"/>
  <c r="H170" i="3"/>
  <c r="I170" i="3"/>
  <c r="J170" i="3"/>
  <c r="K170" i="3"/>
  <c r="M170" i="3"/>
  <c r="N170" i="3"/>
  <c r="L170" i="3" s="1"/>
  <c r="Q170" i="3"/>
  <c r="R170" i="3"/>
  <c r="S170" i="3"/>
  <c r="T170" i="3"/>
  <c r="U170" i="3"/>
  <c r="V170" i="3"/>
  <c r="W170" i="3"/>
  <c r="X170" i="3"/>
  <c r="Y170" i="3"/>
  <c r="Z170" i="3"/>
  <c r="AA170" i="3"/>
  <c r="AB170" i="3"/>
  <c r="AE170" i="3"/>
  <c r="AF170" i="3"/>
  <c r="AG170" i="3"/>
  <c r="A171" i="3"/>
  <c r="B171" i="3"/>
  <c r="D171" i="3" s="1"/>
  <c r="C171" i="3"/>
  <c r="E171" i="3"/>
  <c r="F171" i="3"/>
  <c r="AC171" i="3" s="1"/>
  <c r="G171" i="3"/>
  <c r="H171" i="3"/>
  <c r="I171" i="3"/>
  <c r="J171" i="3"/>
  <c r="K171" i="3"/>
  <c r="M171" i="3"/>
  <c r="N171" i="3"/>
  <c r="L171" i="3" s="1"/>
  <c r="Q171" i="3"/>
  <c r="R171" i="3"/>
  <c r="S171" i="3"/>
  <c r="T171" i="3"/>
  <c r="U171" i="3"/>
  <c r="V171" i="3"/>
  <c r="W171" i="3"/>
  <c r="X171" i="3"/>
  <c r="Y171" i="3"/>
  <c r="Z171" i="3"/>
  <c r="AA171" i="3"/>
  <c r="AB171" i="3"/>
  <c r="AE171" i="3"/>
  <c r="AF171" i="3"/>
  <c r="AG171" i="3"/>
  <c r="A172" i="3"/>
  <c r="B172" i="3"/>
  <c r="D172" i="3" s="1"/>
  <c r="C172" i="3"/>
  <c r="E172" i="3"/>
  <c r="F172" i="3"/>
  <c r="AC172" i="3" s="1"/>
  <c r="G172" i="3"/>
  <c r="H172" i="3"/>
  <c r="I172" i="3"/>
  <c r="J172" i="3"/>
  <c r="K172" i="3"/>
  <c r="M172" i="3"/>
  <c r="N172" i="3"/>
  <c r="L172" i="3" s="1"/>
  <c r="Q172" i="3"/>
  <c r="R172" i="3"/>
  <c r="S172" i="3"/>
  <c r="T172" i="3"/>
  <c r="U172" i="3"/>
  <c r="V172" i="3"/>
  <c r="W172" i="3"/>
  <c r="X172" i="3"/>
  <c r="Y172" i="3"/>
  <c r="Z172" i="3"/>
  <c r="AA172" i="3"/>
  <c r="AB172" i="3"/>
  <c r="AE172" i="3"/>
  <c r="AF172" i="3"/>
  <c r="AG172" i="3"/>
  <c r="A173" i="3"/>
  <c r="B173" i="3"/>
  <c r="D173" i="3" s="1"/>
  <c r="C173" i="3"/>
  <c r="E173" i="3"/>
  <c r="F173" i="3"/>
  <c r="AC173" i="3" s="1"/>
  <c r="G173" i="3"/>
  <c r="H173" i="3"/>
  <c r="I173" i="3"/>
  <c r="J173" i="3"/>
  <c r="K173" i="3"/>
  <c r="M173" i="3"/>
  <c r="N173" i="3"/>
  <c r="L173" i="3" s="1"/>
  <c r="Q173" i="3"/>
  <c r="R173" i="3"/>
  <c r="S173" i="3"/>
  <c r="T173" i="3"/>
  <c r="U173" i="3"/>
  <c r="V173" i="3"/>
  <c r="W173" i="3"/>
  <c r="X173" i="3"/>
  <c r="Y173" i="3"/>
  <c r="Z173" i="3"/>
  <c r="AA173" i="3"/>
  <c r="AB173" i="3"/>
  <c r="AE173" i="3"/>
  <c r="AF173" i="3"/>
  <c r="AG173" i="3"/>
  <c r="A174" i="3"/>
  <c r="B174" i="3"/>
  <c r="D174" i="3" s="1"/>
  <c r="C174" i="3"/>
  <c r="E174" i="3"/>
  <c r="F174" i="3"/>
  <c r="AC174" i="3" s="1"/>
  <c r="G174" i="3"/>
  <c r="H174" i="3"/>
  <c r="I174" i="3"/>
  <c r="J174" i="3"/>
  <c r="K174" i="3"/>
  <c r="M174" i="3"/>
  <c r="N174" i="3"/>
  <c r="L174" i="3" s="1"/>
  <c r="Q174" i="3"/>
  <c r="R174" i="3"/>
  <c r="S174" i="3"/>
  <c r="T174" i="3"/>
  <c r="U174" i="3"/>
  <c r="V174" i="3"/>
  <c r="W174" i="3"/>
  <c r="X174" i="3"/>
  <c r="Y174" i="3"/>
  <c r="Z174" i="3"/>
  <c r="AA174" i="3"/>
  <c r="AB174" i="3"/>
  <c r="AE174" i="3"/>
  <c r="AF174" i="3"/>
  <c r="AG174" i="3"/>
  <c r="A175" i="3"/>
  <c r="B175" i="3"/>
  <c r="D175" i="3" s="1"/>
  <c r="C175" i="3"/>
  <c r="E175" i="3"/>
  <c r="F175" i="3"/>
  <c r="AC175" i="3" s="1"/>
  <c r="G175" i="3"/>
  <c r="H175" i="3"/>
  <c r="I175" i="3"/>
  <c r="J175" i="3"/>
  <c r="K175" i="3"/>
  <c r="M175" i="3"/>
  <c r="N175" i="3"/>
  <c r="L175" i="3" s="1"/>
  <c r="Q175" i="3"/>
  <c r="R175" i="3"/>
  <c r="S175" i="3"/>
  <c r="T175" i="3"/>
  <c r="U175" i="3"/>
  <c r="V175" i="3"/>
  <c r="W175" i="3"/>
  <c r="X175" i="3"/>
  <c r="Y175" i="3"/>
  <c r="Z175" i="3"/>
  <c r="AA175" i="3"/>
  <c r="AB175" i="3"/>
  <c r="AE175" i="3"/>
  <c r="AF175" i="3"/>
  <c r="AG175" i="3"/>
  <c r="A176" i="3"/>
  <c r="B176" i="3"/>
  <c r="D176" i="3" s="1"/>
  <c r="C176" i="3"/>
  <c r="E176" i="3"/>
  <c r="F176" i="3"/>
  <c r="AC176" i="3" s="1"/>
  <c r="G176" i="3"/>
  <c r="H176" i="3"/>
  <c r="I176" i="3"/>
  <c r="J176" i="3"/>
  <c r="K176" i="3"/>
  <c r="M176" i="3"/>
  <c r="N176" i="3"/>
  <c r="L176" i="3" s="1"/>
  <c r="Q176" i="3"/>
  <c r="R176" i="3"/>
  <c r="S176" i="3"/>
  <c r="T176" i="3"/>
  <c r="U176" i="3"/>
  <c r="V176" i="3"/>
  <c r="W176" i="3"/>
  <c r="X176" i="3"/>
  <c r="Y176" i="3"/>
  <c r="Z176" i="3"/>
  <c r="AA176" i="3"/>
  <c r="AB176" i="3"/>
  <c r="AE176" i="3"/>
  <c r="AF176" i="3"/>
  <c r="AG176" i="3"/>
  <c r="A177" i="3"/>
  <c r="B177" i="3"/>
  <c r="D177" i="3" s="1"/>
  <c r="C177" i="3"/>
  <c r="E177" i="3"/>
  <c r="F177" i="3"/>
  <c r="AC177" i="3" s="1"/>
  <c r="G177" i="3"/>
  <c r="H177" i="3"/>
  <c r="I177" i="3"/>
  <c r="J177" i="3"/>
  <c r="K177" i="3"/>
  <c r="M177" i="3"/>
  <c r="N177" i="3"/>
  <c r="L177" i="3" s="1"/>
  <c r="Q177" i="3"/>
  <c r="R177" i="3"/>
  <c r="S177" i="3"/>
  <c r="T177" i="3"/>
  <c r="U177" i="3"/>
  <c r="V177" i="3"/>
  <c r="W177" i="3"/>
  <c r="X177" i="3"/>
  <c r="Y177" i="3"/>
  <c r="Z177" i="3"/>
  <c r="AA177" i="3"/>
  <c r="AB177" i="3"/>
  <c r="AE177" i="3"/>
  <c r="AF177" i="3"/>
  <c r="AG177" i="3"/>
  <c r="A178" i="3"/>
  <c r="B178" i="3"/>
  <c r="D178" i="3" s="1"/>
  <c r="C178" i="3"/>
  <c r="E178" i="3"/>
  <c r="F178" i="3"/>
  <c r="AC178" i="3" s="1"/>
  <c r="G178" i="3"/>
  <c r="H178" i="3"/>
  <c r="I178" i="3"/>
  <c r="J178" i="3"/>
  <c r="K178" i="3"/>
  <c r="M178" i="3"/>
  <c r="N178" i="3"/>
  <c r="L178" i="3" s="1"/>
  <c r="Q178" i="3"/>
  <c r="R178" i="3"/>
  <c r="S178" i="3"/>
  <c r="T178" i="3"/>
  <c r="U178" i="3"/>
  <c r="V178" i="3"/>
  <c r="W178" i="3"/>
  <c r="X178" i="3"/>
  <c r="Y178" i="3"/>
  <c r="Z178" i="3"/>
  <c r="AA178" i="3"/>
  <c r="AB178" i="3"/>
  <c r="AE178" i="3"/>
  <c r="AF178" i="3"/>
  <c r="AG178" i="3"/>
  <c r="A179" i="3"/>
  <c r="B179" i="3"/>
  <c r="D179" i="3" s="1"/>
  <c r="C179" i="3"/>
  <c r="E179" i="3"/>
  <c r="F179" i="3"/>
  <c r="AC179" i="3" s="1"/>
  <c r="G179" i="3"/>
  <c r="H179" i="3"/>
  <c r="I179" i="3"/>
  <c r="J179" i="3"/>
  <c r="K179" i="3"/>
  <c r="M179" i="3"/>
  <c r="N179" i="3"/>
  <c r="L179" i="3" s="1"/>
  <c r="Q179" i="3"/>
  <c r="R179" i="3"/>
  <c r="S179" i="3"/>
  <c r="T179" i="3"/>
  <c r="U179" i="3"/>
  <c r="V179" i="3"/>
  <c r="W179" i="3"/>
  <c r="X179" i="3"/>
  <c r="Y179" i="3"/>
  <c r="Z179" i="3"/>
  <c r="AA179" i="3"/>
  <c r="AB179" i="3"/>
  <c r="AE179" i="3"/>
  <c r="AF179" i="3"/>
  <c r="AG179" i="3"/>
  <c r="A180" i="3"/>
  <c r="B180" i="3"/>
  <c r="D180" i="3" s="1"/>
  <c r="C180" i="3"/>
  <c r="E180" i="3"/>
  <c r="F180" i="3"/>
  <c r="AC180" i="3" s="1"/>
  <c r="G180" i="3"/>
  <c r="H180" i="3"/>
  <c r="I180" i="3"/>
  <c r="J180" i="3"/>
  <c r="K180" i="3"/>
  <c r="M180" i="3"/>
  <c r="N180" i="3"/>
  <c r="L180" i="3" s="1"/>
  <c r="Q180" i="3"/>
  <c r="R180" i="3"/>
  <c r="S180" i="3"/>
  <c r="T180" i="3"/>
  <c r="U180" i="3"/>
  <c r="V180" i="3"/>
  <c r="W180" i="3"/>
  <c r="X180" i="3"/>
  <c r="Y180" i="3"/>
  <c r="Z180" i="3"/>
  <c r="AA180" i="3"/>
  <c r="AB180" i="3"/>
  <c r="AE180" i="3"/>
  <c r="AF180" i="3"/>
  <c r="AG180" i="3"/>
  <c r="A181" i="3"/>
  <c r="B181" i="3"/>
  <c r="D181" i="3" s="1"/>
  <c r="C181" i="3"/>
  <c r="E181" i="3"/>
  <c r="F181" i="3"/>
  <c r="AC181" i="3" s="1"/>
  <c r="G181" i="3"/>
  <c r="H181" i="3"/>
  <c r="I181" i="3"/>
  <c r="J181" i="3"/>
  <c r="K181" i="3"/>
  <c r="M181" i="3"/>
  <c r="N181" i="3"/>
  <c r="L181" i="3" s="1"/>
  <c r="Q181" i="3"/>
  <c r="R181" i="3"/>
  <c r="S181" i="3"/>
  <c r="T181" i="3"/>
  <c r="U181" i="3"/>
  <c r="V181" i="3"/>
  <c r="W181" i="3"/>
  <c r="X181" i="3"/>
  <c r="Y181" i="3"/>
  <c r="Z181" i="3"/>
  <c r="AA181" i="3"/>
  <c r="AB181" i="3"/>
  <c r="AE181" i="3"/>
  <c r="AF181" i="3"/>
  <c r="AG181" i="3"/>
  <c r="A182" i="3"/>
  <c r="B182" i="3"/>
  <c r="D182" i="3" s="1"/>
  <c r="C182" i="3"/>
  <c r="E182" i="3"/>
  <c r="F182" i="3"/>
  <c r="AC182" i="3" s="1"/>
  <c r="G182" i="3"/>
  <c r="H182" i="3"/>
  <c r="I182" i="3"/>
  <c r="J182" i="3"/>
  <c r="K182" i="3"/>
  <c r="M182" i="3"/>
  <c r="N182" i="3"/>
  <c r="L182" i="3" s="1"/>
  <c r="Q182" i="3"/>
  <c r="R182" i="3"/>
  <c r="S182" i="3"/>
  <c r="T182" i="3"/>
  <c r="U182" i="3"/>
  <c r="V182" i="3"/>
  <c r="W182" i="3"/>
  <c r="X182" i="3"/>
  <c r="Y182" i="3"/>
  <c r="Z182" i="3"/>
  <c r="AA182" i="3"/>
  <c r="AB182" i="3"/>
  <c r="AE182" i="3"/>
  <c r="AF182" i="3"/>
  <c r="AG182" i="3"/>
  <c r="A183" i="3"/>
  <c r="B183" i="3"/>
  <c r="D183" i="3" s="1"/>
  <c r="C183" i="3"/>
  <c r="E183" i="3"/>
  <c r="F183" i="3"/>
  <c r="AC183" i="3" s="1"/>
  <c r="G183" i="3"/>
  <c r="H183" i="3"/>
  <c r="I183" i="3"/>
  <c r="J183" i="3"/>
  <c r="K183" i="3"/>
  <c r="M183" i="3"/>
  <c r="N183" i="3"/>
  <c r="L183" i="3" s="1"/>
  <c r="Q183" i="3"/>
  <c r="R183" i="3"/>
  <c r="S183" i="3"/>
  <c r="T183" i="3"/>
  <c r="U183" i="3"/>
  <c r="V183" i="3"/>
  <c r="W183" i="3"/>
  <c r="X183" i="3"/>
  <c r="Y183" i="3"/>
  <c r="Z183" i="3"/>
  <c r="AA183" i="3"/>
  <c r="AB183" i="3"/>
  <c r="AE183" i="3"/>
  <c r="AF183" i="3"/>
  <c r="AG183" i="3"/>
  <c r="A184" i="3"/>
  <c r="B184" i="3"/>
  <c r="D184" i="3" s="1"/>
  <c r="C184" i="3"/>
  <c r="E184" i="3"/>
  <c r="F184" i="3"/>
  <c r="AC184" i="3" s="1"/>
  <c r="G184" i="3"/>
  <c r="H184" i="3"/>
  <c r="I184" i="3"/>
  <c r="J184" i="3"/>
  <c r="K184" i="3"/>
  <c r="M184" i="3"/>
  <c r="N184" i="3"/>
  <c r="L184" i="3" s="1"/>
  <c r="Q184" i="3"/>
  <c r="R184" i="3"/>
  <c r="S184" i="3"/>
  <c r="T184" i="3"/>
  <c r="U184" i="3"/>
  <c r="V184" i="3"/>
  <c r="W184" i="3"/>
  <c r="X184" i="3"/>
  <c r="Y184" i="3"/>
  <c r="Z184" i="3"/>
  <c r="AA184" i="3"/>
  <c r="AB184" i="3"/>
  <c r="AE184" i="3"/>
  <c r="AF184" i="3"/>
  <c r="AG184" i="3"/>
  <c r="A185" i="3"/>
  <c r="B185" i="3"/>
  <c r="D185" i="3" s="1"/>
  <c r="C185" i="3"/>
  <c r="E185" i="3"/>
  <c r="F185" i="3"/>
  <c r="AC185" i="3" s="1"/>
  <c r="G185" i="3"/>
  <c r="H185" i="3"/>
  <c r="I185" i="3"/>
  <c r="J185" i="3"/>
  <c r="K185" i="3"/>
  <c r="M185" i="3"/>
  <c r="N185" i="3"/>
  <c r="L185" i="3" s="1"/>
  <c r="Q185" i="3"/>
  <c r="R185" i="3"/>
  <c r="S185" i="3"/>
  <c r="T185" i="3"/>
  <c r="U185" i="3"/>
  <c r="V185" i="3"/>
  <c r="W185" i="3"/>
  <c r="X185" i="3"/>
  <c r="Y185" i="3"/>
  <c r="Z185" i="3"/>
  <c r="AA185" i="3"/>
  <c r="AB185" i="3"/>
  <c r="AE185" i="3"/>
  <c r="AF185" i="3"/>
  <c r="AG185" i="3"/>
  <c r="A186" i="3"/>
  <c r="B186" i="3"/>
  <c r="D186" i="3" s="1"/>
  <c r="C186" i="3"/>
  <c r="E186" i="3"/>
  <c r="F186" i="3"/>
  <c r="AC186" i="3" s="1"/>
  <c r="G186" i="3"/>
  <c r="H186" i="3"/>
  <c r="I186" i="3"/>
  <c r="J186" i="3"/>
  <c r="K186" i="3"/>
  <c r="M186" i="3"/>
  <c r="N186" i="3"/>
  <c r="L186" i="3" s="1"/>
  <c r="Q186" i="3"/>
  <c r="R186" i="3"/>
  <c r="S186" i="3"/>
  <c r="T186" i="3"/>
  <c r="U186" i="3"/>
  <c r="V186" i="3"/>
  <c r="W186" i="3"/>
  <c r="X186" i="3"/>
  <c r="Y186" i="3"/>
  <c r="Z186" i="3"/>
  <c r="AA186" i="3"/>
  <c r="AB186" i="3"/>
  <c r="AE186" i="3"/>
  <c r="AF186" i="3"/>
  <c r="AG186" i="3"/>
  <c r="A187" i="3"/>
  <c r="B187" i="3"/>
  <c r="D187" i="3" s="1"/>
  <c r="C187" i="3"/>
  <c r="E187" i="3"/>
  <c r="F187" i="3"/>
  <c r="AC187" i="3" s="1"/>
  <c r="G187" i="3"/>
  <c r="H187" i="3"/>
  <c r="I187" i="3"/>
  <c r="J187" i="3"/>
  <c r="K187" i="3"/>
  <c r="M187" i="3"/>
  <c r="N187" i="3"/>
  <c r="L187" i="3" s="1"/>
  <c r="Q187" i="3"/>
  <c r="R187" i="3"/>
  <c r="S187" i="3"/>
  <c r="T187" i="3"/>
  <c r="U187" i="3"/>
  <c r="V187" i="3"/>
  <c r="W187" i="3"/>
  <c r="X187" i="3"/>
  <c r="Y187" i="3"/>
  <c r="Z187" i="3"/>
  <c r="AA187" i="3"/>
  <c r="AB187" i="3"/>
  <c r="AE187" i="3"/>
  <c r="AF187" i="3"/>
  <c r="AG187" i="3"/>
  <c r="A188" i="3"/>
  <c r="B188" i="3"/>
  <c r="D188" i="3" s="1"/>
  <c r="C188" i="3"/>
  <c r="E188" i="3"/>
  <c r="F188" i="3"/>
  <c r="AC188" i="3" s="1"/>
  <c r="G188" i="3"/>
  <c r="H188" i="3"/>
  <c r="I188" i="3"/>
  <c r="J188" i="3"/>
  <c r="K188" i="3"/>
  <c r="M188" i="3"/>
  <c r="N188" i="3"/>
  <c r="L188" i="3" s="1"/>
  <c r="Q188" i="3"/>
  <c r="R188" i="3"/>
  <c r="S188" i="3"/>
  <c r="T188" i="3"/>
  <c r="U188" i="3"/>
  <c r="V188" i="3"/>
  <c r="W188" i="3"/>
  <c r="X188" i="3"/>
  <c r="Y188" i="3"/>
  <c r="Z188" i="3"/>
  <c r="AA188" i="3"/>
  <c r="AB188" i="3"/>
  <c r="AE188" i="3"/>
  <c r="AF188" i="3"/>
  <c r="AG188" i="3"/>
  <c r="A189" i="3"/>
  <c r="B189" i="3"/>
  <c r="D189" i="3" s="1"/>
  <c r="C189" i="3"/>
  <c r="E189" i="3"/>
  <c r="F189" i="3"/>
  <c r="AC189" i="3" s="1"/>
  <c r="G189" i="3"/>
  <c r="H189" i="3"/>
  <c r="I189" i="3"/>
  <c r="J189" i="3"/>
  <c r="K189" i="3"/>
  <c r="M189" i="3"/>
  <c r="N189" i="3"/>
  <c r="L189" i="3" s="1"/>
  <c r="Q189" i="3"/>
  <c r="R189" i="3"/>
  <c r="S189" i="3"/>
  <c r="T189" i="3"/>
  <c r="U189" i="3"/>
  <c r="V189" i="3"/>
  <c r="W189" i="3"/>
  <c r="X189" i="3"/>
  <c r="Y189" i="3"/>
  <c r="Z189" i="3"/>
  <c r="AA189" i="3"/>
  <c r="AB189" i="3"/>
  <c r="AE189" i="3"/>
  <c r="AF189" i="3"/>
  <c r="AG189" i="3"/>
  <c r="A190" i="3"/>
  <c r="B190" i="3"/>
  <c r="D190" i="3" s="1"/>
  <c r="C190" i="3"/>
  <c r="E190" i="3"/>
  <c r="F190" i="3"/>
  <c r="AC190" i="3" s="1"/>
  <c r="G190" i="3"/>
  <c r="H190" i="3"/>
  <c r="I190" i="3"/>
  <c r="J190" i="3"/>
  <c r="K190" i="3"/>
  <c r="M190" i="3"/>
  <c r="N190" i="3"/>
  <c r="L190" i="3" s="1"/>
  <c r="Q190" i="3"/>
  <c r="R190" i="3"/>
  <c r="S190" i="3"/>
  <c r="T190" i="3"/>
  <c r="U190" i="3"/>
  <c r="V190" i="3"/>
  <c r="W190" i="3"/>
  <c r="X190" i="3"/>
  <c r="Y190" i="3"/>
  <c r="Z190" i="3"/>
  <c r="AA190" i="3"/>
  <c r="AB190" i="3"/>
  <c r="AE190" i="3"/>
  <c r="AF190" i="3"/>
  <c r="AG190" i="3"/>
  <c r="A191" i="3"/>
  <c r="B191" i="3"/>
  <c r="D191" i="3" s="1"/>
  <c r="C191" i="3"/>
  <c r="E191" i="3"/>
  <c r="F191" i="3"/>
  <c r="AC191" i="3" s="1"/>
  <c r="G191" i="3"/>
  <c r="H191" i="3"/>
  <c r="I191" i="3"/>
  <c r="J191" i="3"/>
  <c r="K191" i="3"/>
  <c r="M191" i="3"/>
  <c r="N191" i="3"/>
  <c r="L191" i="3" s="1"/>
  <c r="Q191" i="3"/>
  <c r="R191" i="3"/>
  <c r="S191" i="3"/>
  <c r="T191" i="3"/>
  <c r="U191" i="3"/>
  <c r="V191" i="3"/>
  <c r="W191" i="3"/>
  <c r="X191" i="3"/>
  <c r="Y191" i="3"/>
  <c r="Z191" i="3"/>
  <c r="AA191" i="3"/>
  <c r="AB191" i="3"/>
  <c r="AE191" i="3"/>
  <c r="AF191" i="3"/>
  <c r="AG191" i="3"/>
  <c r="A192" i="3"/>
  <c r="B192" i="3"/>
  <c r="D192" i="3" s="1"/>
  <c r="C192" i="3"/>
  <c r="E192" i="3"/>
  <c r="F192" i="3"/>
  <c r="AC192" i="3" s="1"/>
  <c r="G192" i="3"/>
  <c r="H192" i="3"/>
  <c r="I192" i="3"/>
  <c r="J192" i="3"/>
  <c r="K192" i="3"/>
  <c r="M192" i="3"/>
  <c r="N192" i="3"/>
  <c r="L192" i="3" s="1"/>
  <c r="Q192" i="3"/>
  <c r="R192" i="3"/>
  <c r="S192" i="3"/>
  <c r="T192" i="3"/>
  <c r="U192" i="3"/>
  <c r="V192" i="3"/>
  <c r="W192" i="3"/>
  <c r="X192" i="3"/>
  <c r="Y192" i="3"/>
  <c r="Z192" i="3"/>
  <c r="AA192" i="3"/>
  <c r="AB192" i="3"/>
  <c r="AE192" i="3"/>
  <c r="AF192" i="3"/>
  <c r="AG192" i="3"/>
  <c r="A193" i="3"/>
  <c r="B193" i="3"/>
  <c r="D193" i="3" s="1"/>
  <c r="C193" i="3"/>
  <c r="E193" i="3"/>
  <c r="F193" i="3"/>
  <c r="AC193" i="3" s="1"/>
  <c r="G193" i="3"/>
  <c r="H193" i="3"/>
  <c r="I193" i="3"/>
  <c r="J193" i="3"/>
  <c r="K193" i="3"/>
  <c r="M193" i="3"/>
  <c r="N193" i="3"/>
  <c r="L193" i="3" s="1"/>
  <c r="Q193" i="3"/>
  <c r="R193" i="3"/>
  <c r="S193" i="3"/>
  <c r="T193" i="3"/>
  <c r="U193" i="3"/>
  <c r="V193" i="3"/>
  <c r="W193" i="3"/>
  <c r="X193" i="3"/>
  <c r="Y193" i="3"/>
  <c r="Z193" i="3"/>
  <c r="AA193" i="3"/>
  <c r="AB193" i="3"/>
  <c r="AE193" i="3"/>
  <c r="AF193" i="3"/>
  <c r="AG193" i="3"/>
  <c r="A194" i="3"/>
  <c r="B194" i="3"/>
  <c r="D194" i="3" s="1"/>
  <c r="C194" i="3"/>
  <c r="E194" i="3"/>
  <c r="F194" i="3"/>
  <c r="AC194" i="3" s="1"/>
  <c r="G194" i="3"/>
  <c r="H194" i="3"/>
  <c r="I194" i="3"/>
  <c r="J194" i="3"/>
  <c r="K194" i="3"/>
  <c r="M194" i="3"/>
  <c r="N194" i="3"/>
  <c r="L194" i="3" s="1"/>
  <c r="Q194" i="3"/>
  <c r="R194" i="3"/>
  <c r="S194" i="3"/>
  <c r="T194" i="3"/>
  <c r="U194" i="3"/>
  <c r="V194" i="3"/>
  <c r="W194" i="3"/>
  <c r="X194" i="3"/>
  <c r="Y194" i="3"/>
  <c r="Z194" i="3"/>
  <c r="AA194" i="3"/>
  <c r="AB194" i="3"/>
  <c r="AE194" i="3"/>
  <c r="AF194" i="3"/>
  <c r="AG194" i="3"/>
  <c r="A195" i="3"/>
  <c r="B195" i="3"/>
  <c r="D195" i="3" s="1"/>
  <c r="C195" i="3"/>
  <c r="E195" i="3"/>
  <c r="F195" i="3"/>
  <c r="AC195" i="3" s="1"/>
  <c r="G195" i="3"/>
  <c r="H195" i="3"/>
  <c r="I195" i="3"/>
  <c r="J195" i="3"/>
  <c r="K195" i="3"/>
  <c r="M195" i="3"/>
  <c r="N195" i="3"/>
  <c r="L195" i="3" s="1"/>
  <c r="Q195" i="3"/>
  <c r="R195" i="3"/>
  <c r="S195" i="3"/>
  <c r="T195" i="3"/>
  <c r="U195" i="3"/>
  <c r="V195" i="3"/>
  <c r="W195" i="3"/>
  <c r="X195" i="3"/>
  <c r="Y195" i="3"/>
  <c r="Z195" i="3"/>
  <c r="AA195" i="3"/>
  <c r="AB195" i="3"/>
  <c r="AE195" i="3"/>
  <c r="AF195" i="3"/>
  <c r="AG195" i="3"/>
  <c r="A196" i="3"/>
  <c r="B196" i="3"/>
  <c r="D196" i="3" s="1"/>
  <c r="C196" i="3"/>
  <c r="E196" i="3"/>
  <c r="F196" i="3"/>
  <c r="AC196" i="3" s="1"/>
  <c r="G196" i="3"/>
  <c r="H196" i="3"/>
  <c r="I196" i="3"/>
  <c r="J196" i="3"/>
  <c r="K196" i="3"/>
  <c r="M196" i="3"/>
  <c r="N196" i="3"/>
  <c r="L196" i="3" s="1"/>
  <c r="Q196" i="3"/>
  <c r="R196" i="3"/>
  <c r="S196" i="3"/>
  <c r="T196" i="3"/>
  <c r="U196" i="3"/>
  <c r="V196" i="3"/>
  <c r="W196" i="3"/>
  <c r="X196" i="3"/>
  <c r="Y196" i="3"/>
  <c r="Z196" i="3"/>
  <c r="AA196" i="3"/>
  <c r="AB196" i="3"/>
  <c r="AE196" i="3"/>
  <c r="AF196" i="3"/>
  <c r="AG196" i="3"/>
  <c r="A197" i="3"/>
  <c r="B197" i="3"/>
  <c r="D197" i="3" s="1"/>
  <c r="C197" i="3"/>
  <c r="E197" i="3"/>
  <c r="F197" i="3"/>
  <c r="AC197" i="3" s="1"/>
  <c r="G197" i="3"/>
  <c r="H197" i="3"/>
  <c r="I197" i="3"/>
  <c r="J197" i="3"/>
  <c r="K197" i="3"/>
  <c r="M197" i="3"/>
  <c r="N197" i="3"/>
  <c r="L197" i="3" s="1"/>
  <c r="Q197" i="3"/>
  <c r="R197" i="3"/>
  <c r="S197" i="3"/>
  <c r="T197" i="3"/>
  <c r="U197" i="3"/>
  <c r="V197" i="3"/>
  <c r="W197" i="3"/>
  <c r="X197" i="3"/>
  <c r="Y197" i="3"/>
  <c r="Z197" i="3"/>
  <c r="AA197" i="3"/>
  <c r="AB197" i="3"/>
  <c r="AE197" i="3"/>
  <c r="AF197" i="3"/>
  <c r="AG197" i="3"/>
  <c r="A198" i="3"/>
  <c r="B198" i="3"/>
  <c r="D198" i="3" s="1"/>
  <c r="C198" i="3"/>
  <c r="E198" i="3"/>
  <c r="F198" i="3"/>
  <c r="AC198" i="3" s="1"/>
  <c r="G198" i="3"/>
  <c r="H198" i="3"/>
  <c r="I198" i="3"/>
  <c r="J198" i="3"/>
  <c r="K198" i="3"/>
  <c r="M198" i="3"/>
  <c r="N198" i="3"/>
  <c r="L198" i="3" s="1"/>
  <c r="Q198" i="3"/>
  <c r="R198" i="3"/>
  <c r="S198" i="3"/>
  <c r="T198" i="3"/>
  <c r="U198" i="3"/>
  <c r="V198" i="3"/>
  <c r="W198" i="3"/>
  <c r="X198" i="3"/>
  <c r="Y198" i="3"/>
  <c r="Z198" i="3"/>
  <c r="AA198" i="3"/>
  <c r="AB198" i="3"/>
  <c r="AE198" i="3"/>
  <c r="AF198" i="3"/>
  <c r="AG198" i="3"/>
  <c r="A199" i="3"/>
  <c r="B199" i="3"/>
  <c r="D199" i="3" s="1"/>
  <c r="C199" i="3"/>
  <c r="E199" i="3"/>
  <c r="F199" i="3"/>
  <c r="AC199" i="3" s="1"/>
  <c r="G199" i="3"/>
  <c r="H199" i="3"/>
  <c r="I199" i="3"/>
  <c r="J199" i="3"/>
  <c r="K199" i="3"/>
  <c r="M199" i="3"/>
  <c r="N199" i="3"/>
  <c r="L199" i="3" s="1"/>
  <c r="Q199" i="3"/>
  <c r="R199" i="3"/>
  <c r="S199" i="3"/>
  <c r="T199" i="3"/>
  <c r="U199" i="3"/>
  <c r="V199" i="3"/>
  <c r="W199" i="3"/>
  <c r="X199" i="3"/>
  <c r="Y199" i="3"/>
  <c r="Z199" i="3"/>
  <c r="AA199" i="3"/>
  <c r="AB199" i="3"/>
  <c r="AE199" i="3"/>
  <c r="AF199" i="3"/>
  <c r="AG199" i="3"/>
  <c r="A200" i="3"/>
  <c r="B200" i="3"/>
  <c r="D200" i="3" s="1"/>
  <c r="C200" i="3"/>
  <c r="E200" i="3"/>
  <c r="F200" i="3"/>
  <c r="AC200" i="3" s="1"/>
  <c r="G200" i="3"/>
  <c r="H200" i="3"/>
  <c r="I200" i="3"/>
  <c r="J200" i="3"/>
  <c r="K200" i="3"/>
  <c r="M200" i="3"/>
  <c r="N200" i="3"/>
  <c r="L200" i="3" s="1"/>
  <c r="Q200" i="3"/>
  <c r="R200" i="3"/>
  <c r="S200" i="3"/>
  <c r="T200" i="3"/>
  <c r="U200" i="3"/>
  <c r="V200" i="3"/>
  <c r="W200" i="3"/>
  <c r="X200" i="3"/>
  <c r="Y200" i="3"/>
  <c r="Z200" i="3"/>
  <c r="AA200" i="3"/>
  <c r="AB200" i="3"/>
  <c r="AE200" i="3"/>
  <c r="AF200" i="3"/>
  <c r="AG200" i="3"/>
  <c r="A201" i="3"/>
  <c r="B201" i="3"/>
  <c r="D201" i="3" s="1"/>
  <c r="C201" i="3"/>
  <c r="E201" i="3"/>
  <c r="F201" i="3"/>
  <c r="AC201" i="3" s="1"/>
  <c r="G201" i="3"/>
  <c r="H201" i="3"/>
  <c r="I201" i="3"/>
  <c r="J201" i="3"/>
  <c r="K201" i="3"/>
  <c r="M201" i="3"/>
  <c r="N201" i="3"/>
  <c r="L201" i="3" s="1"/>
  <c r="Q201" i="3"/>
  <c r="R201" i="3"/>
  <c r="S201" i="3"/>
  <c r="T201" i="3"/>
  <c r="U201" i="3"/>
  <c r="V201" i="3"/>
  <c r="W201" i="3"/>
  <c r="X201" i="3"/>
  <c r="Y201" i="3"/>
  <c r="Z201" i="3"/>
  <c r="AA201" i="3"/>
  <c r="AB201" i="3"/>
  <c r="AE201" i="3"/>
  <c r="AF201" i="3"/>
  <c r="AG201" i="3"/>
  <c r="A202" i="3"/>
  <c r="B202" i="3"/>
  <c r="D202" i="3" s="1"/>
  <c r="C202" i="3"/>
  <c r="E202" i="3"/>
  <c r="F202" i="3"/>
  <c r="AC202" i="3" s="1"/>
  <c r="G202" i="3"/>
  <c r="H202" i="3"/>
  <c r="I202" i="3"/>
  <c r="J202" i="3"/>
  <c r="K202" i="3"/>
  <c r="M202" i="3"/>
  <c r="N202" i="3"/>
  <c r="L202" i="3" s="1"/>
  <c r="Q202" i="3"/>
  <c r="R202" i="3"/>
  <c r="S202" i="3"/>
  <c r="T202" i="3"/>
  <c r="U202" i="3"/>
  <c r="V202" i="3"/>
  <c r="W202" i="3"/>
  <c r="X202" i="3"/>
  <c r="Y202" i="3"/>
  <c r="Z202" i="3"/>
  <c r="AA202" i="3"/>
  <c r="AB202" i="3"/>
  <c r="AE202" i="3"/>
  <c r="AF202" i="3"/>
  <c r="AG202" i="3"/>
  <c r="A203" i="3"/>
  <c r="B203" i="3"/>
  <c r="D203" i="3" s="1"/>
  <c r="C203" i="3"/>
  <c r="E203" i="3"/>
  <c r="F203" i="3"/>
  <c r="AC203" i="3" s="1"/>
  <c r="G203" i="3"/>
  <c r="H203" i="3"/>
  <c r="I203" i="3"/>
  <c r="J203" i="3"/>
  <c r="K203" i="3"/>
  <c r="M203" i="3"/>
  <c r="N203" i="3"/>
  <c r="L203" i="3" s="1"/>
  <c r="Q203" i="3"/>
  <c r="R203" i="3"/>
  <c r="S203" i="3"/>
  <c r="T203" i="3"/>
  <c r="U203" i="3"/>
  <c r="V203" i="3"/>
  <c r="W203" i="3"/>
  <c r="X203" i="3"/>
  <c r="Y203" i="3"/>
  <c r="Z203" i="3"/>
  <c r="AA203" i="3"/>
  <c r="AB203" i="3"/>
  <c r="AE203" i="3"/>
  <c r="AF203" i="3"/>
  <c r="AG203" i="3"/>
  <c r="A204" i="3"/>
  <c r="B204" i="3"/>
  <c r="D204" i="3" s="1"/>
  <c r="C204" i="3"/>
  <c r="E204" i="3"/>
  <c r="F204" i="3"/>
  <c r="AC204" i="3" s="1"/>
  <c r="G204" i="3"/>
  <c r="H204" i="3"/>
  <c r="I204" i="3"/>
  <c r="J204" i="3"/>
  <c r="K204" i="3"/>
  <c r="M204" i="3"/>
  <c r="N204" i="3"/>
  <c r="L204" i="3" s="1"/>
  <c r="Q204" i="3"/>
  <c r="R204" i="3"/>
  <c r="S204" i="3"/>
  <c r="T204" i="3"/>
  <c r="U204" i="3"/>
  <c r="V204" i="3"/>
  <c r="W204" i="3"/>
  <c r="X204" i="3"/>
  <c r="Y204" i="3"/>
  <c r="Z204" i="3"/>
  <c r="AA204" i="3"/>
  <c r="AB204" i="3"/>
  <c r="AE204" i="3"/>
  <c r="AF204" i="3"/>
  <c r="AG204" i="3"/>
  <c r="A205" i="3"/>
  <c r="B205" i="3"/>
  <c r="D205" i="3" s="1"/>
  <c r="C205" i="3"/>
  <c r="E205" i="3"/>
  <c r="F205" i="3"/>
  <c r="AC205" i="3" s="1"/>
  <c r="G205" i="3"/>
  <c r="H205" i="3"/>
  <c r="I205" i="3"/>
  <c r="J205" i="3"/>
  <c r="K205" i="3"/>
  <c r="M205" i="3"/>
  <c r="N205" i="3"/>
  <c r="L205" i="3" s="1"/>
  <c r="Q205" i="3"/>
  <c r="R205" i="3"/>
  <c r="S205" i="3"/>
  <c r="T205" i="3"/>
  <c r="U205" i="3"/>
  <c r="V205" i="3"/>
  <c r="W205" i="3"/>
  <c r="X205" i="3"/>
  <c r="Y205" i="3"/>
  <c r="Z205" i="3"/>
  <c r="AA205" i="3"/>
  <c r="AB205" i="3"/>
  <c r="AE205" i="3"/>
  <c r="AF205" i="3"/>
  <c r="AG205" i="3"/>
  <c r="A206" i="3"/>
  <c r="B206" i="3"/>
  <c r="D206" i="3" s="1"/>
  <c r="C206" i="3"/>
  <c r="E206" i="3"/>
  <c r="F206" i="3"/>
  <c r="AC206" i="3" s="1"/>
  <c r="G206" i="3"/>
  <c r="H206" i="3"/>
  <c r="I206" i="3"/>
  <c r="J206" i="3"/>
  <c r="K206" i="3"/>
  <c r="M206" i="3"/>
  <c r="N206" i="3"/>
  <c r="L206" i="3" s="1"/>
  <c r="Q206" i="3"/>
  <c r="R206" i="3"/>
  <c r="S206" i="3"/>
  <c r="T206" i="3"/>
  <c r="U206" i="3"/>
  <c r="V206" i="3"/>
  <c r="W206" i="3"/>
  <c r="X206" i="3"/>
  <c r="Y206" i="3"/>
  <c r="Z206" i="3"/>
  <c r="AA206" i="3"/>
  <c r="AB206" i="3"/>
  <c r="AE206" i="3"/>
  <c r="AF206" i="3"/>
  <c r="AG206" i="3"/>
  <c r="A207" i="3"/>
  <c r="B207" i="3"/>
  <c r="D207" i="3" s="1"/>
  <c r="C207" i="3"/>
  <c r="E207" i="3"/>
  <c r="F207" i="3"/>
  <c r="AC207" i="3" s="1"/>
  <c r="G207" i="3"/>
  <c r="H207" i="3"/>
  <c r="I207" i="3"/>
  <c r="J207" i="3"/>
  <c r="K207" i="3"/>
  <c r="M207" i="3"/>
  <c r="N207" i="3"/>
  <c r="L207" i="3" s="1"/>
  <c r="Q207" i="3"/>
  <c r="R207" i="3"/>
  <c r="S207" i="3"/>
  <c r="T207" i="3"/>
  <c r="U207" i="3"/>
  <c r="V207" i="3"/>
  <c r="W207" i="3"/>
  <c r="X207" i="3"/>
  <c r="Y207" i="3"/>
  <c r="Z207" i="3"/>
  <c r="AA207" i="3"/>
  <c r="AB207" i="3"/>
  <c r="AE207" i="3"/>
  <c r="AF207" i="3"/>
  <c r="AG207" i="3"/>
  <c r="A208" i="3"/>
  <c r="B208" i="3"/>
  <c r="D208" i="3" s="1"/>
  <c r="C208" i="3"/>
  <c r="E208" i="3"/>
  <c r="F208" i="3"/>
  <c r="AC208" i="3" s="1"/>
  <c r="G208" i="3"/>
  <c r="H208" i="3"/>
  <c r="I208" i="3"/>
  <c r="J208" i="3"/>
  <c r="K208" i="3"/>
  <c r="M208" i="3"/>
  <c r="N208" i="3"/>
  <c r="L208" i="3" s="1"/>
  <c r="Q208" i="3"/>
  <c r="R208" i="3"/>
  <c r="S208" i="3"/>
  <c r="T208" i="3"/>
  <c r="U208" i="3"/>
  <c r="V208" i="3"/>
  <c r="W208" i="3"/>
  <c r="X208" i="3"/>
  <c r="Y208" i="3"/>
  <c r="Z208" i="3"/>
  <c r="AA208" i="3"/>
  <c r="AB208" i="3"/>
  <c r="AE208" i="3"/>
  <c r="AF208" i="3"/>
  <c r="AG208" i="3"/>
  <c r="A209" i="3"/>
  <c r="B209" i="3"/>
  <c r="D209" i="3" s="1"/>
  <c r="C209" i="3"/>
  <c r="E209" i="3"/>
  <c r="F209" i="3"/>
  <c r="AC209" i="3" s="1"/>
  <c r="G209" i="3"/>
  <c r="H209" i="3"/>
  <c r="I209" i="3"/>
  <c r="J209" i="3"/>
  <c r="K209" i="3"/>
  <c r="M209" i="3"/>
  <c r="N209" i="3"/>
  <c r="L209" i="3" s="1"/>
  <c r="Q209" i="3"/>
  <c r="R209" i="3"/>
  <c r="S209" i="3"/>
  <c r="T209" i="3"/>
  <c r="U209" i="3"/>
  <c r="V209" i="3"/>
  <c r="W209" i="3"/>
  <c r="X209" i="3"/>
  <c r="Y209" i="3"/>
  <c r="Z209" i="3"/>
  <c r="AA209" i="3"/>
  <c r="AB209" i="3"/>
  <c r="AE209" i="3"/>
  <c r="AF209" i="3"/>
  <c r="AG209" i="3"/>
  <c r="A210" i="3"/>
  <c r="B210" i="3"/>
  <c r="D210" i="3" s="1"/>
  <c r="C210" i="3"/>
  <c r="E210" i="3"/>
  <c r="F210" i="3"/>
  <c r="AC210" i="3" s="1"/>
  <c r="G210" i="3"/>
  <c r="H210" i="3"/>
  <c r="I210" i="3"/>
  <c r="J210" i="3"/>
  <c r="K210" i="3"/>
  <c r="M210" i="3"/>
  <c r="N210" i="3"/>
  <c r="L210" i="3" s="1"/>
  <c r="Q210" i="3"/>
  <c r="R210" i="3"/>
  <c r="S210" i="3"/>
  <c r="T210" i="3"/>
  <c r="U210" i="3"/>
  <c r="V210" i="3"/>
  <c r="W210" i="3"/>
  <c r="X210" i="3"/>
  <c r="Y210" i="3"/>
  <c r="Z210" i="3"/>
  <c r="AA210" i="3"/>
  <c r="AB210" i="3"/>
  <c r="AE210" i="3"/>
  <c r="AF210" i="3"/>
  <c r="AG210" i="3"/>
  <c r="A211" i="3"/>
  <c r="B211" i="3"/>
  <c r="D211" i="3" s="1"/>
  <c r="C211" i="3"/>
  <c r="E211" i="3"/>
  <c r="F211" i="3"/>
  <c r="AC211" i="3" s="1"/>
  <c r="G211" i="3"/>
  <c r="H211" i="3"/>
  <c r="I211" i="3"/>
  <c r="J211" i="3"/>
  <c r="K211" i="3"/>
  <c r="M211" i="3"/>
  <c r="N211" i="3"/>
  <c r="L211" i="3" s="1"/>
  <c r="Q211" i="3"/>
  <c r="R211" i="3"/>
  <c r="S211" i="3"/>
  <c r="T211" i="3"/>
  <c r="U211" i="3"/>
  <c r="V211" i="3"/>
  <c r="W211" i="3"/>
  <c r="X211" i="3"/>
  <c r="Y211" i="3"/>
  <c r="Z211" i="3"/>
  <c r="AA211" i="3"/>
  <c r="AB211" i="3"/>
  <c r="AE211" i="3"/>
  <c r="AF211" i="3"/>
  <c r="AG211" i="3"/>
  <c r="A212" i="3"/>
  <c r="B212" i="3"/>
  <c r="D212" i="3" s="1"/>
  <c r="C212" i="3"/>
  <c r="E212" i="3"/>
  <c r="F212" i="3"/>
  <c r="AC212" i="3" s="1"/>
  <c r="G212" i="3"/>
  <c r="H212" i="3"/>
  <c r="I212" i="3"/>
  <c r="J212" i="3"/>
  <c r="K212" i="3"/>
  <c r="M212" i="3"/>
  <c r="N212" i="3"/>
  <c r="L212" i="3" s="1"/>
  <c r="Q212" i="3"/>
  <c r="R212" i="3"/>
  <c r="S212" i="3"/>
  <c r="T212" i="3"/>
  <c r="U212" i="3"/>
  <c r="V212" i="3"/>
  <c r="W212" i="3"/>
  <c r="X212" i="3"/>
  <c r="Y212" i="3"/>
  <c r="Z212" i="3"/>
  <c r="AA212" i="3"/>
  <c r="AB212" i="3"/>
  <c r="AE212" i="3"/>
  <c r="AF212" i="3"/>
  <c r="AG212" i="3"/>
  <c r="A213" i="3"/>
  <c r="B213" i="3"/>
  <c r="D213" i="3" s="1"/>
  <c r="C213" i="3"/>
  <c r="E213" i="3"/>
  <c r="F213" i="3"/>
  <c r="AC213" i="3" s="1"/>
  <c r="G213" i="3"/>
  <c r="H213" i="3"/>
  <c r="I213" i="3"/>
  <c r="J213" i="3"/>
  <c r="K213" i="3"/>
  <c r="M213" i="3"/>
  <c r="N213" i="3"/>
  <c r="L213" i="3" s="1"/>
  <c r="Q213" i="3"/>
  <c r="R213" i="3"/>
  <c r="S213" i="3"/>
  <c r="T213" i="3"/>
  <c r="U213" i="3"/>
  <c r="V213" i="3"/>
  <c r="W213" i="3"/>
  <c r="X213" i="3"/>
  <c r="Y213" i="3"/>
  <c r="Z213" i="3"/>
  <c r="AA213" i="3"/>
  <c r="AB213" i="3"/>
  <c r="AE213" i="3"/>
  <c r="AF213" i="3"/>
  <c r="AG213" i="3"/>
  <c r="A214" i="3"/>
  <c r="B214" i="3"/>
  <c r="D214" i="3" s="1"/>
  <c r="C214" i="3"/>
  <c r="E214" i="3"/>
  <c r="F214" i="3"/>
  <c r="AC214" i="3" s="1"/>
  <c r="G214" i="3"/>
  <c r="H214" i="3"/>
  <c r="I214" i="3"/>
  <c r="J214" i="3"/>
  <c r="K214" i="3"/>
  <c r="M214" i="3"/>
  <c r="N214" i="3"/>
  <c r="L214" i="3" s="1"/>
  <c r="Q214" i="3"/>
  <c r="R214" i="3"/>
  <c r="S214" i="3"/>
  <c r="T214" i="3"/>
  <c r="U214" i="3"/>
  <c r="V214" i="3"/>
  <c r="W214" i="3"/>
  <c r="X214" i="3"/>
  <c r="Y214" i="3"/>
  <c r="Z214" i="3"/>
  <c r="AA214" i="3"/>
  <c r="AB214" i="3"/>
  <c r="AE214" i="3"/>
  <c r="AF214" i="3"/>
  <c r="AG214" i="3"/>
  <c r="A215" i="3"/>
  <c r="B215" i="3"/>
  <c r="D215" i="3" s="1"/>
  <c r="C215" i="3"/>
  <c r="E215" i="3"/>
  <c r="F215" i="3"/>
  <c r="AC215" i="3" s="1"/>
  <c r="G215" i="3"/>
  <c r="H215" i="3"/>
  <c r="I215" i="3"/>
  <c r="J215" i="3"/>
  <c r="K215" i="3"/>
  <c r="M215" i="3"/>
  <c r="N215" i="3"/>
  <c r="L215" i="3" s="1"/>
  <c r="Q215" i="3"/>
  <c r="R215" i="3"/>
  <c r="S215" i="3"/>
  <c r="T215" i="3"/>
  <c r="U215" i="3"/>
  <c r="V215" i="3"/>
  <c r="W215" i="3"/>
  <c r="X215" i="3"/>
  <c r="Y215" i="3"/>
  <c r="Z215" i="3"/>
  <c r="AA215" i="3"/>
  <c r="AB215" i="3"/>
  <c r="AE215" i="3"/>
  <c r="AF215" i="3"/>
  <c r="AG215" i="3"/>
  <c r="A216" i="3"/>
  <c r="B216" i="3"/>
  <c r="D216" i="3" s="1"/>
  <c r="C216" i="3"/>
  <c r="E216" i="3"/>
  <c r="F216" i="3"/>
  <c r="AC216" i="3" s="1"/>
  <c r="G216" i="3"/>
  <c r="H216" i="3"/>
  <c r="I216" i="3"/>
  <c r="J216" i="3"/>
  <c r="K216" i="3"/>
  <c r="M216" i="3"/>
  <c r="N216" i="3"/>
  <c r="L216" i="3" s="1"/>
  <c r="Q216" i="3"/>
  <c r="R216" i="3"/>
  <c r="S216" i="3"/>
  <c r="T216" i="3"/>
  <c r="U216" i="3"/>
  <c r="V216" i="3"/>
  <c r="W216" i="3"/>
  <c r="X216" i="3"/>
  <c r="Y216" i="3"/>
  <c r="Z216" i="3"/>
  <c r="AA216" i="3"/>
  <c r="AB216" i="3"/>
  <c r="AE216" i="3"/>
  <c r="AF216" i="3"/>
  <c r="AG216" i="3"/>
  <c r="A217" i="3"/>
  <c r="B217" i="3"/>
  <c r="D217" i="3" s="1"/>
  <c r="C217" i="3"/>
  <c r="E217" i="3"/>
  <c r="F217" i="3"/>
  <c r="AC217" i="3" s="1"/>
  <c r="G217" i="3"/>
  <c r="H217" i="3"/>
  <c r="I217" i="3"/>
  <c r="J217" i="3"/>
  <c r="K217" i="3"/>
  <c r="M217" i="3"/>
  <c r="N217" i="3"/>
  <c r="L217" i="3" s="1"/>
  <c r="Q217" i="3"/>
  <c r="R217" i="3"/>
  <c r="S217" i="3"/>
  <c r="T217" i="3"/>
  <c r="U217" i="3"/>
  <c r="V217" i="3"/>
  <c r="W217" i="3"/>
  <c r="X217" i="3"/>
  <c r="Y217" i="3"/>
  <c r="Z217" i="3"/>
  <c r="AA217" i="3"/>
  <c r="AB217" i="3"/>
  <c r="AE217" i="3"/>
  <c r="AF217" i="3"/>
  <c r="AG217" i="3"/>
  <c r="A218" i="3"/>
  <c r="B218" i="3"/>
  <c r="D218" i="3" s="1"/>
  <c r="C218" i="3"/>
  <c r="E218" i="3"/>
  <c r="F218" i="3"/>
  <c r="AC218" i="3" s="1"/>
  <c r="G218" i="3"/>
  <c r="H218" i="3"/>
  <c r="I218" i="3"/>
  <c r="J218" i="3"/>
  <c r="K218" i="3"/>
  <c r="M218" i="3"/>
  <c r="N218" i="3"/>
  <c r="L218" i="3" s="1"/>
  <c r="Q218" i="3"/>
  <c r="R218" i="3"/>
  <c r="S218" i="3"/>
  <c r="T218" i="3"/>
  <c r="U218" i="3"/>
  <c r="V218" i="3"/>
  <c r="W218" i="3"/>
  <c r="X218" i="3"/>
  <c r="Y218" i="3"/>
  <c r="Z218" i="3"/>
  <c r="AA218" i="3"/>
  <c r="AB218" i="3"/>
  <c r="AE218" i="3"/>
  <c r="AF218" i="3"/>
  <c r="AG218" i="3"/>
  <c r="A219" i="3"/>
  <c r="B219" i="3"/>
  <c r="D219" i="3" s="1"/>
  <c r="C219" i="3"/>
  <c r="E219" i="3"/>
  <c r="F219" i="3"/>
  <c r="AC219" i="3" s="1"/>
  <c r="G219" i="3"/>
  <c r="H219" i="3"/>
  <c r="I219" i="3"/>
  <c r="J219" i="3"/>
  <c r="K219" i="3"/>
  <c r="M219" i="3"/>
  <c r="N219" i="3"/>
  <c r="L219" i="3" s="1"/>
  <c r="Q219" i="3"/>
  <c r="R219" i="3"/>
  <c r="S219" i="3"/>
  <c r="T219" i="3"/>
  <c r="U219" i="3"/>
  <c r="V219" i="3"/>
  <c r="W219" i="3"/>
  <c r="X219" i="3"/>
  <c r="Y219" i="3"/>
  <c r="Z219" i="3"/>
  <c r="AA219" i="3"/>
  <c r="AB219" i="3"/>
  <c r="AE219" i="3"/>
  <c r="AF219" i="3"/>
  <c r="AG219" i="3"/>
  <c r="A220" i="3"/>
  <c r="B220" i="3"/>
  <c r="D220" i="3" s="1"/>
  <c r="C220" i="3"/>
  <c r="E220" i="3"/>
  <c r="F220" i="3"/>
  <c r="AC220" i="3" s="1"/>
  <c r="G220" i="3"/>
  <c r="H220" i="3"/>
  <c r="I220" i="3"/>
  <c r="J220" i="3"/>
  <c r="K220" i="3"/>
  <c r="M220" i="3"/>
  <c r="N220" i="3"/>
  <c r="L220" i="3" s="1"/>
  <c r="Q220" i="3"/>
  <c r="R220" i="3"/>
  <c r="S220" i="3"/>
  <c r="T220" i="3"/>
  <c r="U220" i="3"/>
  <c r="V220" i="3"/>
  <c r="W220" i="3"/>
  <c r="X220" i="3"/>
  <c r="Y220" i="3"/>
  <c r="Z220" i="3"/>
  <c r="AA220" i="3"/>
  <c r="AB220" i="3"/>
  <c r="AE220" i="3"/>
  <c r="AF220" i="3"/>
  <c r="AG220" i="3"/>
  <c r="A221" i="3"/>
  <c r="B221" i="3"/>
  <c r="D221" i="3" s="1"/>
  <c r="C221" i="3"/>
  <c r="E221" i="3"/>
  <c r="F221" i="3"/>
  <c r="AC221" i="3" s="1"/>
  <c r="G221" i="3"/>
  <c r="H221" i="3"/>
  <c r="I221" i="3"/>
  <c r="J221" i="3"/>
  <c r="K221" i="3"/>
  <c r="M221" i="3"/>
  <c r="N221" i="3"/>
  <c r="L221" i="3" s="1"/>
  <c r="Q221" i="3"/>
  <c r="R221" i="3"/>
  <c r="S221" i="3"/>
  <c r="T221" i="3"/>
  <c r="U221" i="3"/>
  <c r="V221" i="3"/>
  <c r="W221" i="3"/>
  <c r="X221" i="3"/>
  <c r="Y221" i="3"/>
  <c r="Z221" i="3"/>
  <c r="AA221" i="3"/>
  <c r="AB221" i="3"/>
  <c r="AE221" i="3"/>
  <c r="AF221" i="3"/>
  <c r="AG221" i="3"/>
  <c r="A222" i="3"/>
  <c r="B222" i="3"/>
  <c r="D222" i="3" s="1"/>
  <c r="C222" i="3"/>
  <c r="E222" i="3"/>
  <c r="F222" i="3"/>
  <c r="AC222" i="3" s="1"/>
  <c r="G222" i="3"/>
  <c r="H222" i="3"/>
  <c r="I222" i="3"/>
  <c r="J222" i="3"/>
  <c r="K222" i="3"/>
  <c r="M222" i="3"/>
  <c r="N222" i="3"/>
  <c r="L222" i="3" s="1"/>
  <c r="Q222" i="3"/>
  <c r="R222" i="3"/>
  <c r="S222" i="3"/>
  <c r="T222" i="3"/>
  <c r="U222" i="3"/>
  <c r="V222" i="3"/>
  <c r="W222" i="3"/>
  <c r="X222" i="3"/>
  <c r="Y222" i="3"/>
  <c r="Z222" i="3"/>
  <c r="AA222" i="3"/>
  <c r="AB222" i="3"/>
  <c r="AE222" i="3"/>
  <c r="AF222" i="3"/>
  <c r="AG222" i="3"/>
  <c r="A223" i="3"/>
  <c r="B223" i="3"/>
  <c r="D223" i="3" s="1"/>
  <c r="C223" i="3"/>
  <c r="E223" i="3"/>
  <c r="F223" i="3"/>
  <c r="AC223" i="3" s="1"/>
  <c r="G223" i="3"/>
  <c r="H223" i="3"/>
  <c r="I223" i="3"/>
  <c r="J223" i="3"/>
  <c r="K223" i="3"/>
  <c r="M223" i="3"/>
  <c r="N223" i="3"/>
  <c r="L223" i="3" s="1"/>
  <c r="Q223" i="3"/>
  <c r="R223" i="3"/>
  <c r="S223" i="3"/>
  <c r="T223" i="3"/>
  <c r="U223" i="3"/>
  <c r="V223" i="3"/>
  <c r="W223" i="3"/>
  <c r="X223" i="3"/>
  <c r="Y223" i="3"/>
  <c r="Z223" i="3"/>
  <c r="AA223" i="3"/>
  <c r="AB223" i="3"/>
  <c r="AE223" i="3"/>
  <c r="AF223" i="3"/>
  <c r="AG223" i="3"/>
  <c r="A224" i="3"/>
  <c r="B224" i="3"/>
  <c r="D224" i="3" s="1"/>
  <c r="C224" i="3"/>
  <c r="E224" i="3"/>
  <c r="F224" i="3"/>
  <c r="AC224" i="3" s="1"/>
  <c r="G224" i="3"/>
  <c r="H224" i="3"/>
  <c r="I224" i="3"/>
  <c r="J224" i="3"/>
  <c r="K224" i="3"/>
  <c r="M224" i="3"/>
  <c r="N224" i="3"/>
  <c r="L224" i="3" s="1"/>
  <c r="Q224" i="3"/>
  <c r="R224" i="3"/>
  <c r="S224" i="3"/>
  <c r="T224" i="3"/>
  <c r="U224" i="3"/>
  <c r="V224" i="3"/>
  <c r="W224" i="3"/>
  <c r="X224" i="3"/>
  <c r="Y224" i="3"/>
  <c r="Z224" i="3"/>
  <c r="AA224" i="3"/>
  <c r="AB224" i="3"/>
  <c r="AE224" i="3"/>
  <c r="AF224" i="3"/>
  <c r="AG224" i="3"/>
  <c r="A225" i="3"/>
  <c r="B225" i="3"/>
  <c r="D225" i="3" s="1"/>
  <c r="C225" i="3"/>
  <c r="E225" i="3"/>
  <c r="F225" i="3"/>
  <c r="AC225" i="3" s="1"/>
  <c r="G225" i="3"/>
  <c r="H225" i="3"/>
  <c r="I225" i="3"/>
  <c r="J225" i="3"/>
  <c r="K225" i="3"/>
  <c r="M225" i="3"/>
  <c r="N225" i="3"/>
  <c r="L225" i="3" s="1"/>
  <c r="Q225" i="3"/>
  <c r="R225" i="3"/>
  <c r="S225" i="3"/>
  <c r="T225" i="3"/>
  <c r="U225" i="3"/>
  <c r="V225" i="3"/>
  <c r="W225" i="3"/>
  <c r="X225" i="3"/>
  <c r="Y225" i="3"/>
  <c r="Z225" i="3"/>
  <c r="AA225" i="3"/>
  <c r="AB225" i="3"/>
  <c r="AE225" i="3"/>
  <c r="AF225" i="3"/>
  <c r="AG225" i="3"/>
  <c r="A226" i="3"/>
  <c r="B226" i="3"/>
  <c r="D226" i="3" s="1"/>
  <c r="C226" i="3"/>
  <c r="E226" i="3"/>
  <c r="F226" i="3"/>
  <c r="AC226" i="3" s="1"/>
  <c r="G226" i="3"/>
  <c r="H226" i="3"/>
  <c r="I226" i="3"/>
  <c r="J226" i="3"/>
  <c r="K226" i="3"/>
  <c r="M226" i="3"/>
  <c r="N226" i="3"/>
  <c r="L226" i="3" s="1"/>
  <c r="Q226" i="3"/>
  <c r="R226" i="3"/>
  <c r="S226" i="3"/>
  <c r="T226" i="3"/>
  <c r="U226" i="3"/>
  <c r="V226" i="3"/>
  <c r="W226" i="3"/>
  <c r="X226" i="3"/>
  <c r="Y226" i="3"/>
  <c r="Z226" i="3"/>
  <c r="AA226" i="3"/>
  <c r="AB226" i="3"/>
  <c r="AE226" i="3"/>
  <c r="AF226" i="3"/>
  <c r="AG226" i="3"/>
  <c r="A227" i="3"/>
  <c r="B227" i="3"/>
  <c r="D227" i="3" s="1"/>
  <c r="C227" i="3"/>
  <c r="E227" i="3"/>
  <c r="F227" i="3"/>
  <c r="AC227" i="3" s="1"/>
  <c r="G227" i="3"/>
  <c r="H227" i="3"/>
  <c r="I227" i="3"/>
  <c r="J227" i="3"/>
  <c r="K227" i="3"/>
  <c r="M227" i="3"/>
  <c r="N227" i="3"/>
  <c r="L227" i="3" s="1"/>
  <c r="Q227" i="3"/>
  <c r="R227" i="3"/>
  <c r="S227" i="3"/>
  <c r="T227" i="3"/>
  <c r="U227" i="3"/>
  <c r="V227" i="3"/>
  <c r="W227" i="3"/>
  <c r="X227" i="3"/>
  <c r="Y227" i="3"/>
  <c r="Z227" i="3"/>
  <c r="AA227" i="3"/>
  <c r="AB227" i="3"/>
  <c r="AE227" i="3"/>
  <c r="AF227" i="3"/>
  <c r="AG227" i="3"/>
  <c r="A228" i="3"/>
  <c r="B228" i="3"/>
  <c r="D228" i="3" s="1"/>
  <c r="C228" i="3"/>
  <c r="E228" i="3"/>
  <c r="F228" i="3"/>
  <c r="AC228" i="3" s="1"/>
  <c r="G228" i="3"/>
  <c r="H228" i="3"/>
  <c r="I228" i="3"/>
  <c r="J228" i="3"/>
  <c r="K228" i="3"/>
  <c r="M228" i="3"/>
  <c r="N228" i="3"/>
  <c r="L228" i="3" s="1"/>
  <c r="Q228" i="3"/>
  <c r="R228" i="3"/>
  <c r="S228" i="3"/>
  <c r="T228" i="3"/>
  <c r="U228" i="3"/>
  <c r="V228" i="3"/>
  <c r="W228" i="3"/>
  <c r="X228" i="3"/>
  <c r="Y228" i="3"/>
  <c r="Z228" i="3"/>
  <c r="AA228" i="3"/>
  <c r="AB228" i="3"/>
  <c r="AE228" i="3"/>
  <c r="AF228" i="3"/>
  <c r="AG228" i="3"/>
  <c r="A229" i="3"/>
  <c r="B229" i="3"/>
  <c r="D229" i="3" s="1"/>
  <c r="C229" i="3"/>
  <c r="E229" i="3"/>
  <c r="F229" i="3"/>
  <c r="AC229" i="3" s="1"/>
  <c r="G229" i="3"/>
  <c r="H229" i="3"/>
  <c r="I229" i="3"/>
  <c r="J229" i="3"/>
  <c r="K229" i="3"/>
  <c r="M229" i="3"/>
  <c r="N229" i="3"/>
  <c r="L229" i="3" s="1"/>
  <c r="Q229" i="3"/>
  <c r="R229" i="3"/>
  <c r="S229" i="3"/>
  <c r="T229" i="3"/>
  <c r="U229" i="3"/>
  <c r="V229" i="3"/>
  <c r="W229" i="3"/>
  <c r="X229" i="3"/>
  <c r="Y229" i="3"/>
  <c r="Z229" i="3"/>
  <c r="AA229" i="3"/>
  <c r="AB229" i="3"/>
  <c r="AE229" i="3"/>
  <c r="AF229" i="3"/>
  <c r="AG229" i="3"/>
  <c r="A230" i="3"/>
  <c r="B230" i="3"/>
  <c r="D230" i="3" s="1"/>
  <c r="C230" i="3"/>
  <c r="E230" i="3"/>
  <c r="F230" i="3"/>
  <c r="AC230" i="3" s="1"/>
  <c r="G230" i="3"/>
  <c r="H230" i="3"/>
  <c r="I230" i="3"/>
  <c r="J230" i="3"/>
  <c r="K230" i="3"/>
  <c r="M230" i="3"/>
  <c r="N230" i="3"/>
  <c r="L230" i="3" s="1"/>
  <c r="Q230" i="3"/>
  <c r="R230" i="3"/>
  <c r="S230" i="3"/>
  <c r="T230" i="3"/>
  <c r="U230" i="3"/>
  <c r="V230" i="3"/>
  <c r="W230" i="3"/>
  <c r="X230" i="3"/>
  <c r="Y230" i="3"/>
  <c r="Z230" i="3"/>
  <c r="AA230" i="3"/>
  <c r="AB230" i="3"/>
  <c r="AE230" i="3"/>
  <c r="AF230" i="3"/>
  <c r="AG230" i="3"/>
  <c r="A231" i="3"/>
  <c r="B231" i="3"/>
  <c r="D231" i="3" s="1"/>
  <c r="C231" i="3"/>
  <c r="E231" i="3"/>
  <c r="F231" i="3"/>
  <c r="AC231" i="3" s="1"/>
  <c r="G231" i="3"/>
  <c r="H231" i="3"/>
  <c r="I231" i="3"/>
  <c r="J231" i="3"/>
  <c r="K231" i="3"/>
  <c r="M231" i="3"/>
  <c r="N231" i="3"/>
  <c r="L231" i="3" s="1"/>
  <c r="Q231" i="3"/>
  <c r="R231" i="3"/>
  <c r="S231" i="3"/>
  <c r="T231" i="3"/>
  <c r="U231" i="3"/>
  <c r="V231" i="3"/>
  <c r="W231" i="3"/>
  <c r="X231" i="3"/>
  <c r="Y231" i="3"/>
  <c r="Z231" i="3"/>
  <c r="AA231" i="3"/>
  <c r="AB231" i="3"/>
  <c r="AE231" i="3"/>
  <c r="AF231" i="3"/>
  <c r="AG231" i="3"/>
  <c r="A232" i="3"/>
  <c r="B232" i="3"/>
  <c r="D232" i="3" s="1"/>
  <c r="C232" i="3"/>
  <c r="E232" i="3"/>
  <c r="F232" i="3"/>
  <c r="AC232" i="3" s="1"/>
  <c r="G232" i="3"/>
  <c r="H232" i="3"/>
  <c r="I232" i="3"/>
  <c r="J232" i="3"/>
  <c r="K232" i="3"/>
  <c r="M232" i="3"/>
  <c r="N232" i="3"/>
  <c r="L232" i="3" s="1"/>
  <c r="Q232" i="3"/>
  <c r="R232" i="3"/>
  <c r="S232" i="3"/>
  <c r="T232" i="3"/>
  <c r="U232" i="3"/>
  <c r="V232" i="3"/>
  <c r="W232" i="3"/>
  <c r="X232" i="3"/>
  <c r="Y232" i="3"/>
  <c r="Z232" i="3"/>
  <c r="AA232" i="3"/>
  <c r="AB232" i="3"/>
  <c r="AE232" i="3"/>
  <c r="AF232" i="3"/>
  <c r="AG232" i="3"/>
  <c r="A233" i="3"/>
  <c r="B233" i="3"/>
  <c r="D233" i="3" s="1"/>
  <c r="C233" i="3"/>
  <c r="E233" i="3"/>
  <c r="F233" i="3"/>
  <c r="AC233" i="3" s="1"/>
  <c r="G233" i="3"/>
  <c r="H233" i="3"/>
  <c r="I233" i="3"/>
  <c r="J233" i="3"/>
  <c r="K233" i="3"/>
  <c r="M233" i="3"/>
  <c r="N233" i="3"/>
  <c r="L233" i="3" s="1"/>
  <c r="Q233" i="3"/>
  <c r="R233" i="3"/>
  <c r="S233" i="3"/>
  <c r="T233" i="3"/>
  <c r="U233" i="3"/>
  <c r="V233" i="3"/>
  <c r="W233" i="3"/>
  <c r="X233" i="3"/>
  <c r="Y233" i="3"/>
  <c r="Z233" i="3"/>
  <c r="AA233" i="3"/>
  <c r="AB233" i="3"/>
  <c r="AE233" i="3"/>
  <c r="AF233" i="3"/>
  <c r="AG233" i="3"/>
  <c r="A234" i="3"/>
  <c r="B234" i="3"/>
  <c r="D234" i="3" s="1"/>
  <c r="C234" i="3"/>
  <c r="E234" i="3"/>
  <c r="F234" i="3"/>
  <c r="AC234" i="3" s="1"/>
  <c r="G234" i="3"/>
  <c r="H234" i="3"/>
  <c r="I234" i="3"/>
  <c r="J234" i="3"/>
  <c r="K234" i="3"/>
  <c r="M234" i="3"/>
  <c r="N234" i="3"/>
  <c r="L234" i="3" s="1"/>
  <c r="Q234" i="3"/>
  <c r="R234" i="3"/>
  <c r="S234" i="3"/>
  <c r="T234" i="3"/>
  <c r="U234" i="3"/>
  <c r="V234" i="3"/>
  <c r="W234" i="3"/>
  <c r="X234" i="3"/>
  <c r="Y234" i="3"/>
  <c r="Z234" i="3"/>
  <c r="AA234" i="3"/>
  <c r="AB234" i="3"/>
  <c r="AE234" i="3"/>
  <c r="AF234" i="3"/>
  <c r="AG234" i="3"/>
  <c r="A235" i="3"/>
  <c r="B235" i="3"/>
  <c r="D235" i="3" s="1"/>
  <c r="C235" i="3"/>
  <c r="E235" i="3"/>
  <c r="F235" i="3"/>
  <c r="AC235" i="3" s="1"/>
  <c r="G235" i="3"/>
  <c r="H235" i="3"/>
  <c r="I235" i="3"/>
  <c r="J235" i="3"/>
  <c r="K235" i="3"/>
  <c r="M235" i="3"/>
  <c r="N235" i="3"/>
  <c r="L235" i="3" s="1"/>
  <c r="Q235" i="3"/>
  <c r="R235" i="3"/>
  <c r="S235" i="3"/>
  <c r="T235" i="3"/>
  <c r="U235" i="3"/>
  <c r="V235" i="3"/>
  <c r="W235" i="3"/>
  <c r="X235" i="3"/>
  <c r="Y235" i="3"/>
  <c r="Z235" i="3"/>
  <c r="AA235" i="3"/>
  <c r="AB235" i="3"/>
  <c r="AE235" i="3"/>
  <c r="AF235" i="3"/>
  <c r="AG235" i="3"/>
  <c r="A236" i="3"/>
  <c r="B236" i="3"/>
  <c r="D236" i="3" s="1"/>
  <c r="C236" i="3"/>
  <c r="E236" i="3"/>
  <c r="F236" i="3"/>
  <c r="AC236" i="3" s="1"/>
  <c r="G236" i="3"/>
  <c r="H236" i="3"/>
  <c r="I236" i="3"/>
  <c r="J236" i="3"/>
  <c r="K236" i="3"/>
  <c r="M236" i="3"/>
  <c r="N236" i="3"/>
  <c r="L236" i="3" s="1"/>
  <c r="Q236" i="3"/>
  <c r="R236" i="3"/>
  <c r="S236" i="3"/>
  <c r="T236" i="3"/>
  <c r="U236" i="3"/>
  <c r="V236" i="3"/>
  <c r="W236" i="3"/>
  <c r="X236" i="3"/>
  <c r="Y236" i="3"/>
  <c r="Z236" i="3"/>
  <c r="AA236" i="3"/>
  <c r="AB236" i="3"/>
  <c r="AE236" i="3"/>
  <c r="AF236" i="3"/>
  <c r="AG236" i="3"/>
  <c r="A237" i="3"/>
  <c r="B237" i="3"/>
  <c r="D237" i="3" s="1"/>
  <c r="C237" i="3"/>
  <c r="E237" i="3"/>
  <c r="F237" i="3"/>
  <c r="AC237" i="3" s="1"/>
  <c r="G237" i="3"/>
  <c r="H237" i="3"/>
  <c r="I237" i="3"/>
  <c r="J237" i="3"/>
  <c r="K237" i="3"/>
  <c r="M237" i="3"/>
  <c r="N237" i="3"/>
  <c r="L237" i="3" s="1"/>
  <c r="Q237" i="3"/>
  <c r="R237" i="3"/>
  <c r="S237" i="3"/>
  <c r="T237" i="3"/>
  <c r="U237" i="3"/>
  <c r="V237" i="3"/>
  <c r="W237" i="3"/>
  <c r="X237" i="3"/>
  <c r="Y237" i="3"/>
  <c r="Z237" i="3"/>
  <c r="AA237" i="3"/>
  <c r="AB237" i="3"/>
  <c r="AE237" i="3"/>
  <c r="AF237" i="3"/>
  <c r="AG237" i="3"/>
  <c r="A238" i="3"/>
  <c r="B238" i="3"/>
  <c r="D238" i="3" s="1"/>
  <c r="C238" i="3"/>
  <c r="E238" i="3"/>
  <c r="F238" i="3"/>
  <c r="AC238" i="3" s="1"/>
  <c r="G238" i="3"/>
  <c r="H238" i="3"/>
  <c r="I238" i="3"/>
  <c r="J238" i="3"/>
  <c r="K238" i="3"/>
  <c r="M238" i="3"/>
  <c r="N238" i="3"/>
  <c r="L238" i="3" s="1"/>
  <c r="Q238" i="3"/>
  <c r="R238" i="3"/>
  <c r="S238" i="3"/>
  <c r="T238" i="3"/>
  <c r="U238" i="3"/>
  <c r="V238" i="3"/>
  <c r="W238" i="3"/>
  <c r="X238" i="3"/>
  <c r="Y238" i="3"/>
  <c r="Z238" i="3"/>
  <c r="AA238" i="3"/>
  <c r="AB238" i="3"/>
  <c r="AE238" i="3"/>
  <c r="AF238" i="3"/>
  <c r="AG238" i="3"/>
  <c r="A239" i="3"/>
  <c r="B239" i="3"/>
  <c r="D239" i="3" s="1"/>
  <c r="C239" i="3"/>
  <c r="E239" i="3"/>
  <c r="F239" i="3"/>
  <c r="AC239" i="3" s="1"/>
  <c r="G239" i="3"/>
  <c r="H239" i="3"/>
  <c r="I239" i="3"/>
  <c r="J239" i="3"/>
  <c r="K239" i="3"/>
  <c r="M239" i="3"/>
  <c r="N239" i="3"/>
  <c r="L239" i="3" s="1"/>
  <c r="Q239" i="3"/>
  <c r="R239" i="3"/>
  <c r="S239" i="3"/>
  <c r="T239" i="3"/>
  <c r="U239" i="3"/>
  <c r="V239" i="3"/>
  <c r="W239" i="3"/>
  <c r="X239" i="3"/>
  <c r="Y239" i="3"/>
  <c r="Z239" i="3"/>
  <c r="AA239" i="3"/>
  <c r="AB239" i="3"/>
  <c r="AE239" i="3"/>
  <c r="AF239" i="3"/>
  <c r="AG239" i="3"/>
  <c r="A240" i="3"/>
  <c r="B240" i="3"/>
  <c r="D240" i="3" s="1"/>
  <c r="C240" i="3"/>
  <c r="E240" i="3"/>
  <c r="F240" i="3"/>
  <c r="AC240" i="3" s="1"/>
  <c r="G240" i="3"/>
  <c r="H240" i="3"/>
  <c r="I240" i="3"/>
  <c r="J240" i="3"/>
  <c r="K240" i="3"/>
  <c r="M240" i="3"/>
  <c r="N240" i="3"/>
  <c r="L240" i="3" s="1"/>
  <c r="Q240" i="3"/>
  <c r="R240" i="3"/>
  <c r="S240" i="3"/>
  <c r="T240" i="3"/>
  <c r="U240" i="3"/>
  <c r="V240" i="3"/>
  <c r="W240" i="3"/>
  <c r="X240" i="3"/>
  <c r="Y240" i="3"/>
  <c r="Z240" i="3"/>
  <c r="AA240" i="3"/>
  <c r="AB240" i="3"/>
  <c r="AE240" i="3"/>
  <c r="AF240" i="3"/>
  <c r="AG240" i="3"/>
  <c r="A241" i="3"/>
  <c r="B241" i="3"/>
  <c r="D241" i="3" s="1"/>
  <c r="C241" i="3"/>
  <c r="E241" i="3"/>
  <c r="F241" i="3"/>
  <c r="AC241" i="3" s="1"/>
  <c r="G241" i="3"/>
  <c r="H241" i="3"/>
  <c r="I241" i="3"/>
  <c r="J241" i="3"/>
  <c r="K241" i="3"/>
  <c r="M241" i="3"/>
  <c r="N241" i="3"/>
  <c r="L241" i="3" s="1"/>
  <c r="Q241" i="3"/>
  <c r="R241" i="3"/>
  <c r="S241" i="3"/>
  <c r="T241" i="3"/>
  <c r="U241" i="3"/>
  <c r="V241" i="3"/>
  <c r="W241" i="3"/>
  <c r="X241" i="3"/>
  <c r="Y241" i="3"/>
  <c r="Z241" i="3"/>
  <c r="AA241" i="3"/>
  <c r="AB241" i="3"/>
  <c r="AE241" i="3"/>
  <c r="AF241" i="3"/>
  <c r="AG241" i="3"/>
  <c r="A242" i="3"/>
  <c r="B242" i="3"/>
  <c r="D242" i="3" s="1"/>
  <c r="C242" i="3"/>
  <c r="E242" i="3"/>
  <c r="F242" i="3"/>
  <c r="AC242" i="3" s="1"/>
  <c r="G242" i="3"/>
  <c r="H242" i="3"/>
  <c r="I242" i="3"/>
  <c r="J242" i="3"/>
  <c r="K242" i="3"/>
  <c r="M242" i="3"/>
  <c r="N242" i="3"/>
  <c r="L242" i="3" s="1"/>
  <c r="Q242" i="3"/>
  <c r="R242" i="3"/>
  <c r="S242" i="3"/>
  <c r="T242" i="3"/>
  <c r="U242" i="3"/>
  <c r="V242" i="3"/>
  <c r="W242" i="3"/>
  <c r="X242" i="3"/>
  <c r="Y242" i="3"/>
  <c r="Z242" i="3"/>
  <c r="AA242" i="3"/>
  <c r="AB242" i="3"/>
  <c r="AE242" i="3"/>
  <c r="AF242" i="3"/>
  <c r="AG242" i="3"/>
  <c r="A243" i="3"/>
  <c r="B243" i="3"/>
  <c r="D243" i="3" s="1"/>
  <c r="C243" i="3"/>
  <c r="E243" i="3"/>
  <c r="F243" i="3"/>
  <c r="AC243" i="3" s="1"/>
  <c r="G243" i="3"/>
  <c r="H243" i="3"/>
  <c r="I243" i="3"/>
  <c r="J243" i="3"/>
  <c r="K243" i="3"/>
  <c r="M243" i="3"/>
  <c r="N243" i="3"/>
  <c r="L243" i="3" s="1"/>
  <c r="Q243" i="3"/>
  <c r="R243" i="3"/>
  <c r="S243" i="3"/>
  <c r="T243" i="3"/>
  <c r="U243" i="3"/>
  <c r="V243" i="3"/>
  <c r="W243" i="3"/>
  <c r="X243" i="3"/>
  <c r="Y243" i="3"/>
  <c r="Z243" i="3"/>
  <c r="AA243" i="3"/>
  <c r="AB243" i="3"/>
  <c r="AE243" i="3"/>
  <c r="AF243" i="3"/>
  <c r="AG243" i="3"/>
  <c r="A244" i="3"/>
  <c r="B244" i="3"/>
  <c r="D244" i="3" s="1"/>
  <c r="C244" i="3"/>
  <c r="E244" i="3"/>
  <c r="F244" i="3"/>
  <c r="AC244" i="3" s="1"/>
  <c r="G244" i="3"/>
  <c r="H244" i="3"/>
  <c r="I244" i="3"/>
  <c r="J244" i="3"/>
  <c r="K244" i="3"/>
  <c r="M244" i="3"/>
  <c r="N244" i="3"/>
  <c r="L244" i="3" s="1"/>
  <c r="Q244" i="3"/>
  <c r="R244" i="3"/>
  <c r="S244" i="3"/>
  <c r="T244" i="3"/>
  <c r="U244" i="3"/>
  <c r="V244" i="3"/>
  <c r="W244" i="3"/>
  <c r="X244" i="3"/>
  <c r="Y244" i="3"/>
  <c r="Z244" i="3"/>
  <c r="AA244" i="3"/>
  <c r="AB244" i="3"/>
  <c r="AE244" i="3"/>
  <c r="AF244" i="3"/>
  <c r="AG244" i="3"/>
  <c r="A245" i="3"/>
  <c r="B245" i="3"/>
  <c r="D245" i="3" s="1"/>
  <c r="C245" i="3"/>
  <c r="E245" i="3"/>
  <c r="F245" i="3"/>
  <c r="AC245" i="3" s="1"/>
  <c r="G245" i="3"/>
  <c r="H245" i="3"/>
  <c r="I245" i="3"/>
  <c r="J245" i="3"/>
  <c r="K245" i="3"/>
  <c r="M245" i="3"/>
  <c r="N245" i="3"/>
  <c r="L245" i="3" s="1"/>
  <c r="Q245" i="3"/>
  <c r="R245" i="3"/>
  <c r="S245" i="3"/>
  <c r="T245" i="3"/>
  <c r="U245" i="3"/>
  <c r="V245" i="3"/>
  <c r="W245" i="3"/>
  <c r="X245" i="3"/>
  <c r="Y245" i="3"/>
  <c r="Z245" i="3"/>
  <c r="AA245" i="3"/>
  <c r="AB245" i="3"/>
  <c r="AE245" i="3"/>
  <c r="AF245" i="3"/>
  <c r="AG245" i="3"/>
  <c r="A246" i="3"/>
  <c r="B246" i="3"/>
  <c r="D246" i="3" s="1"/>
  <c r="C246" i="3"/>
  <c r="E246" i="3"/>
  <c r="F246" i="3"/>
  <c r="AC246" i="3" s="1"/>
  <c r="G246" i="3"/>
  <c r="H246" i="3"/>
  <c r="I246" i="3"/>
  <c r="J246" i="3"/>
  <c r="K246" i="3"/>
  <c r="M246" i="3"/>
  <c r="N246" i="3"/>
  <c r="L246" i="3" s="1"/>
  <c r="Q246" i="3"/>
  <c r="R246" i="3"/>
  <c r="S246" i="3"/>
  <c r="T246" i="3"/>
  <c r="U246" i="3"/>
  <c r="V246" i="3"/>
  <c r="W246" i="3"/>
  <c r="X246" i="3"/>
  <c r="Y246" i="3"/>
  <c r="Z246" i="3"/>
  <c r="AA246" i="3"/>
  <c r="AB246" i="3"/>
  <c r="AE246" i="3"/>
  <c r="AF246" i="3"/>
  <c r="AG246" i="3"/>
  <c r="A247" i="3"/>
  <c r="B247" i="3"/>
  <c r="D247" i="3" s="1"/>
  <c r="C247" i="3"/>
  <c r="E247" i="3"/>
  <c r="F247" i="3"/>
  <c r="AC247" i="3" s="1"/>
  <c r="G247" i="3"/>
  <c r="H247" i="3"/>
  <c r="I247" i="3"/>
  <c r="J247" i="3"/>
  <c r="K247" i="3"/>
  <c r="M247" i="3"/>
  <c r="N247" i="3"/>
  <c r="L247" i="3" s="1"/>
  <c r="Q247" i="3"/>
  <c r="R247" i="3"/>
  <c r="S247" i="3"/>
  <c r="T247" i="3"/>
  <c r="U247" i="3"/>
  <c r="V247" i="3"/>
  <c r="W247" i="3"/>
  <c r="X247" i="3"/>
  <c r="Y247" i="3"/>
  <c r="Z247" i="3"/>
  <c r="AA247" i="3"/>
  <c r="AB247" i="3"/>
  <c r="AE247" i="3"/>
  <c r="AF247" i="3"/>
  <c r="AG247" i="3"/>
  <c r="A248" i="3"/>
  <c r="B248" i="3"/>
  <c r="D248" i="3" s="1"/>
  <c r="C248" i="3"/>
  <c r="E248" i="3"/>
  <c r="F248" i="3"/>
  <c r="AC248" i="3" s="1"/>
  <c r="G248" i="3"/>
  <c r="H248" i="3"/>
  <c r="I248" i="3"/>
  <c r="J248" i="3"/>
  <c r="K248" i="3"/>
  <c r="M248" i="3"/>
  <c r="N248" i="3"/>
  <c r="L248" i="3" s="1"/>
  <c r="Q248" i="3"/>
  <c r="R248" i="3"/>
  <c r="S248" i="3"/>
  <c r="T248" i="3"/>
  <c r="U248" i="3"/>
  <c r="V248" i="3"/>
  <c r="W248" i="3"/>
  <c r="X248" i="3"/>
  <c r="Y248" i="3"/>
  <c r="Z248" i="3"/>
  <c r="AA248" i="3"/>
  <c r="AB248" i="3"/>
  <c r="AE248" i="3"/>
  <c r="AF248" i="3"/>
  <c r="AG248" i="3"/>
  <c r="A249" i="3"/>
  <c r="B249" i="3"/>
  <c r="D249" i="3" s="1"/>
  <c r="C249" i="3"/>
  <c r="E249" i="3"/>
  <c r="F249" i="3"/>
  <c r="AC249" i="3" s="1"/>
  <c r="G249" i="3"/>
  <c r="H249" i="3"/>
  <c r="I249" i="3"/>
  <c r="J249" i="3"/>
  <c r="K249" i="3"/>
  <c r="M249" i="3"/>
  <c r="N249" i="3"/>
  <c r="L249" i="3" s="1"/>
  <c r="Q249" i="3"/>
  <c r="R249" i="3"/>
  <c r="S249" i="3"/>
  <c r="T249" i="3"/>
  <c r="U249" i="3"/>
  <c r="V249" i="3"/>
  <c r="W249" i="3"/>
  <c r="X249" i="3"/>
  <c r="Y249" i="3"/>
  <c r="Z249" i="3"/>
  <c r="AA249" i="3"/>
  <c r="AB249" i="3"/>
  <c r="AE249" i="3"/>
  <c r="AF249" i="3"/>
  <c r="AG249" i="3"/>
  <c r="A250" i="3"/>
  <c r="B250" i="3"/>
  <c r="D250" i="3" s="1"/>
  <c r="C250" i="3"/>
  <c r="E250" i="3"/>
  <c r="F250" i="3"/>
  <c r="AC250" i="3" s="1"/>
  <c r="G250" i="3"/>
  <c r="H250" i="3"/>
  <c r="I250" i="3"/>
  <c r="J250" i="3"/>
  <c r="K250" i="3"/>
  <c r="M250" i="3"/>
  <c r="N250" i="3"/>
  <c r="L250" i="3" s="1"/>
  <c r="Q250" i="3"/>
  <c r="R250" i="3"/>
  <c r="S250" i="3"/>
  <c r="T250" i="3"/>
  <c r="U250" i="3"/>
  <c r="V250" i="3"/>
  <c r="W250" i="3"/>
  <c r="X250" i="3"/>
  <c r="Y250" i="3"/>
  <c r="Z250" i="3"/>
  <c r="AA250" i="3"/>
  <c r="AB250" i="3"/>
  <c r="AE250" i="3"/>
  <c r="AF250" i="3"/>
  <c r="AG250" i="3"/>
  <c r="A251" i="3"/>
  <c r="B251" i="3"/>
  <c r="D251" i="3" s="1"/>
  <c r="C251" i="3"/>
  <c r="E251" i="3"/>
  <c r="F251" i="3"/>
  <c r="AC251" i="3" s="1"/>
  <c r="G251" i="3"/>
  <c r="H251" i="3"/>
  <c r="I251" i="3"/>
  <c r="J251" i="3"/>
  <c r="K251" i="3"/>
  <c r="M251" i="3"/>
  <c r="N251" i="3"/>
  <c r="L251" i="3" s="1"/>
  <c r="Q251" i="3"/>
  <c r="R251" i="3"/>
  <c r="S251" i="3"/>
  <c r="T251" i="3"/>
  <c r="U251" i="3"/>
  <c r="V251" i="3"/>
  <c r="W251" i="3"/>
  <c r="X251" i="3"/>
  <c r="Y251" i="3"/>
  <c r="Z251" i="3"/>
  <c r="AA251" i="3"/>
  <c r="AB251" i="3"/>
  <c r="AE251" i="3"/>
  <c r="AF251" i="3"/>
  <c r="AG251" i="3"/>
  <c r="A252" i="3"/>
  <c r="B252" i="3"/>
  <c r="D252" i="3" s="1"/>
  <c r="C252" i="3"/>
  <c r="E252" i="3"/>
  <c r="F252" i="3"/>
  <c r="AC252" i="3" s="1"/>
  <c r="G252" i="3"/>
  <c r="H252" i="3"/>
  <c r="I252" i="3"/>
  <c r="J252" i="3"/>
  <c r="K252" i="3"/>
  <c r="M252" i="3"/>
  <c r="N252" i="3"/>
  <c r="L252" i="3" s="1"/>
  <c r="Q252" i="3"/>
  <c r="R252" i="3"/>
  <c r="S252" i="3"/>
  <c r="T252" i="3"/>
  <c r="U252" i="3"/>
  <c r="V252" i="3"/>
  <c r="W252" i="3"/>
  <c r="X252" i="3"/>
  <c r="Y252" i="3"/>
  <c r="Z252" i="3"/>
  <c r="AA252" i="3"/>
  <c r="AB252" i="3"/>
  <c r="AE252" i="3"/>
  <c r="AF252" i="3"/>
  <c r="AG252" i="3"/>
  <c r="A253" i="3"/>
  <c r="B253" i="3"/>
  <c r="D253" i="3" s="1"/>
  <c r="C253" i="3"/>
  <c r="E253" i="3"/>
  <c r="F253" i="3"/>
  <c r="AC253" i="3" s="1"/>
  <c r="G253" i="3"/>
  <c r="H253" i="3"/>
  <c r="I253" i="3"/>
  <c r="J253" i="3"/>
  <c r="K253" i="3"/>
  <c r="M253" i="3"/>
  <c r="N253" i="3"/>
  <c r="L253" i="3" s="1"/>
  <c r="Q253" i="3"/>
  <c r="R253" i="3"/>
  <c r="S253" i="3"/>
  <c r="T253" i="3"/>
  <c r="U253" i="3"/>
  <c r="V253" i="3"/>
  <c r="W253" i="3"/>
  <c r="X253" i="3"/>
  <c r="Y253" i="3"/>
  <c r="Z253" i="3"/>
  <c r="AA253" i="3"/>
  <c r="AB253" i="3"/>
  <c r="AE253" i="3"/>
  <c r="AF253" i="3"/>
  <c r="AG253" i="3"/>
  <c r="A254" i="3"/>
  <c r="B254" i="3"/>
  <c r="D254" i="3" s="1"/>
  <c r="C254" i="3"/>
  <c r="E254" i="3"/>
  <c r="F254" i="3"/>
  <c r="AC254" i="3" s="1"/>
  <c r="G254" i="3"/>
  <c r="H254" i="3"/>
  <c r="I254" i="3"/>
  <c r="J254" i="3"/>
  <c r="K254" i="3"/>
  <c r="M254" i="3"/>
  <c r="N254" i="3"/>
  <c r="L254" i="3" s="1"/>
  <c r="Q254" i="3"/>
  <c r="R254" i="3"/>
  <c r="S254" i="3"/>
  <c r="T254" i="3"/>
  <c r="U254" i="3"/>
  <c r="V254" i="3"/>
  <c r="W254" i="3"/>
  <c r="X254" i="3"/>
  <c r="Y254" i="3"/>
  <c r="Z254" i="3"/>
  <c r="AA254" i="3"/>
  <c r="AB254" i="3"/>
  <c r="AE254" i="3"/>
  <c r="AF254" i="3"/>
  <c r="AG254" i="3"/>
  <c r="A255" i="3"/>
  <c r="B255" i="3"/>
  <c r="D255" i="3" s="1"/>
  <c r="C255" i="3"/>
  <c r="E255" i="3"/>
  <c r="F255" i="3"/>
  <c r="AC255" i="3" s="1"/>
  <c r="G255" i="3"/>
  <c r="H255" i="3"/>
  <c r="I255" i="3"/>
  <c r="J255" i="3"/>
  <c r="K255" i="3"/>
  <c r="M255" i="3"/>
  <c r="N255" i="3"/>
  <c r="L255" i="3" s="1"/>
  <c r="Q255" i="3"/>
  <c r="R255" i="3"/>
  <c r="S255" i="3"/>
  <c r="T255" i="3"/>
  <c r="U255" i="3"/>
  <c r="V255" i="3"/>
  <c r="W255" i="3"/>
  <c r="X255" i="3"/>
  <c r="Y255" i="3"/>
  <c r="Z255" i="3"/>
  <c r="AA255" i="3"/>
  <c r="AB255" i="3"/>
  <c r="AE255" i="3"/>
  <c r="AF255" i="3"/>
  <c r="AG255" i="3"/>
  <c r="A256" i="3"/>
  <c r="B256" i="3"/>
  <c r="D256" i="3" s="1"/>
  <c r="C256" i="3"/>
  <c r="E256" i="3"/>
  <c r="F256" i="3"/>
  <c r="AC256" i="3" s="1"/>
  <c r="G256" i="3"/>
  <c r="H256" i="3"/>
  <c r="I256" i="3"/>
  <c r="J256" i="3"/>
  <c r="K256" i="3"/>
  <c r="M256" i="3"/>
  <c r="N256" i="3"/>
  <c r="L256" i="3" s="1"/>
  <c r="Q256" i="3"/>
  <c r="R256" i="3"/>
  <c r="S256" i="3"/>
  <c r="T256" i="3"/>
  <c r="U256" i="3"/>
  <c r="V256" i="3"/>
  <c r="W256" i="3"/>
  <c r="X256" i="3"/>
  <c r="Y256" i="3"/>
  <c r="Z256" i="3"/>
  <c r="AA256" i="3"/>
  <c r="AB256" i="3"/>
  <c r="AE256" i="3"/>
  <c r="AF256" i="3"/>
  <c r="AG256" i="3"/>
  <c r="A257" i="3"/>
  <c r="B257" i="3"/>
  <c r="D257" i="3" s="1"/>
  <c r="C257" i="3"/>
  <c r="E257" i="3"/>
  <c r="F257" i="3"/>
  <c r="AC257" i="3" s="1"/>
  <c r="G257" i="3"/>
  <c r="H257" i="3"/>
  <c r="I257" i="3"/>
  <c r="J257" i="3"/>
  <c r="K257" i="3"/>
  <c r="M257" i="3"/>
  <c r="N257" i="3"/>
  <c r="L257" i="3" s="1"/>
  <c r="Q257" i="3"/>
  <c r="R257" i="3"/>
  <c r="S257" i="3"/>
  <c r="T257" i="3"/>
  <c r="U257" i="3"/>
  <c r="V257" i="3"/>
  <c r="W257" i="3"/>
  <c r="X257" i="3"/>
  <c r="Y257" i="3"/>
  <c r="Z257" i="3"/>
  <c r="AA257" i="3"/>
  <c r="AB257" i="3"/>
  <c r="AE257" i="3"/>
  <c r="AF257" i="3"/>
  <c r="AG257" i="3"/>
  <c r="A258" i="3"/>
  <c r="B258" i="3"/>
  <c r="D258" i="3" s="1"/>
  <c r="C258" i="3"/>
  <c r="E258" i="3"/>
  <c r="F258" i="3"/>
  <c r="AC258" i="3" s="1"/>
  <c r="G258" i="3"/>
  <c r="H258" i="3"/>
  <c r="I258" i="3"/>
  <c r="J258" i="3"/>
  <c r="K258" i="3"/>
  <c r="M258" i="3"/>
  <c r="N258" i="3"/>
  <c r="L258" i="3" s="1"/>
  <c r="Q258" i="3"/>
  <c r="R258" i="3"/>
  <c r="S258" i="3"/>
  <c r="T258" i="3"/>
  <c r="U258" i="3"/>
  <c r="V258" i="3"/>
  <c r="W258" i="3"/>
  <c r="X258" i="3"/>
  <c r="Y258" i="3"/>
  <c r="Z258" i="3"/>
  <c r="AA258" i="3"/>
  <c r="AB258" i="3"/>
  <c r="AE258" i="3"/>
  <c r="AF258" i="3"/>
  <c r="AG258" i="3"/>
  <c r="A259" i="3"/>
  <c r="B259" i="3"/>
  <c r="D259" i="3" s="1"/>
  <c r="C259" i="3"/>
  <c r="E259" i="3"/>
  <c r="F259" i="3"/>
  <c r="AC259" i="3" s="1"/>
  <c r="G259" i="3"/>
  <c r="H259" i="3"/>
  <c r="I259" i="3"/>
  <c r="J259" i="3"/>
  <c r="K259" i="3"/>
  <c r="M259" i="3"/>
  <c r="N259" i="3"/>
  <c r="L259" i="3" s="1"/>
  <c r="Q259" i="3"/>
  <c r="R259" i="3"/>
  <c r="S259" i="3"/>
  <c r="T259" i="3"/>
  <c r="U259" i="3"/>
  <c r="V259" i="3"/>
  <c r="W259" i="3"/>
  <c r="X259" i="3"/>
  <c r="Y259" i="3"/>
  <c r="Z259" i="3"/>
  <c r="AA259" i="3"/>
  <c r="AB259" i="3"/>
  <c r="AE259" i="3"/>
  <c r="AF259" i="3"/>
  <c r="AG259" i="3"/>
  <c r="A260" i="3"/>
  <c r="B260" i="3"/>
  <c r="D260" i="3" s="1"/>
  <c r="C260" i="3"/>
  <c r="E260" i="3"/>
  <c r="F260" i="3"/>
  <c r="AC260" i="3" s="1"/>
  <c r="G260" i="3"/>
  <c r="H260" i="3"/>
  <c r="I260" i="3"/>
  <c r="J260" i="3"/>
  <c r="K260" i="3"/>
  <c r="M260" i="3"/>
  <c r="N260" i="3"/>
  <c r="L260" i="3" s="1"/>
  <c r="Q260" i="3"/>
  <c r="R260" i="3"/>
  <c r="S260" i="3"/>
  <c r="T260" i="3"/>
  <c r="U260" i="3"/>
  <c r="V260" i="3"/>
  <c r="W260" i="3"/>
  <c r="X260" i="3"/>
  <c r="Y260" i="3"/>
  <c r="Z260" i="3"/>
  <c r="AA260" i="3"/>
  <c r="AB260" i="3"/>
  <c r="AE260" i="3"/>
  <c r="AF260" i="3"/>
  <c r="AG260" i="3"/>
  <c r="A261" i="3"/>
  <c r="B261" i="3"/>
  <c r="D261" i="3" s="1"/>
  <c r="C261" i="3"/>
  <c r="E261" i="3"/>
  <c r="F261" i="3"/>
  <c r="AC261" i="3" s="1"/>
  <c r="G261" i="3"/>
  <c r="H261" i="3"/>
  <c r="I261" i="3"/>
  <c r="J261" i="3"/>
  <c r="K261" i="3"/>
  <c r="M261" i="3"/>
  <c r="N261" i="3"/>
  <c r="L261" i="3" s="1"/>
  <c r="Q261" i="3"/>
  <c r="R261" i="3"/>
  <c r="S261" i="3"/>
  <c r="T261" i="3"/>
  <c r="U261" i="3"/>
  <c r="V261" i="3"/>
  <c r="W261" i="3"/>
  <c r="X261" i="3"/>
  <c r="Y261" i="3"/>
  <c r="Z261" i="3"/>
  <c r="AA261" i="3"/>
  <c r="AB261" i="3"/>
  <c r="AE261" i="3"/>
  <c r="AF261" i="3"/>
  <c r="AG261" i="3"/>
  <c r="A262" i="3"/>
  <c r="B262" i="3"/>
  <c r="D262" i="3" s="1"/>
  <c r="C262" i="3"/>
  <c r="E262" i="3"/>
  <c r="F262" i="3"/>
  <c r="AC262" i="3" s="1"/>
  <c r="G262" i="3"/>
  <c r="H262" i="3"/>
  <c r="I262" i="3"/>
  <c r="J262" i="3"/>
  <c r="K262" i="3"/>
  <c r="M262" i="3"/>
  <c r="N262" i="3"/>
  <c r="L262" i="3" s="1"/>
  <c r="Q262" i="3"/>
  <c r="R262" i="3"/>
  <c r="S262" i="3"/>
  <c r="T262" i="3"/>
  <c r="U262" i="3"/>
  <c r="V262" i="3"/>
  <c r="W262" i="3"/>
  <c r="X262" i="3"/>
  <c r="Y262" i="3"/>
  <c r="Z262" i="3"/>
  <c r="AA262" i="3"/>
  <c r="AB262" i="3"/>
  <c r="AE262" i="3"/>
  <c r="AF262" i="3"/>
  <c r="AG262" i="3"/>
  <c r="A263" i="3"/>
  <c r="B263" i="3"/>
  <c r="D263" i="3" s="1"/>
  <c r="C263" i="3"/>
  <c r="E263" i="3"/>
  <c r="F263" i="3"/>
  <c r="AC263" i="3" s="1"/>
  <c r="G263" i="3"/>
  <c r="H263" i="3"/>
  <c r="I263" i="3"/>
  <c r="J263" i="3"/>
  <c r="K263" i="3"/>
  <c r="M263" i="3"/>
  <c r="N263" i="3"/>
  <c r="L263" i="3" s="1"/>
  <c r="Q263" i="3"/>
  <c r="R263" i="3"/>
  <c r="S263" i="3"/>
  <c r="T263" i="3"/>
  <c r="U263" i="3"/>
  <c r="V263" i="3"/>
  <c r="W263" i="3"/>
  <c r="X263" i="3"/>
  <c r="Y263" i="3"/>
  <c r="Z263" i="3"/>
  <c r="AA263" i="3"/>
  <c r="AB263" i="3"/>
  <c r="AE263" i="3"/>
  <c r="AF263" i="3"/>
  <c r="AG263" i="3"/>
  <c r="A264" i="3"/>
  <c r="B264" i="3"/>
  <c r="D264" i="3" s="1"/>
  <c r="C264" i="3"/>
  <c r="E264" i="3"/>
  <c r="F264" i="3"/>
  <c r="AC264" i="3" s="1"/>
  <c r="G264" i="3"/>
  <c r="H264" i="3"/>
  <c r="I264" i="3"/>
  <c r="J264" i="3"/>
  <c r="K264" i="3"/>
  <c r="M264" i="3"/>
  <c r="N264" i="3"/>
  <c r="L264" i="3" s="1"/>
  <c r="Q264" i="3"/>
  <c r="R264" i="3"/>
  <c r="S264" i="3"/>
  <c r="T264" i="3"/>
  <c r="U264" i="3"/>
  <c r="V264" i="3"/>
  <c r="W264" i="3"/>
  <c r="X264" i="3"/>
  <c r="Y264" i="3"/>
  <c r="Z264" i="3"/>
  <c r="AA264" i="3"/>
  <c r="AB264" i="3"/>
  <c r="AE264" i="3"/>
  <c r="AF264" i="3"/>
  <c r="AG264" i="3"/>
  <c r="A265" i="3"/>
  <c r="B265" i="3"/>
  <c r="D265" i="3" s="1"/>
  <c r="C265" i="3"/>
  <c r="E265" i="3"/>
  <c r="F265" i="3"/>
  <c r="AC265" i="3" s="1"/>
  <c r="G265" i="3"/>
  <c r="H265" i="3"/>
  <c r="I265" i="3"/>
  <c r="J265" i="3"/>
  <c r="K265" i="3"/>
  <c r="M265" i="3"/>
  <c r="N265" i="3"/>
  <c r="L265" i="3" s="1"/>
  <c r="Q265" i="3"/>
  <c r="R265" i="3"/>
  <c r="S265" i="3"/>
  <c r="T265" i="3"/>
  <c r="U265" i="3"/>
  <c r="V265" i="3"/>
  <c r="W265" i="3"/>
  <c r="X265" i="3"/>
  <c r="Y265" i="3"/>
  <c r="Z265" i="3"/>
  <c r="AA265" i="3"/>
  <c r="AB265" i="3"/>
  <c r="AE265" i="3"/>
  <c r="AF265" i="3"/>
  <c r="AG265" i="3"/>
  <c r="A266" i="3"/>
  <c r="B266" i="3"/>
  <c r="D266" i="3" s="1"/>
  <c r="C266" i="3"/>
  <c r="E266" i="3"/>
  <c r="F266" i="3"/>
  <c r="AC266" i="3" s="1"/>
  <c r="G266" i="3"/>
  <c r="H266" i="3"/>
  <c r="I266" i="3"/>
  <c r="J266" i="3"/>
  <c r="K266" i="3"/>
  <c r="M266" i="3"/>
  <c r="N266" i="3"/>
  <c r="L266" i="3" s="1"/>
  <c r="Q266" i="3"/>
  <c r="R266" i="3"/>
  <c r="S266" i="3"/>
  <c r="T266" i="3"/>
  <c r="U266" i="3"/>
  <c r="V266" i="3"/>
  <c r="W266" i="3"/>
  <c r="X266" i="3"/>
  <c r="Y266" i="3"/>
  <c r="Z266" i="3"/>
  <c r="AA266" i="3"/>
  <c r="AB266" i="3"/>
  <c r="AE266" i="3"/>
  <c r="AF266" i="3"/>
  <c r="AG266" i="3"/>
  <c r="A267" i="3"/>
  <c r="B267" i="3"/>
  <c r="D267" i="3" s="1"/>
  <c r="C267" i="3"/>
  <c r="E267" i="3"/>
  <c r="F267" i="3"/>
  <c r="AC267" i="3" s="1"/>
  <c r="G267" i="3"/>
  <c r="H267" i="3"/>
  <c r="I267" i="3"/>
  <c r="J267" i="3"/>
  <c r="K267" i="3"/>
  <c r="M267" i="3"/>
  <c r="N267" i="3"/>
  <c r="L267" i="3" s="1"/>
  <c r="Q267" i="3"/>
  <c r="R267" i="3"/>
  <c r="S267" i="3"/>
  <c r="T267" i="3"/>
  <c r="U267" i="3"/>
  <c r="V267" i="3"/>
  <c r="W267" i="3"/>
  <c r="X267" i="3"/>
  <c r="Y267" i="3"/>
  <c r="Z267" i="3"/>
  <c r="AA267" i="3"/>
  <c r="AB267" i="3"/>
  <c r="AE267" i="3"/>
  <c r="AF267" i="3"/>
  <c r="AG267" i="3"/>
  <c r="A268" i="3"/>
  <c r="B268" i="3"/>
  <c r="D268" i="3" s="1"/>
  <c r="C268" i="3"/>
  <c r="E268" i="3"/>
  <c r="F268" i="3"/>
  <c r="AC268" i="3" s="1"/>
  <c r="G268" i="3"/>
  <c r="H268" i="3"/>
  <c r="I268" i="3"/>
  <c r="J268" i="3"/>
  <c r="K268" i="3"/>
  <c r="M268" i="3"/>
  <c r="N268" i="3"/>
  <c r="L268" i="3" s="1"/>
  <c r="Q268" i="3"/>
  <c r="R268" i="3"/>
  <c r="S268" i="3"/>
  <c r="T268" i="3"/>
  <c r="U268" i="3"/>
  <c r="V268" i="3"/>
  <c r="W268" i="3"/>
  <c r="X268" i="3"/>
  <c r="Y268" i="3"/>
  <c r="Z268" i="3"/>
  <c r="AA268" i="3"/>
  <c r="AB268" i="3"/>
  <c r="AE268" i="3"/>
  <c r="AF268" i="3"/>
  <c r="AG268" i="3"/>
  <c r="A269" i="3"/>
  <c r="B269" i="3"/>
  <c r="D269" i="3" s="1"/>
  <c r="C269" i="3"/>
  <c r="E269" i="3"/>
  <c r="F269" i="3"/>
  <c r="AC269" i="3" s="1"/>
  <c r="G269" i="3"/>
  <c r="H269" i="3"/>
  <c r="I269" i="3"/>
  <c r="J269" i="3"/>
  <c r="K269" i="3"/>
  <c r="M269" i="3"/>
  <c r="N269" i="3"/>
  <c r="L269" i="3" s="1"/>
  <c r="Q269" i="3"/>
  <c r="R269" i="3"/>
  <c r="S269" i="3"/>
  <c r="T269" i="3"/>
  <c r="U269" i="3"/>
  <c r="V269" i="3"/>
  <c r="W269" i="3"/>
  <c r="X269" i="3"/>
  <c r="Y269" i="3"/>
  <c r="Z269" i="3"/>
  <c r="AA269" i="3"/>
  <c r="AB269" i="3"/>
  <c r="AE269" i="3"/>
  <c r="AF269" i="3"/>
  <c r="AG269" i="3"/>
  <c r="A270" i="3"/>
  <c r="B270" i="3"/>
  <c r="D270" i="3" s="1"/>
  <c r="C270" i="3"/>
  <c r="E270" i="3"/>
  <c r="F270" i="3"/>
  <c r="AC270" i="3" s="1"/>
  <c r="G270" i="3"/>
  <c r="H270" i="3"/>
  <c r="I270" i="3"/>
  <c r="J270" i="3"/>
  <c r="K270" i="3"/>
  <c r="M270" i="3"/>
  <c r="N270" i="3"/>
  <c r="L270" i="3" s="1"/>
  <c r="Q270" i="3"/>
  <c r="R270" i="3"/>
  <c r="S270" i="3"/>
  <c r="T270" i="3"/>
  <c r="U270" i="3"/>
  <c r="V270" i="3"/>
  <c r="W270" i="3"/>
  <c r="X270" i="3"/>
  <c r="Y270" i="3"/>
  <c r="Z270" i="3"/>
  <c r="AA270" i="3"/>
  <c r="AB270" i="3"/>
  <c r="AE270" i="3"/>
  <c r="AF270" i="3"/>
  <c r="AG270" i="3"/>
  <c r="A271" i="3"/>
  <c r="B271" i="3"/>
  <c r="D271" i="3" s="1"/>
  <c r="C271" i="3"/>
  <c r="E271" i="3"/>
  <c r="F271" i="3"/>
  <c r="AC271" i="3" s="1"/>
  <c r="G271" i="3"/>
  <c r="H271" i="3"/>
  <c r="I271" i="3"/>
  <c r="J271" i="3"/>
  <c r="K271" i="3"/>
  <c r="M271" i="3"/>
  <c r="N271" i="3"/>
  <c r="L271" i="3" s="1"/>
  <c r="Q271" i="3"/>
  <c r="R271" i="3"/>
  <c r="S271" i="3"/>
  <c r="T271" i="3"/>
  <c r="U271" i="3"/>
  <c r="V271" i="3"/>
  <c r="W271" i="3"/>
  <c r="X271" i="3"/>
  <c r="Y271" i="3"/>
  <c r="Z271" i="3"/>
  <c r="AA271" i="3"/>
  <c r="AB271" i="3"/>
  <c r="AE271" i="3"/>
  <c r="AF271" i="3"/>
  <c r="AG271" i="3"/>
  <c r="A272" i="3"/>
  <c r="B272" i="3"/>
  <c r="D272" i="3" s="1"/>
  <c r="C272" i="3"/>
  <c r="E272" i="3"/>
  <c r="F272" i="3"/>
  <c r="AC272" i="3" s="1"/>
  <c r="G272" i="3"/>
  <c r="H272" i="3"/>
  <c r="I272" i="3"/>
  <c r="J272" i="3"/>
  <c r="K272" i="3"/>
  <c r="M272" i="3"/>
  <c r="N272" i="3"/>
  <c r="L272" i="3" s="1"/>
  <c r="Q272" i="3"/>
  <c r="R272" i="3"/>
  <c r="S272" i="3"/>
  <c r="T272" i="3"/>
  <c r="U272" i="3"/>
  <c r="V272" i="3"/>
  <c r="W272" i="3"/>
  <c r="X272" i="3"/>
  <c r="Y272" i="3"/>
  <c r="Z272" i="3"/>
  <c r="AA272" i="3"/>
  <c r="AB272" i="3"/>
  <c r="AE272" i="3"/>
  <c r="AF272" i="3"/>
  <c r="AG272" i="3"/>
  <c r="A273" i="3"/>
  <c r="B273" i="3"/>
  <c r="D273" i="3" s="1"/>
  <c r="C273" i="3"/>
  <c r="E273" i="3"/>
  <c r="F273" i="3"/>
  <c r="AC273" i="3" s="1"/>
  <c r="G273" i="3"/>
  <c r="H273" i="3"/>
  <c r="I273" i="3"/>
  <c r="J273" i="3"/>
  <c r="K273" i="3"/>
  <c r="M273" i="3"/>
  <c r="N273" i="3"/>
  <c r="L273" i="3" s="1"/>
  <c r="Q273" i="3"/>
  <c r="R273" i="3"/>
  <c r="S273" i="3"/>
  <c r="T273" i="3"/>
  <c r="U273" i="3"/>
  <c r="V273" i="3"/>
  <c r="W273" i="3"/>
  <c r="X273" i="3"/>
  <c r="Y273" i="3"/>
  <c r="Z273" i="3"/>
  <c r="AA273" i="3"/>
  <c r="AB273" i="3"/>
  <c r="AE273" i="3"/>
  <c r="AF273" i="3"/>
  <c r="AG273" i="3"/>
  <c r="A274" i="3"/>
  <c r="B274" i="3"/>
  <c r="D274" i="3" s="1"/>
  <c r="C274" i="3"/>
  <c r="E274" i="3"/>
  <c r="F274" i="3"/>
  <c r="AC274" i="3" s="1"/>
  <c r="G274" i="3"/>
  <c r="H274" i="3"/>
  <c r="I274" i="3"/>
  <c r="J274" i="3"/>
  <c r="K274" i="3"/>
  <c r="M274" i="3"/>
  <c r="N274" i="3"/>
  <c r="L274" i="3" s="1"/>
  <c r="Q274" i="3"/>
  <c r="R274" i="3"/>
  <c r="S274" i="3"/>
  <c r="T274" i="3"/>
  <c r="U274" i="3"/>
  <c r="V274" i="3"/>
  <c r="W274" i="3"/>
  <c r="X274" i="3"/>
  <c r="Y274" i="3"/>
  <c r="Z274" i="3"/>
  <c r="AA274" i="3"/>
  <c r="AB274" i="3"/>
  <c r="AE274" i="3"/>
  <c r="AF274" i="3"/>
  <c r="AG274" i="3"/>
  <c r="A275" i="3"/>
  <c r="B275" i="3"/>
  <c r="D275" i="3" s="1"/>
  <c r="C275" i="3"/>
  <c r="E275" i="3"/>
  <c r="F275" i="3"/>
  <c r="AC275" i="3" s="1"/>
  <c r="G275" i="3"/>
  <c r="H275" i="3"/>
  <c r="I275" i="3"/>
  <c r="J275" i="3"/>
  <c r="K275" i="3"/>
  <c r="M275" i="3"/>
  <c r="N275" i="3"/>
  <c r="L275" i="3" s="1"/>
  <c r="Q275" i="3"/>
  <c r="R275" i="3"/>
  <c r="S275" i="3"/>
  <c r="T275" i="3"/>
  <c r="U275" i="3"/>
  <c r="V275" i="3"/>
  <c r="W275" i="3"/>
  <c r="X275" i="3"/>
  <c r="Y275" i="3"/>
  <c r="Z275" i="3"/>
  <c r="AA275" i="3"/>
  <c r="AB275" i="3"/>
  <c r="AE275" i="3"/>
  <c r="AF275" i="3"/>
  <c r="AG275" i="3"/>
  <c r="A276" i="3"/>
  <c r="B276" i="3"/>
  <c r="D276" i="3" s="1"/>
  <c r="C276" i="3"/>
  <c r="E276" i="3"/>
  <c r="F276" i="3"/>
  <c r="AC276" i="3" s="1"/>
  <c r="G276" i="3"/>
  <c r="H276" i="3"/>
  <c r="I276" i="3"/>
  <c r="J276" i="3"/>
  <c r="K276" i="3"/>
  <c r="M276" i="3"/>
  <c r="N276" i="3"/>
  <c r="L276" i="3" s="1"/>
  <c r="Q276" i="3"/>
  <c r="R276" i="3"/>
  <c r="S276" i="3"/>
  <c r="T276" i="3"/>
  <c r="U276" i="3"/>
  <c r="V276" i="3"/>
  <c r="W276" i="3"/>
  <c r="X276" i="3"/>
  <c r="Y276" i="3"/>
  <c r="Z276" i="3"/>
  <c r="AA276" i="3"/>
  <c r="AB276" i="3"/>
  <c r="AE276" i="3"/>
  <c r="AF276" i="3"/>
  <c r="AG276" i="3"/>
  <c r="A277" i="3"/>
  <c r="B277" i="3"/>
  <c r="D277" i="3" s="1"/>
  <c r="C277" i="3"/>
  <c r="E277" i="3"/>
  <c r="F277" i="3"/>
  <c r="AC277" i="3" s="1"/>
  <c r="G277" i="3"/>
  <c r="H277" i="3"/>
  <c r="I277" i="3"/>
  <c r="J277" i="3"/>
  <c r="K277" i="3"/>
  <c r="M277" i="3"/>
  <c r="N277" i="3"/>
  <c r="L277" i="3" s="1"/>
  <c r="Q277" i="3"/>
  <c r="R277" i="3"/>
  <c r="S277" i="3"/>
  <c r="T277" i="3"/>
  <c r="U277" i="3"/>
  <c r="V277" i="3"/>
  <c r="W277" i="3"/>
  <c r="X277" i="3"/>
  <c r="Y277" i="3"/>
  <c r="Z277" i="3"/>
  <c r="AA277" i="3"/>
  <c r="AB277" i="3"/>
  <c r="AE277" i="3"/>
  <c r="AF277" i="3"/>
  <c r="AG277" i="3"/>
  <c r="A278" i="3"/>
  <c r="B278" i="3"/>
  <c r="D278" i="3" s="1"/>
  <c r="C278" i="3"/>
  <c r="E278" i="3"/>
  <c r="F278" i="3"/>
  <c r="AC278" i="3" s="1"/>
  <c r="G278" i="3"/>
  <c r="H278" i="3"/>
  <c r="I278" i="3"/>
  <c r="J278" i="3"/>
  <c r="K278" i="3"/>
  <c r="M278" i="3"/>
  <c r="N278" i="3"/>
  <c r="L278" i="3" s="1"/>
  <c r="Q278" i="3"/>
  <c r="R278" i="3"/>
  <c r="S278" i="3"/>
  <c r="T278" i="3"/>
  <c r="U278" i="3"/>
  <c r="V278" i="3"/>
  <c r="W278" i="3"/>
  <c r="X278" i="3"/>
  <c r="Y278" i="3"/>
  <c r="Z278" i="3"/>
  <c r="AA278" i="3"/>
  <c r="AB278" i="3"/>
  <c r="AE278" i="3"/>
  <c r="AF278" i="3"/>
  <c r="AG278" i="3"/>
  <c r="A279" i="3"/>
  <c r="B279" i="3"/>
  <c r="D279" i="3" s="1"/>
  <c r="C279" i="3"/>
  <c r="E279" i="3"/>
  <c r="F279" i="3"/>
  <c r="AC279" i="3" s="1"/>
  <c r="G279" i="3"/>
  <c r="H279" i="3"/>
  <c r="I279" i="3"/>
  <c r="J279" i="3"/>
  <c r="K279" i="3"/>
  <c r="M279" i="3"/>
  <c r="N279" i="3"/>
  <c r="L279" i="3" s="1"/>
  <c r="Q279" i="3"/>
  <c r="R279" i="3"/>
  <c r="S279" i="3"/>
  <c r="T279" i="3"/>
  <c r="U279" i="3"/>
  <c r="V279" i="3"/>
  <c r="W279" i="3"/>
  <c r="X279" i="3"/>
  <c r="Y279" i="3"/>
  <c r="Z279" i="3"/>
  <c r="AA279" i="3"/>
  <c r="AB279" i="3"/>
  <c r="AE279" i="3"/>
  <c r="AF279" i="3"/>
  <c r="AG279" i="3"/>
  <c r="A280" i="3"/>
  <c r="B280" i="3"/>
  <c r="D280" i="3" s="1"/>
  <c r="C280" i="3"/>
  <c r="E280" i="3"/>
  <c r="F280" i="3"/>
  <c r="AC280" i="3" s="1"/>
  <c r="G280" i="3"/>
  <c r="H280" i="3"/>
  <c r="I280" i="3"/>
  <c r="J280" i="3"/>
  <c r="K280" i="3"/>
  <c r="M280" i="3"/>
  <c r="N280" i="3"/>
  <c r="L280" i="3" s="1"/>
  <c r="Q280" i="3"/>
  <c r="R280" i="3"/>
  <c r="S280" i="3"/>
  <c r="T280" i="3"/>
  <c r="U280" i="3"/>
  <c r="V280" i="3"/>
  <c r="W280" i="3"/>
  <c r="X280" i="3"/>
  <c r="Y280" i="3"/>
  <c r="Z280" i="3"/>
  <c r="AA280" i="3"/>
  <c r="AB280" i="3"/>
  <c r="AE280" i="3"/>
  <c r="AF280" i="3"/>
  <c r="AG280" i="3"/>
  <c r="A281" i="3"/>
  <c r="B281" i="3"/>
  <c r="D281" i="3" s="1"/>
  <c r="C281" i="3"/>
  <c r="E281" i="3"/>
  <c r="F281" i="3"/>
  <c r="AC281" i="3" s="1"/>
  <c r="G281" i="3"/>
  <c r="H281" i="3"/>
  <c r="I281" i="3"/>
  <c r="J281" i="3"/>
  <c r="K281" i="3"/>
  <c r="M281" i="3"/>
  <c r="N281" i="3"/>
  <c r="L281" i="3" s="1"/>
  <c r="Q281" i="3"/>
  <c r="R281" i="3"/>
  <c r="S281" i="3"/>
  <c r="T281" i="3"/>
  <c r="U281" i="3"/>
  <c r="V281" i="3"/>
  <c r="W281" i="3"/>
  <c r="X281" i="3"/>
  <c r="Y281" i="3"/>
  <c r="Z281" i="3"/>
  <c r="AA281" i="3"/>
  <c r="AB281" i="3"/>
  <c r="AE281" i="3"/>
  <c r="AF281" i="3"/>
  <c r="AG281" i="3"/>
  <c r="A282" i="3"/>
  <c r="B282" i="3"/>
  <c r="D282" i="3" s="1"/>
  <c r="C282" i="3"/>
  <c r="E282" i="3"/>
  <c r="F282" i="3"/>
  <c r="AC282" i="3" s="1"/>
  <c r="G282" i="3"/>
  <c r="H282" i="3"/>
  <c r="I282" i="3"/>
  <c r="J282" i="3"/>
  <c r="K282" i="3"/>
  <c r="M282" i="3"/>
  <c r="N282" i="3"/>
  <c r="L282" i="3" s="1"/>
  <c r="Q282" i="3"/>
  <c r="R282" i="3"/>
  <c r="S282" i="3"/>
  <c r="T282" i="3"/>
  <c r="U282" i="3"/>
  <c r="V282" i="3"/>
  <c r="W282" i="3"/>
  <c r="X282" i="3"/>
  <c r="Y282" i="3"/>
  <c r="Z282" i="3"/>
  <c r="AA282" i="3"/>
  <c r="AB282" i="3"/>
  <c r="AE282" i="3"/>
  <c r="AF282" i="3"/>
  <c r="AG282" i="3"/>
  <c r="A283" i="3"/>
  <c r="B283" i="3"/>
  <c r="D283" i="3" s="1"/>
  <c r="C283" i="3"/>
  <c r="E283" i="3"/>
  <c r="F283" i="3"/>
  <c r="AC283" i="3" s="1"/>
  <c r="G283" i="3"/>
  <c r="H283" i="3"/>
  <c r="I283" i="3"/>
  <c r="J283" i="3"/>
  <c r="K283" i="3"/>
  <c r="M283" i="3"/>
  <c r="N283" i="3"/>
  <c r="L283" i="3" s="1"/>
  <c r="Q283" i="3"/>
  <c r="R283" i="3"/>
  <c r="S283" i="3"/>
  <c r="T283" i="3"/>
  <c r="U283" i="3"/>
  <c r="V283" i="3"/>
  <c r="W283" i="3"/>
  <c r="X283" i="3"/>
  <c r="Y283" i="3"/>
  <c r="Z283" i="3"/>
  <c r="AA283" i="3"/>
  <c r="AB283" i="3"/>
  <c r="AE283" i="3"/>
  <c r="AF283" i="3"/>
  <c r="AG283" i="3"/>
  <c r="A284" i="3"/>
  <c r="B284" i="3"/>
  <c r="D284" i="3" s="1"/>
  <c r="C284" i="3"/>
  <c r="E284" i="3"/>
  <c r="F284" i="3"/>
  <c r="AC284" i="3" s="1"/>
  <c r="G284" i="3"/>
  <c r="H284" i="3"/>
  <c r="I284" i="3"/>
  <c r="J284" i="3"/>
  <c r="K284" i="3"/>
  <c r="M284" i="3"/>
  <c r="N284" i="3"/>
  <c r="L284" i="3" s="1"/>
  <c r="Q284" i="3"/>
  <c r="R284" i="3"/>
  <c r="S284" i="3"/>
  <c r="T284" i="3"/>
  <c r="U284" i="3"/>
  <c r="V284" i="3"/>
  <c r="W284" i="3"/>
  <c r="X284" i="3"/>
  <c r="Y284" i="3"/>
  <c r="Z284" i="3"/>
  <c r="AA284" i="3"/>
  <c r="AB284" i="3"/>
  <c r="AE284" i="3"/>
  <c r="AF284" i="3"/>
  <c r="AG284" i="3"/>
  <c r="A285" i="3"/>
  <c r="B285" i="3"/>
  <c r="D285" i="3" s="1"/>
  <c r="C285" i="3"/>
  <c r="E285" i="3"/>
  <c r="F285" i="3"/>
  <c r="AC285" i="3" s="1"/>
  <c r="G285" i="3"/>
  <c r="H285" i="3"/>
  <c r="I285" i="3"/>
  <c r="J285" i="3"/>
  <c r="K285" i="3"/>
  <c r="M285" i="3"/>
  <c r="N285" i="3"/>
  <c r="L285" i="3" s="1"/>
  <c r="Q285" i="3"/>
  <c r="R285" i="3"/>
  <c r="S285" i="3"/>
  <c r="T285" i="3"/>
  <c r="U285" i="3"/>
  <c r="V285" i="3"/>
  <c r="W285" i="3"/>
  <c r="X285" i="3"/>
  <c r="Y285" i="3"/>
  <c r="Z285" i="3"/>
  <c r="AA285" i="3"/>
  <c r="AB285" i="3"/>
  <c r="AE285" i="3"/>
  <c r="AF285" i="3"/>
  <c r="AG285" i="3"/>
  <c r="A286" i="3"/>
  <c r="B286" i="3"/>
  <c r="D286" i="3" s="1"/>
  <c r="C286" i="3"/>
  <c r="E286" i="3"/>
  <c r="F286" i="3"/>
  <c r="AC286" i="3" s="1"/>
  <c r="G286" i="3"/>
  <c r="H286" i="3"/>
  <c r="I286" i="3"/>
  <c r="J286" i="3"/>
  <c r="K286" i="3"/>
  <c r="M286" i="3"/>
  <c r="N286" i="3"/>
  <c r="L286" i="3" s="1"/>
  <c r="Q286" i="3"/>
  <c r="R286" i="3"/>
  <c r="S286" i="3"/>
  <c r="T286" i="3"/>
  <c r="U286" i="3"/>
  <c r="V286" i="3"/>
  <c r="W286" i="3"/>
  <c r="X286" i="3"/>
  <c r="Y286" i="3"/>
  <c r="Z286" i="3"/>
  <c r="AA286" i="3"/>
  <c r="AB286" i="3"/>
  <c r="AE286" i="3"/>
  <c r="AF286" i="3"/>
  <c r="AG286" i="3"/>
  <c r="A287" i="3"/>
  <c r="B287" i="3"/>
  <c r="D287" i="3" s="1"/>
  <c r="C287" i="3"/>
  <c r="E287" i="3"/>
  <c r="F287" i="3"/>
  <c r="AC287" i="3" s="1"/>
  <c r="G287" i="3"/>
  <c r="H287" i="3"/>
  <c r="I287" i="3"/>
  <c r="J287" i="3"/>
  <c r="K287" i="3"/>
  <c r="M287" i="3"/>
  <c r="N287" i="3"/>
  <c r="L287" i="3" s="1"/>
  <c r="Q287" i="3"/>
  <c r="R287" i="3"/>
  <c r="S287" i="3"/>
  <c r="T287" i="3"/>
  <c r="U287" i="3"/>
  <c r="V287" i="3"/>
  <c r="W287" i="3"/>
  <c r="X287" i="3"/>
  <c r="Y287" i="3"/>
  <c r="Z287" i="3"/>
  <c r="AA287" i="3"/>
  <c r="AB287" i="3"/>
  <c r="AE287" i="3"/>
  <c r="AF287" i="3"/>
  <c r="AG287" i="3"/>
  <c r="A288" i="3"/>
  <c r="B288" i="3"/>
  <c r="D288" i="3" s="1"/>
  <c r="C288" i="3"/>
  <c r="E288" i="3"/>
  <c r="F288" i="3"/>
  <c r="AC288" i="3" s="1"/>
  <c r="G288" i="3"/>
  <c r="H288" i="3"/>
  <c r="I288" i="3"/>
  <c r="J288" i="3"/>
  <c r="K288" i="3"/>
  <c r="M288" i="3"/>
  <c r="N288" i="3"/>
  <c r="L288" i="3" s="1"/>
  <c r="Q288" i="3"/>
  <c r="R288" i="3"/>
  <c r="S288" i="3"/>
  <c r="T288" i="3"/>
  <c r="U288" i="3"/>
  <c r="V288" i="3"/>
  <c r="W288" i="3"/>
  <c r="X288" i="3"/>
  <c r="Y288" i="3"/>
  <c r="Z288" i="3"/>
  <c r="AA288" i="3"/>
  <c r="AB288" i="3"/>
  <c r="AE288" i="3"/>
  <c r="AF288" i="3"/>
  <c r="AG288" i="3"/>
  <c r="A289" i="3"/>
  <c r="B289" i="3"/>
  <c r="D289" i="3" s="1"/>
  <c r="C289" i="3"/>
  <c r="E289" i="3"/>
  <c r="F289" i="3"/>
  <c r="AC289" i="3" s="1"/>
  <c r="G289" i="3"/>
  <c r="H289" i="3"/>
  <c r="I289" i="3"/>
  <c r="J289" i="3"/>
  <c r="K289" i="3"/>
  <c r="M289" i="3"/>
  <c r="N289" i="3"/>
  <c r="L289" i="3" s="1"/>
  <c r="Q289" i="3"/>
  <c r="R289" i="3"/>
  <c r="S289" i="3"/>
  <c r="T289" i="3"/>
  <c r="U289" i="3"/>
  <c r="V289" i="3"/>
  <c r="W289" i="3"/>
  <c r="X289" i="3"/>
  <c r="Y289" i="3"/>
  <c r="Z289" i="3"/>
  <c r="AA289" i="3"/>
  <c r="AB289" i="3"/>
  <c r="AE289" i="3"/>
  <c r="AF289" i="3"/>
  <c r="AG289" i="3"/>
  <c r="A290" i="3"/>
  <c r="B290" i="3"/>
  <c r="D290" i="3" s="1"/>
  <c r="C290" i="3"/>
  <c r="E290" i="3"/>
  <c r="F290" i="3"/>
  <c r="AC290" i="3" s="1"/>
  <c r="G290" i="3"/>
  <c r="H290" i="3"/>
  <c r="I290" i="3"/>
  <c r="J290" i="3"/>
  <c r="K290" i="3"/>
  <c r="M290" i="3"/>
  <c r="N290" i="3"/>
  <c r="L290" i="3" s="1"/>
  <c r="Q290" i="3"/>
  <c r="R290" i="3"/>
  <c r="S290" i="3"/>
  <c r="T290" i="3"/>
  <c r="U290" i="3"/>
  <c r="V290" i="3"/>
  <c r="W290" i="3"/>
  <c r="X290" i="3"/>
  <c r="Y290" i="3"/>
  <c r="Z290" i="3"/>
  <c r="AA290" i="3"/>
  <c r="AB290" i="3"/>
  <c r="AE290" i="3"/>
  <c r="AF290" i="3"/>
  <c r="AG290" i="3"/>
  <c r="A291" i="3"/>
  <c r="B291" i="3"/>
  <c r="D291" i="3" s="1"/>
  <c r="C291" i="3"/>
  <c r="E291" i="3"/>
  <c r="F291" i="3"/>
  <c r="AC291" i="3" s="1"/>
  <c r="G291" i="3"/>
  <c r="H291" i="3"/>
  <c r="I291" i="3"/>
  <c r="J291" i="3"/>
  <c r="K291" i="3"/>
  <c r="M291" i="3"/>
  <c r="N291" i="3"/>
  <c r="L291" i="3" s="1"/>
  <c r="Q291" i="3"/>
  <c r="R291" i="3"/>
  <c r="S291" i="3"/>
  <c r="T291" i="3"/>
  <c r="U291" i="3"/>
  <c r="V291" i="3"/>
  <c r="W291" i="3"/>
  <c r="X291" i="3"/>
  <c r="Y291" i="3"/>
  <c r="Z291" i="3"/>
  <c r="AA291" i="3"/>
  <c r="AB291" i="3"/>
  <c r="AE291" i="3"/>
  <c r="AF291" i="3"/>
  <c r="AG291" i="3"/>
  <c r="A292" i="3"/>
  <c r="B292" i="3"/>
  <c r="D292" i="3" s="1"/>
  <c r="C292" i="3"/>
  <c r="E292" i="3"/>
  <c r="F292" i="3"/>
  <c r="AC292" i="3" s="1"/>
  <c r="G292" i="3"/>
  <c r="H292" i="3"/>
  <c r="I292" i="3"/>
  <c r="J292" i="3"/>
  <c r="K292" i="3"/>
  <c r="M292" i="3"/>
  <c r="N292" i="3"/>
  <c r="L292" i="3" s="1"/>
  <c r="Q292" i="3"/>
  <c r="R292" i="3"/>
  <c r="S292" i="3"/>
  <c r="T292" i="3"/>
  <c r="U292" i="3"/>
  <c r="V292" i="3"/>
  <c r="W292" i="3"/>
  <c r="X292" i="3"/>
  <c r="Y292" i="3"/>
  <c r="Z292" i="3"/>
  <c r="AA292" i="3"/>
  <c r="AB292" i="3"/>
  <c r="AE292" i="3"/>
  <c r="AF292" i="3"/>
  <c r="AG292" i="3"/>
  <c r="A293" i="3"/>
  <c r="B293" i="3"/>
  <c r="D293" i="3" s="1"/>
  <c r="C293" i="3"/>
  <c r="E293" i="3"/>
  <c r="F293" i="3"/>
  <c r="AC293" i="3" s="1"/>
  <c r="G293" i="3"/>
  <c r="H293" i="3"/>
  <c r="I293" i="3"/>
  <c r="J293" i="3"/>
  <c r="K293" i="3"/>
  <c r="M293" i="3"/>
  <c r="N293" i="3"/>
  <c r="L293" i="3" s="1"/>
  <c r="Q293" i="3"/>
  <c r="R293" i="3"/>
  <c r="S293" i="3"/>
  <c r="T293" i="3"/>
  <c r="U293" i="3"/>
  <c r="V293" i="3"/>
  <c r="W293" i="3"/>
  <c r="X293" i="3"/>
  <c r="Y293" i="3"/>
  <c r="Z293" i="3"/>
  <c r="AA293" i="3"/>
  <c r="AB293" i="3"/>
  <c r="AE293" i="3"/>
  <c r="AF293" i="3"/>
  <c r="AG293" i="3"/>
  <c r="A294" i="3"/>
  <c r="B294" i="3"/>
  <c r="D294" i="3" s="1"/>
  <c r="C294" i="3"/>
  <c r="E294" i="3"/>
  <c r="F294" i="3"/>
  <c r="AC294" i="3" s="1"/>
  <c r="G294" i="3"/>
  <c r="H294" i="3"/>
  <c r="I294" i="3"/>
  <c r="J294" i="3"/>
  <c r="K294" i="3"/>
  <c r="M294" i="3"/>
  <c r="N294" i="3"/>
  <c r="L294" i="3" s="1"/>
  <c r="Q294" i="3"/>
  <c r="R294" i="3"/>
  <c r="S294" i="3"/>
  <c r="T294" i="3"/>
  <c r="U294" i="3"/>
  <c r="V294" i="3"/>
  <c r="W294" i="3"/>
  <c r="X294" i="3"/>
  <c r="Y294" i="3"/>
  <c r="Z294" i="3"/>
  <c r="AA294" i="3"/>
  <c r="AB294" i="3"/>
  <c r="AE294" i="3"/>
  <c r="AF294" i="3"/>
  <c r="AG294" i="3"/>
  <c r="A295" i="3"/>
  <c r="B295" i="3"/>
  <c r="D295" i="3" s="1"/>
  <c r="C295" i="3"/>
  <c r="E295" i="3"/>
  <c r="F295" i="3"/>
  <c r="AC295" i="3" s="1"/>
  <c r="G295" i="3"/>
  <c r="H295" i="3"/>
  <c r="I295" i="3"/>
  <c r="J295" i="3"/>
  <c r="K295" i="3"/>
  <c r="M295" i="3"/>
  <c r="N295" i="3"/>
  <c r="L295" i="3" s="1"/>
  <c r="Q295" i="3"/>
  <c r="R295" i="3"/>
  <c r="S295" i="3"/>
  <c r="T295" i="3"/>
  <c r="U295" i="3"/>
  <c r="V295" i="3"/>
  <c r="W295" i="3"/>
  <c r="X295" i="3"/>
  <c r="Y295" i="3"/>
  <c r="Z295" i="3"/>
  <c r="AA295" i="3"/>
  <c r="AB295" i="3"/>
  <c r="AE295" i="3"/>
  <c r="AF295" i="3"/>
  <c r="AG295" i="3"/>
  <c r="A296" i="3"/>
  <c r="B296" i="3"/>
  <c r="D296" i="3" s="1"/>
  <c r="C296" i="3"/>
  <c r="E296" i="3"/>
  <c r="F296" i="3"/>
  <c r="AC296" i="3" s="1"/>
  <c r="G296" i="3"/>
  <c r="H296" i="3"/>
  <c r="I296" i="3"/>
  <c r="J296" i="3"/>
  <c r="K296" i="3"/>
  <c r="M296" i="3"/>
  <c r="N296" i="3"/>
  <c r="L296" i="3" s="1"/>
  <c r="Q296" i="3"/>
  <c r="R296" i="3"/>
  <c r="S296" i="3"/>
  <c r="T296" i="3"/>
  <c r="U296" i="3"/>
  <c r="V296" i="3"/>
  <c r="W296" i="3"/>
  <c r="X296" i="3"/>
  <c r="Y296" i="3"/>
  <c r="Z296" i="3"/>
  <c r="AA296" i="3"/>
  <c r="AB296" i="3"/>
  <c r="AE296" i="3"/>
  <c r="AF296" i="3"/>
  <c r="AG296" i="3"/>
  <c r="A297" i="3"/>
  <c r="B297" i="3"/>
  <c r="D297" i="3" s="1"/>
  <c r="C297" i="3"/>
  <c r="E297" i="3"/>
  <c r="F297" i="3"/>
  <c r="AC297" i="3" s="1"/>
  <c r="G297" i="3"/>
  <c r="H297" i="3"/>
  <c r="I297" i="3"/>
  <c r="J297" i="3"/>
  <c r="K297" i="3"/>
  <c r="M297" i="3"/>
  <c r="N297" i="3"/>
  <c r="L297" i="3" s="1"/>
  <c r="Q297" i="3"/>
  <c r="R297" i="3"/>
  <c r="S297" i="3"/>
  <c r="T297" i="3"/>
  <c r="U297" i="3"/>
  <c r="V297" i="3"/>
  <c r="W297" i="3"/>
  <c r="X297" i="3"/>
  <c r="Y297" i="3"/>
  <c r="Z297" i="3"/>
  <c r="AA297" i="3"/>
  <c r="AB297" i="3"/>
  <c r="AE297" i="3"/>
  <c r="AF297" i="3"/>
  <c r="AG297" i="3"/>
  <c r="A298" i="3"/>
  <c r="B298" i="3"/>
  <c r="D298" i="3" s="1"/>
  <c r="C298" i="3"/>
  <c r="E298" i="3"/>
  <c r="F298" i="3"/>
  <c r="AC298" i="3" s="1"/>
  <c r="G298" i="3"/>
  <c r="H298" i="3"/>
  <c r="I298" i="3"/>
  <c r="J298" i="3"/>
  <c r="K298" i="3"/>
  <c r="M298" i="3"/>
  <c r="N298" i="3"/>
  <c r="L298" i="3" s="1"/>
  <c r="Q298" i="3"/>
  <c r="R298" i="3"/>
  <c r="S298" i="3"/>
  <c r="T298" i="3"/>
  <c r="U298" i="3"/>
  <c r="V298" i="3"/>
  <c r="W298" i="3"/>
  <c r="X298" i="3"/>
  <c r="Y298" i="3"/>
  <c r="Z298" i="3"/>
  <c r="AA298" i="3"/>
  <c r="AB298" i="3"/>
  <c r="AE298" i="3"/>
  <c r="AF298" i="3"/>
  <c r="AG298" i="3"/>
  <c r="A299" i="3"/>
  <c r="B299" i="3"/>
  <c r="D299" i="3" s="1"/>
  <c r="C299" i="3"/>
  <c r="E299" i="3"/>
  <c r="F299" i="3"/>
  <c r="AC299" i="3" s="1"/>
  <c r="G299" i="3"/>
  <c r="H299" i="3"/>
  <c r="I299" i="3"/>
  <c r="J299" i="3"/>
  <c r="K299" i="3"/>
  <c r="M299" i="3"/>
  <c r="N299" i="3"/>
  <c r="L299" i="3" s="1"/>
  <c r="Q299" i="3"/>
  <c r="R299" i="3"/>
  <c r="S299" i="3"/>
  <c r="T299" i="3"/>
  <c r="U299" i="3"/>
  <c r="V299" i="3"/>
  <c r="W299" i="3"/>
  <c r="X299" i="3"/>
  <c r="Y299" i="3"/>
  <c r="Z299" i="3"/>
  <c r="AA299" i="3"/>
  <c r="AB299" i="3"/>
  <c r="AE299" i="3"/>
  <c r="AF299" i="3"/>
  <c r="AG299" i="3"/>
  <c r="A300" i="3"/>
  <c r="B300" i="3"/>
  <c r="D300" i="3" s="1"/>
  <c r="C300" i="3"/>
  <c r="E300" i="3"/>
  <c r="F300" i="3"/>
  <c r="AC300" i="3" s="1"/>
  <c r="G300" i="3"/>
  <c r="H300" i="3"/>
  <c r="I300" i="3"/>
  <c r="J300" i="3"/>
  <c r="K300" i="3"/>
  <c r="M300" i="3"/>
  <c r="N300" i="3"/>
  <c r="L300" i="3" s="1"/>
  <c r="Q300" i="3"/>
  <c r="R300" i="3"/>
  <c r="S300" i="3"/>
  <c r="T300" i="3"/>
  <c r="U300" i="3"/>
  <c r="V300" i="3"/>
  <c r="W300" i="3"/>
  <c r="X300" i="3"/>
  <c r="Y300" i="3"/>
  <c r="Z300" i="3"/>
  <c r="AA300" i="3"/>
  <c r="AB300" i="3"/>
  <c r="AE300" i="3"/>
  <c r="AF300" i="3"/>
  <c r="AG300" i="3"/>
  <c r="A301" i="3"/>
  <c r="B301" i="3"/>
  <c r="D301" i="3" s="1"/>
  <c r="C301" i="3"/>
  <c r="E301" i="3"/>
  <c r="F301" i="3"/>
  <c r="AC301" i="3" s="1"/>
  <c r="G301" i="3"/>
  <c r="H301" i="3"/>
  <c r="I301" i="3"/>
  <c r="J301" i="3"/>
  <c r="K301" i="3"/>
  <c r="M301" i="3"/>
  <c r="N301" i="3"/>
  <c r="L301" i="3" s="1"/>
  <c r="Q301" i="3"/>
  <c r="R301" i="3"/>
  <c r="S301" i="3"/>
  <c r="T301" i="3"/>
  <c r="U301" i="3"/>
  <c r="V301" i="3"/>
  <c r="W301" i="3"/>
  <c r="X301" i="3"/>
  <c r="Y301" i="3"/>
  <c r="Z301" i="3"/>
  <c r="AA301" i="3"/>
  <c r="AB301" i="3"/>
  <c r="AE301" i="3"/>
  <c r="AF301" i="3"/>
  <c r="AG301" i="3"/>
  <c r="A302" i="3"/>
  <c r="B302" i="3"/>
  <c r="D302" i="3" s="1"/>
  <c r="C302" i="3"/>
  <c r="E302" i="3"/>
  <c r="F302" i="3"/>
  <c r="AC302" i="3" s="1"/>
  <c r="G302" i="3"/>
  <c r="H302" i="3"/>
  <c r="I302" i="3"/>
  <c r="J302" i="3"/>
  <c r="K302" i="3"/>
  <c r="M302" i="3"/>
  <c r="N302" i="3"/>
  <c r="L302" i="3" s="1"/>
  <c r="Q302" i="3"/>
  <c r="R302" i="3"/>
  <c r="S302" i="3"/>
  <c r="T302" i="3"/>
  <c r="U302" i="3"/>
  <c r="V302" i="3"/>
  <c r="W302" i="3"/>
  <c r="X302" i="3"/>
  <c r="Y302" i="3"/>
  <c r="Z302" i="3"/>
  <c r="AA302" i="3"/>
  <c r="AB302" i="3"/>
  <c r="AE302" i="3"/>
  <c r="AF302" i="3"/>
  <c r="AG302" i="3"/>
  <c r="A303" i="3"/>
  <c r="B303" i="3"/>
  <c r="D303" i="3" s="1"/>
  <c r="C303" i="3"/>
  <c r="E303" i="3"/>
  <c r="F303" i="3"/>
  <c r="AC303" i="3" s="1"/>
  <c r="G303" i="3"/>
  <c r="H303" i="3"/>
  <c r="I303" i="3"/>
  <c r="J303" i="3"/>
  <c r="K303" i="3"/>
  <c r="M303" i="3"/>
  <c r="N303" i="3"/>
  <c r="L303" i="3" s="1"/>
  <c r="Q303" i="3"/>
  <c r="R303" i="3"/>
  <c r="S303" i="3"/>
  <c r="T303" i="3"/>
  <c r="U303" i="3"/>
  <c r="V303" i="3"/>
  <c r="W303" i="3"/>
  <c r="X303" i="3"/>
  <c r="Y303" i="3"/>
  <c r="Z303" i="3"/>
  <c r="AA303" i="3"/>
  <c r="AB303" i="3"/>
  <c r="AE303" i="3"/>
  <c r="AF303" i="3"/>
  <c r="AG303" i="3"/>
  <c r="A304" i="3"/>
  <c r="B304" i="3"/>
  <c r="D304" i="3" s="1"/>
  <c r="C304" i="3"/>
  <c r="E304" i="3"/>
  <c r="F304" i="3"/>
  <c r="AC304" i="3" s="1"/>
  <c r="G304" i="3"/>
  <c r="H304" i="3"/>
  <c r="I304" i="3"/>
  <c r="J304" i="3"/>
  <c r="K304" i="3"/>
  <c r="M304" i="3"/>
  <c r="N304" i="3"/>
  <c r="L304" i="3" s="1"/>
  <c r="Q304" i="3"/>
  <c r="R304" i="3"/>
  <c r="S304" i="3"/>
  <c r="T304" i="3"/>
  <c r="U304" i="3"/>
  <c r="V304" i="3"/>
  <c r="W304" i="3"/>
  <c r="X304" i="3"/>
  <c r="Y304" i="3"/>
  <c r="Z304" i="3"/>
  <c r="AA304" i="3"/>
  <c r="AB304" i="3"/>
  <c r="AE304" i="3"/>
  <c r="AF304" i="3"/>
  <c r="AG304" i="3"/>
  <c r="A305" i="3"/>
  <c r="B305" i="3"/>
  <c r="D305" i="3" s="1"/>
  <c r="C305" i="3"/>
  <c r="E305" i="3"/>
  <c r="F305" i="3"/>
  <c r="AC305" i="3" s="1"/>
  <c r="G305" i="3"/>
  <c r="H305" i="3"/>
  <c r="I305" i="3"/>
  <c r="J305" i="3"/>
  <c r="K305" i="3"/>
  <c r="M305" i="3"/>
  <c r="N305" i="3"/>
  <c r="L305" i="3" s="1"/>
  <c r="Q305" i="3"/>
  <c r="R305" i="3"/>
  <c r="S305" i="3"/>
  <c r="T305" i="3"/>
  <c r="U305" i="3"/>
  <c r="V305" i="3"/>
  <c r="W305" i="3"/>
  <c r="X305" i="3"/>
  <c r="Y305" i="3"/>
  <c r="Z305" i="3"/>
  <c r="AA305" i="3"/>
  <c r="AB305" i="3"/>
  <c r="AE305" i="3"/>
  <c r="AF305" i="3"/>
  <c r="AG305" i="3"/>
  <c r="A306" i="3"/>
  <c r="B306" i="3"/>
  <c r="D306" i="3" s="1"/>
  <c r="C306" i="3"/>
  <c r="E306" i="3"/>
  <c r="F306" i="3"/>
  <c r="AC306" i="3" s="1"/>
  <c r="G306" i="3"/>
  <c r="H306" i="3"/>
  <c r="I306" i="3"/>
  <c r="J306" i="3"/>
  <c r="K306" i="3"/>
  <c r="M306" i="3"/>
  <c r="N306" i="3"/>
  <c r="L306" i="3" s="1"/>
  <c r="Q306" i="3"/>
  <c r="R306" i="3"/>
  <c r="S306" i="3"/>
  <c r="T306" i="3"/>
  <c r="U306" i="3"/>
  <c r="V306" i="3"/>
  <c r="W306" i="3"/>
  <c r="X306" i="3"/>
  <c r="Y306" i="3"/>
  <c r="Z306" i="3"/>
  <c r="AA306" i="3"/>
  <c r="AB306" i="3"/>
  <c r="AE306" i="3"/>
  <c r="AF306" i="3"/>
  <c r="AG306" i="3"/>
  <c r="A307" i="3"/>
  <c r="B307" i="3"/>
  <c r="D307" i="3" s="1"/>
  <c r="C307" i="3"/>
  <c r="E307" i="3"/>
  <c r="F307" i="3"/>
  <c r="AC307" i="3" s="1"/>
  <c r="G307" i="3"/>
  <c r="H307" i="3"/>
  <c r="I307" i="3"/>
  <c r="J307" i="3"/>
  <c r="K307" i="3"/>
  <c r="M307" i="3"/>
  <c r="N307" i="3"/>
  <c r="L307" i="3" s="1"/>
  <c r="Q307" i="3"/>
  <c r="R307" i="3"/>
  <c r="S307" i="3"/>
  <c r="T307" i="3"/>
  <c r="U307" i="3"/>
  <c r="V307" i="3"/>
  <c r="W307" i="3"/>
  <c r="X307" i="3"/>
  <c r="Y307" i="3"/>
  <c r="Z307" i="3"/>
  <c r="AA307" i="3"/>
  <c r="AB307" i="3"/>
  <c r="AE307" i="3"/>
  <c r="AF307" i="3"/>
  <c r="AG307" i="3"/>
  <c r="A308" i="3"/>
  <c r="B308" i="3"/>
  <c r="D308" i="3" s="1"/>
  <c r="C308" i="3"/>
  <c r="E308" i="3"/>
  <c r="F308" i="3"/>
  <c r="AC308" i="3" s="1"/>
  <c r="G308" i="3"/>
  <c r="H308" i="3"/>
  <c r="I308" i="3"/>
  <c r="J308" i="3"/>
  <c r="K308" i="3"/>
  <c r="M308" i="3"/>
  <c r="N308" i="3"/>
  <c r="L308" i="3" s="1"/>
  <c r="Q308" i="3"/>
  <c r="R308" i="3"/>
  <c r="S308" i="3"/>
  <c r="T308" i="3"/>
  <c r="U308" i="3"/>
  <c r="V308" i="3"/>
  <c r="W308" i="3"/>
  <c r="X308" i="3"/>
  <c r="Y308" i="3"/>
  <c r="Z308" i="3"/>
  <c r="AA308" i="3"/>
  <c r="AB308" i="3"/>
  <c r="AE308" i="3"/>
  <c r="AF308" i="3"/>
  <c r="AG308" i="3"/>
  <c r="A309" i="3"/>
  <c r="B309" i="3"/>
  <c r="D309" i="3" s="1"/>
  <c r="C309" i="3"/>
  <c r="E309" i="3"/>
  <c r="F309" i="3"/>
  <c r="AC309" i="3" s="1"/>
  <c r="G309" i="3"/>
  <c r="H309" i="3"/>
  <c r="I309" i="3"/>
  <c r="J309" i="3"/>
  <c r="K309" i="3"/>
  <c r="M309" i="3"/>
  <c r="N309" i="3"/>
  <c r="L309" i="3" s="1"/>
  <c r="Q309" i="3"/>
  <c r="R309" i="3"/>
  <c r="S309" i="3"/>
  <c r="T309" i="3"/>
  <c r="U309" i="3"/>
  <c r="V309" i="3"/>
  <c r="W309" i="3"/>
  <c r="X309" i="3"/>
  <c r="Y309" i="3"/>
  <c r="Z309" i="3"/>
  <c r="AA309" i="3"/>
  <c r="AB309" i="3"/>
  <c r="AE309" i="3"/>
  <c r="AF309" i="3"/>
  <c r="AG309" i="3"/>
  <c r="A310" i="3"/>
  <c r="B310" i="3"/>
  <c r="D310" i="3" s="1"/>
  <c r="C310" i="3"/>
  <c r="E310" i="3"/>
  <c r="F310" i="3"/>
  <c r="AC310" i="3" s="1"/>
  <c r="G310" i="3"/>
  <c r="H310" i="3"/>
  <c r="I310" i="3"/>
  <c r="J310" i="3"/>
  <c r="K310" i="3"/>
  <c r="M310" i="3"/>
  <c r="N310" i="3"/>
  <c r="L310" i="3" s="1"/>
  <c r="Q310" i="3"/>
  <c r="R310" i="3"/>
  <c r="S310" i="3"/>
  <c r="T310" i="3"/>
  <c r="U310" i="3"/>
  <c r="V310" i="3"/>
  <c r="W310" i="3"/>
  <c r="X310" i="3"/>
  <c r="Y310" i="3"/>
  <c r="Z310" i="3"/>
  <c r="AA310" i="3"/>
  <c r="AB310" i="3"/>
  <c r="AE310" i="3"/>
  <c r="AF310" i="3"/>
  <c r="AG310" i="3"/>
  <c r="A311" i="3"/>
  <c r="B311" i="3"/>
  <c r="D311" i="3" s="1"/>
  <c r="C311" i="3"/>
  <c r="E311" i="3"/>
  <c r="F311" i="3"/>
  <c r="AC311" i="3" s="1"/>
  <c r="G311" i="3"/>
  <c r="H311" i="3"/>
  <c r="I311" i="3"/>
  <c r="J311" i="3"/>
  <c r="K311" i="3"/>
  <c r="M311" i="3"/>
  <c r="N311" i="3"/>
  <c r="L311" i="3" s="1"/>
  <c r="Q311" i="3"/>
  <c r="R311" i="3"/>
  <c r="S311" i="3"/>
  <c r="T311" i="3"/>
  <c r="U311" i="3"/>
  <c r="V311" i="3"/>
  <c r="W311" i="3"/>
  <c r="X311" i="3"/>
  <c r="Y311" i="3"/>
  <c r="Z311" i="3"/>
  <c r="AA311" i="3"/>
  <c r="AB311" i="3"/>
  <c r="AE311" i="3"/>
  <c r="AF311" i="3"/>
  <c r="AG311" i="3"/>
  <c r="A312" i="3"/>
  <c r="B312" i="3"/>
  <c r="D312" i="3" s="1"/>
  <c r="C312" i="3"/>
  <c r="E312" i="3"/>
  <c r="F312" i="3"/>
  <c r="AC312" i="3" s="1"/>
  <c r="G312" i="3"/>
  <c r="H312" i="3"/>
  <c r="I312" i="3"/>
  <c r="J312" i="3"/>
  <c r="K312" i="3"/>
  <c r="M312" i="3"/>
  <c r="N312" i="3"/>
  <c r="L312" i="3" s="1"/>
  <c r="Q312" i="3"/>
  <c r="R312" i="3"/>
  <c r="S312" i="3"/>
  <c r="T312" i="3"/>
  <c r="U312" i="3"/>
  <c r="V312" i="3"/>
  <c r="W312" i="3"/>
  <c r="X312" i="3"/>
  <c r="Y312" i="3"/>
  <c r="Z312" i="3"/>
  <c r="AA312" i="3"/>
  <c r="AB312" i="3"/>
  <c r="AE312" i="3"/>
  <c r="AF312" i="3"/>
  <c r="AG312" i="3"/>
  <c r="A313" i="3"/>
  <c r="B313" i="3"/>
  <c r="D313" i="3" s="1"/>
  <c r="C313" i="3"/>
  <c r="E313" i="3"/>
  <c r="F313" i="3"/>
  <c r="AC313" i="3" s="1"/>
  <c r="G313" i="3"/>
  <c r="H313" i="3"/>
  <c r="I313" i="3"/>
  <c r="J313" i="3"/>
  <c r="K313" i="3"/>
  <c r="M313" i="3"/>
  <c r="N313" i="3"/>
  <c r="L313" i="3" s="1"/>
  <c r="Q313" i="3"/>
  <c r="R313" i="3"/>
  <c r="S313" i="3"/>
  <c r="T313" i="3"/>
  <c r="U313" i="3"/>
  <c r="V313" i="3"/>
  <c r="W313" i="3"/>
  <c r="X313" i="3"/>
  <c r="Y313" i="3"/>
  <c r="Z313" i="3"/>
  <c r="AA313" i="3"/>
  <c r="AB313" i="3"/>
  <c r="AE313" i="3"/>
  <c r="AF313" i="3"/>
  <c r="AG313" i="3"/>
  <c r="A314" i="3"/>
  <c r="B314" i="3"/>
  <c r="D314" i="3" s="1"/>
  <c r="C314" i="3"/>
  <c r="E314" i="3"/>
  <c r="F314" i="3"/>
  <c r="AC314" i="3" s="1"/>
  <c r="G314" i="3"/>
  <c r="H314" i="3"/>
  <c r="I314" i="3"/>
  <c r="J314" i="3"/>
  <c r="K314" i="3"/>
  <c r="M314" i="3"/>
  <c r="N314" i="3"/>
  <c r="L314" i="3" s="1"/>
  <c r="Q314" i="3"/>
  <c r="R314" i="3"/>
  <c r="S314" i="3"/>
  <c r="T314" i="3"/>
  <c r="U314" i="3"/>
  <c r="V314" i="3"/>
  <c r="W314" i="3"/>
  <c r="X314" i="3"/>
  <c r="Y314" i="3"/>
  <c r="Z314" i="3"/>
  <c r="AA314" i="3"/>
  <c r="AB314" i="3"/>
  <c r="AE314" i="3"/>
  <c r="AF314" i="3"/>
  <c r="AG314" i="3"/>
  <c r="A315" i="3"/>
  <c r="B315" i="3"/>
  <c r="D315" i="3" s="1"/>
  <c r="C315" i="3"/>
  <c r="E315" i="3"/>
  <c r="F315" i="3"/>
  <c r="AC315" i="3" s="1"/>
  <c r="G315" i="3"/>
  <c r="H315" i="3"/>
  <c r="I315" i="3"/>
  <c r="J315" i="3"/>
  <c r="K315" i="3"/>
  <c r="M315" i="3"/>
  <c r="N315" i="3"/>
  <c r="L315" i="3" s="1"/>
  <c r="Q315" i="3"/>
  <c r="R315" i="3"/>
  <c r="S315" i="3"/>
  <c r="T315" i="3"/>
  <c r="U315" i="3"/>
  <c r="V315" i="3"/>
  <c r="W315" i="3"/>
  <c r="X315" i="3"/>
  <c r="Y315" i="3"/>
  <c r="Z315" i="3"/>
  <c r="AA315" i="3"/>
  <c r="AB315" i="3"/>
  <c r="AE315" i="3"/>
  <c r="AF315" i="3"/>
  <c r="AG315" i="3"/>
  <c r="A316" i="3"/>
  <c r="B316" i="3"/>
  <c r="D316" i="3" s="1"/>
  <c r="C316" i="3"/>
  <c r="E316" i="3"/>
  <c r="F316" i="3"/>
  <c r="AC316" i="3" s="1"/>
  <c r="G316" i="3"/>
  <c r="H316" i="3"/>
  <c r="I316" i="3"/>
  <c r="J316" i="3"/>
  <c r="K316" i="3"/>
  <c r="M316" i="3"/>
  <c r="N316" i="3"/>
  <c r="L316" i="3" s="1"/>
  <c r="Q316" i="3"/>
  <c r="R316" i="3"/>
  <c r="S316" i="3"/>
  <c r="T316" i="3"/>
  <c r="U316" i="3"/>
  <c r="V316" i="3"/>
  <c r="W316" i="3"/>
  <c r="X316" i="3"/>
  <c r="Y316" i="3"/>
  <c r="Z316" i="3"/>
  <c r="AA316" i="3"/>
  <c r="AB316" i="3"/>
  <c r="AE316" i="3"/>
  <c r="AF316" i="3"/>
  <c r="AG316" i="3"/>
  <c r="A317" i="3"/>
  <c r="B317" i="3"/>
  <c r="D317" i="3" s="1"/>
  <c r="C317" i="3"/>
  <c r="E317" i="3"/>
  <c r="F317" i="3"/>
  <c r="AC317" i="3" s="1"/>
  <c r="G317" i="3"/>
  <c r="H317" i="3"/>
  <c r="I317" i="3"/>
  <c r="J317" i="3"/>
  <c r="K317" i="3"/>
  <c r="M317" i="3"/>
  <c r="N317" i="3"/>
  <c r="L317" i="3" s="1"/>
  <c r="Q317" i="3"/>
  <c r="R317" i="3"/>
  <c r="S317" i="3"/>
  <c r="T317" i="3"/>
  <c r="U317" i="3"/>
  <c r="V317" i="3"/>
  <c r="W317" i="3"/>
  <c r="X317" i="3"/>
  <c r="Y317" i="3"/>
  <c r="Z317" i="3"/>
  <c r="AA317" i="3"/>
  <c r="AB317" i="3"/>
  <c r="AE317" i="3"/>
  <c r="AF317" i="3"/>
  <c r="AG317" i="3"/>
  <c r="A318" i="3"/>
  <c r="B318" i="3"/>
  <c r="D318" i="3" s="1"/>
  <c r="C318" i="3"/>
  <c r="E318" i="3"/>
  <c r="F318" i="3"/>
  <c r="AC318" i="3" s="1"/>
  <c r="G318" i="3"/>
  <c r="H318" i="3"/>
  <c r="I318" i="3"/>
  <c r="J318" i="3"/>
  <c r="K318" i="3"/>
  <c r="M318" i="3"/>
  <c r="N318" i="3"/>
  <c r="L318" i="3" s="1"/>
  <c r="Q318" i="3"/>
  <c r="R318" i="3"/>
  <c r="S318" i="3"/>
  <c r="T318" i="3"/>
  <c r="U318" i="3"/>
  <c r="V318" i="3"/>
  <c r="W318" i="3"/>
  <c r="X318" i="3"/>
  <c r="Y318" i="3"/>
  <c r="Z318" i="3"/>
  <c r="AA318" i="3"/>
  <c r="AB318" i="3"/>
  <c r="AE318" i="3"/>
  <c r="AF318" i="3"/>
  <c r="AG318" i="3"/>
  <c r="A319" i="3"/>
  <c r="B319" i="3"/>
  <c r="D319" i="3" s="1"/>
  <c r="C319" i="3"/>
  <c r="E319" i="3"/>
  <c r="F319" i="3"/>
  <c r="AC319" i="3" s="1"/>
  <c r="G319" i="3"/>
  <c r="H319" i="3"/>
  <c r="I319" i="3"/>
  <c r="J319" i="3"/>
  <c r="K319" i="3"/>
  <c r="M319" i="3"/>
  <c r="N319" i="3"/>
  <c r="L319" i="3" s="1"/>
  <c r="Q319" i="3"/>
  <c r="R319" i="3"/>
  <c r="S319" i="3"/>
  <c r="T319" i="3"/>
  <c r="U319" i="3"/>
  <c r="V319" i="3"/>
  <c r="W319" i="3"/>
  <c r="X319" i="3"/>
  <c r="Y319" i="3"/>
  <c r="Z319" i="3"/>
  <c r="AA319" i="3"/>
  <c r="AB319" i="3"/>
  <c r="AE319" i="3"/>
  <c r="AF319" i="3"/>
  <c r="AG319" i="3"/>
  <c r="A320" i="3"/>
  <c r="B320" i="3"/>
  <c r="D320" i="3" s="1"/>
  <c r="C320" i="3"/>
  <c r="E320" i="3"/>
  <c r="F320" i="3"/>
  <c r="AC320" i="3" s="1"/>
  <c r="G320" i="3"/>
  <c r="H320" i="3"/>
  <c r="I320" i="3"/>
  <c r="J320" i="3"/>
  <c r="K320" i="3"/>
  <c r="M320" i="3"/>
  <c r="N320" i="3"/>
  <c r="L320" i="3" s="1"/>
  <c r="Q320" i="3"/>
  <c r="R320" i="3"/>
  <c r="S320" i="3"/>
  <c r="T320" i="3"/>
  <c r="U320" i="3"/>
  <c r="V320" i="3"/>
  <c r="W320" i="3"/>
  <c r="X320" i="3"/>
  <c r="Y320" i="3"/>
  <c r="Z320" i="3"/>
  <c r="AA320" i="3"/>
  <c r="AB320" i="3"/>
  <c r="AE320" i="3"/>
  <c r="AF320" i="3"/>
  <c r="AG320" i="3"/>
  <c r="A321" i="3"/>
  <c r="B321" i="3"/>
  <c r="D321" i="3" s="1"/>
  <c r="C321" i="3"/>
  <c r="E321" i="3"/>
  <c r="F321" i="3"/>
  <c r="AC321" i="3" s="1"/>
  <c r="G321" i="3"/>
  <c r="H321" i="3"/>
  <c r="I321" i="3"/>
  <c r="J321" i="3"/>
  <c r="K321" i="3"/>
  <c r="M321" i="3"/>
  <c r="N321" i="3"/>
  <c r="L321" i="3" s="1"/>
  <c r="Q321" i="3"/>
  <c r="R321" i="3"/>
  <c r="S321" i="3"/>
  <c r="T321" i="3"/>
  <c r="U321" i="3"/>
  <c r="V321" i="3"/>
  <c r="W321" i="3"/>
  <c r="X321" i="3"/>
  <c r="Y321" i="3"/>
  <c r="Z321" i="3"/>
  <c r="AA321" i="3"/>
  <c r="AB321" i="3"/>
  <c r="AE321" i="3"/>
  <c r="AF321" i="3"/>
  <c r="AG321" i="3"/>
  <c r="A322" i="3"/>
  <c r="B322" i="3"/>
  <c r="D322" i="3" s="1"/>
  <c r="C322" i="3"/>
  <c r="E322" i="3"/>
  <c r="F322" i="3"/>
  <c r="AC322" i="3" s="1"/>
  <c r="G322" i="3"/>
  <c r="H322" i="3"/>
  <c r="I322" i="3"/>
  <c r="J322" i="3"/>
  <c r="K322" i="3"/>
  <c r="M322" i="3"/>
  <c r="N322" i="3"/>
  <c r="L322" i="3" s="1"/>
  <c r="Q322" i="3"/>
  <c r="R322" i="3"/>
  <c r="S322" i="3"/>
  <c r="T322" i="3"/>
  <c r="U322" i="3"/>
  <c r="V322" i="3"/>
  <c r="W322" i="3"/>
  <c r="X322" i="3"/>
  <c r="Y322" i="3"/>
  <c r="Z322" i="3"/>
  <c r="AA322" i="3"/>
  <c r="AB322" i="3"/>
  <c r="AE322" i="3"/>
  <c r="AF322" i="3"/>
  <c r="AG322" i="3"/>
  <c r="A323" i="3"/>
  <c r="B323" i="3"/>
  <c r="D323" i="3" s="1"/>
  <c r="C323" i="3"/>
  <c r="E323" i="3"/>
  <c r="F323" i="3"/>
  <c r="AC323" i="3" s="1"/>
  <c r="G323" i="3"/>
  <c r="H323" i="3"/>
  <c r="I323" i="3"/>
  <c r="J323" i="3"/>
  <c r="K323" i="3"/>
  <c r="M323" i="3"/>
  <c r="N323" i="3"/>
  <c r="L323" i="3" s="1"/>
  <c r="Q323" i="3"/>
  <c r="R323" i="3"/>
  <c r="S323" i="3"/>
  <c r="T323" i="3"/>
  <c r="U323" i="3"/>
  <c r="V323" i="3"/>
  <c r="W323" i="3"/>
  <c r="X323" i="3"/>
  <c r="Y323" i="3"/>
  <c r="Z323" i="3"/>
  <c r="AA323" i="3"/>
  <c r="AB323" i="3"/>
  <c r="AE323" i="3"/>
  <c r="AF323" i="3"/>
  <c r="AG323" i="3"/>
  <c r="A324" i="3"/>
  <c r="B324" i="3"/>
  <c r="D324" i="3" s="1"/>
  <c r="C324" i="3"/>
  <c r="E324" i="3"/>
  <c r="F324" i="3"/>
  <c r="AC324" i="3" s="1"/>
  <c r="G324" i="3"/>
  <c r="H324" i="3"/>
  <c r="I324" i="3"/>
  <c r="J324" i="3"/>
  <c r="K324" i="3"/>
  <c r="M324" i="3"/>
  <c r="N324" i="3"/>
  <c r="L324" i="3" s="1"/>
  <c r="Q324" i="3"/>
  <c r="R324" i="3"/>
  <c r="S324" i="3"/>
  <c r="T324" i="3"/>
  <c r="U324" i="3"/>
  <c r="V324" i="3"/>
  <c r="W324" i="3"/>
  <c r="X324" i="3"/>
  <c r="Y324" i="3"/>
  <c r="Z324" i="3"/>
  <c r="AA324" i="3"/>
  <c r="AB324" i="3"/>
  <c r="AE324" i="3"/>
  <c r="AF324" i="3"/>
  <c r="AG324" i="3"/>
  <c r="A325" i="3"/>
  <c r="B325" i="3"/>
  <c r="D325" i="3" s="1"/>
  <c r="C325" i="3"/>
  <c r="E325" i="3"/>
  <c r="F325" i="3"/>
  <c r="AC325" i="3" s="1"/>
  <c r="G325" i="3"/>
  <c r="H325" i="3"/>
  <c r="I325" i="3"/>
  <c r="J325" i="3"/>
  <c r="K325" i="3"/>
  <c r="M325" i="3"/>
  <c r="N325" i="3"/>
  <c r="L325" i="3" s="1"/>
  <c r="Q325" i="3"/>
  <c r="R325" i="3"/>
  <c r="S325" i="3"/>
  <c r="T325" i="3"/>
  <c r="U325" i="3"/>
  <c r="V325" i="3"/>
  <c r="W325" i="3"/>
  <c r="X325" i="3"/>
  <c r="Y325" i="3"/>
  <c r="Z325" i="3"/>
  <c r="AA325" i="3"/>
  <c r="AB325" i="3"/>
  <c r="AE325" i="3"/>
  <c r="AF325" i="3"/>
  <c r="AG325" i="3"/>
  <c r="A326" i="3"/>
  <c r="B326" i="3"/>
  <c r="D326" i="3" s="1"/>
  <c r="C326" i="3"/>
  <c r="E326" i="3"/>
  <c r="F326" i="3"/>
  <c r="AC326" i="3" s="1"/>
  <c r="G326" i="3"/>
  <c r="H326" i="3"/>
  <c r="I326" i="3"/>
  <c r="J326" i="3"/>
  <c r="K326" i="3"/>
  <c r="M326" i="3"/>
  <c r="N326" i="3"/>
  <c r="L326" i="3" s="1"/>
  <c r="Q326" i="3"/>
  <c r="R326" i="3"/>
  <c r="S326" i="3"/>
  <c r="T326" i="3"/>
  <c r="U326" i="3"/>
  <c r="V326" i="3"/>
  <c r="W326" i="3"/>
  <c r="X326" i="3"/>
  <c r="Y326" i="3"/>
  <c r="Z326" i="3"/>
  <c r="AA326" i="3"/>
  <c r="AB326" i="3"/>
  <c r="AE326" i="3"/>
  <c r="AF326" i="3"/>
  <c r="AG326" i="3"/>
  <c r="A327" i="3"/>
  <c r="B327" i="3"/>
  <c r="D327" i="3" s="1"/>
  <c r="C327" i="3"/>
  <c r="E327" i="3"/>
  <c r="F327" i="3"/>
  <c r="AC327" i="3" s="1"/>
  <c r="G327" i="3"/>
  <c r="H327" i="3"/>
  <c r="I327" i="3"/>
  <c r="J327" i="3"/>
  <c r="K327" i="3"/>
  <c r="M327" i="3"/>
  <c r="N327" i="3"/>
  <c r="L327" i="3" s="1"/>
  <c r="Q327" i="3"/>
  <c r="R327" i="3"/>
  <c r="S327" i="3"/>
  <c r="T327" i="3"/>
  <c r="U327" i="3"/>
  <c r="V327" i="3"/>
  <c r="W327" i="3"/>
  <c r="X327" i="3"/>
  <c r="Y327" i="3"/>
  <c r="Z327" i="3"/>
  <c r="AA327" i="3"/>
  <c r="AB327" i="3"/>
  <c r="AE327" i="3"/>
  <c r="AF327" i="3"/>
  <c r="AG327" i="3"/>
  <c r="A328" i="3"/>
  <c r="B328" i="3"/>
  <c r="D328" i="3" s="1"/>
  <c r="C328" i="3"/>
  <c r="E328" i="3"/>
  <c r="F328" i="3"/>
  <c r="AC328" i="3" s="1"/>
  <c r="G328" i="3"/>
  <c r="H328" i="3"/>
  <c r="I328" i="3"/>
  <c r="J328" i="3"/>
  <c r="K328" i="3"/>
  <c r="M328" i="3"/>
  <c r="N328" i="3"/>
  <c r="L328" i="3" s="1"/>
  <c r="Q328" i="3"/>
  <c r="R328" i="3"/>
  <c r="S328" i="3"/>
  <c r="T328" i="3"/>
  <c r="U328" i="3"/>
  <c r="V328" i="3"/>
  <c r="W328" i="3"/>
  <c r="X328" i="3"/>
  <c r="Y328" i="3"/>
  <c r="Z328" i="3"/>
  <c r="AA328" i="3"/>
  <c r="AB328" i="3"/>
  <c r="AE328" i="3"/>
  <c r="AF328" i="3"/>
  <c r="AG328" i="3"/>
  <c r="A329" i="3"/>
  <c r="B329" i="3"/>
  <c r="D329" i="3" s="1"/>
  <c r="C329" i="3"/>
  <c r="E329" i="3"/>
  <c r="F329" i="3"/>
  <c r="AC329" i="3" s="1"/>
  <c r="G329" i="3"/>
  <c r="H329" i="3"/>
  <c r="I329" i="3"/>
  <c r="J329" i="3"/>
  <c r="K329" i="3"/>
  <c r="M329" i="3"/>
  <c r="N329" i="3"/>
  <c r="L329" i="3" s="1"/>
  <c r="Q329" i="3"/>
  <c r="R329" i="3"/>
  <c r="S329" i="3"/>
  <c r="T329" i="3"/>
  <c r="U329" i="3"/>
  <c r="V329" i="3"/>
  <c r="W329" i="3"/>
  <c r="X329" i="3"/>
  <c r="Y329" i="3"/>
  <c r="Z329" i="3"/>
  <c r="AA329" i="3"/>
  <c r="AB329" i="3"/>
  <c r="AE329" i="3"/>
  <c r="AF329" i="3"/>
  <c r="AG329" i="3"/>
  <c r="A330" i="3"/>
  <c r="B330" i="3"/>
  <c r="D330" i="3" s="1"/>
  <c r="C330" i="3"/>
  <c r="E330" i="3"/>
  <c r="F330" i="3"/>
  <c r="AC330" i="3" s="1"/>
  <c r="G330" i="3"/>
  <c r="H330" i="3"/>
  <c r="I330" i="3"/>
  <c r="J330" i="3"/>
  <c r="K330" i="3"/>
  <c r="M330" i="3"/>
  <c r="N330" i="3"/>
  <c r="L330" i="3" s="1"/>
  <c r="Q330" i="3"/>
  <c r="R330" i="3"/>
  <c r="S330" i="3"/>
  <c r="T330" i="3"/>
  <c r="U330" i="3"/>
  <c r="V330" i="3"/>
  <c r="W330" i="3"/>
  <c r="X330" i="3"/>
  <c r="Y330" i="3"/>
  <c r="Z330" i="3"/>
  <c r="AA330" i="3"/>
  <c r="AB330" i="3"/>
  <c r="AE330" i="3"/>
  <c r="AF330" i="3"/>
  <c r="AG330" i="3"/>
  <c r="A331" i="3"/>
  <c r="B331" i="3"/>
  <c r="D331" i="3" s="1"/>
  <c r="C331" i="3"/>
  <c r="E331" i="3"/>
  <c r="F331" i="3"/>
  <c r="AC331" i="3" s="1"/>
  <c r="G331" i="3"/>
  <c r="H331" i="3"/>
  <c r="I331" i="3"/>
  <c r="J331" i="3"/>
  <c r="K331" i="3"/>
  <c r="M331" i="3"/>
  <c r="N331" i="3"/>
  <c r="L331" i="3" s="1"/>
  <c r="Q331" i="3"/>
  <c r="R331" i="3"/>
  <c r="S331" i="3"/>
  <c r="T331" i="3"/>
  <c r="U331" i="3"/>
  <c r="V331" i="3"/>
  <c r="W331" i="3"/>
  <c r="X331" i="3"/>
  <c r="Y331" i="3"/>
  <c r="Z331" i="3"/>
  <c r="AA331" i="3"/>
  <c r="AB331" i="3"/>
  <c r="AE331" i="3"/>
  <c r="AF331" i="3"/>
  <c r="AG331" i="3"/>
  <c r="A332" i="3"/>
  <c r="B332" i="3"/>
  <c r="D332" i="3" s="1"/>
  <c r="C332" i="3"/>
  <c r="E332" i="3"/>
  <c r="F332" i="3"/>
  <c r="AC332" i="3" s="1"/>
  <c r="G332" i="3"/>
  <c r="H332" i="3"/>
  <c r="I332" i="3"/>
  <c r="J332" i="3"/>
  <c r="K332" i="3"/>
  <c r="M332" i="3"/>
  <c r="N332" i="3"/>
  <c r="L332" i="3" s="1"/>
  <c r="Q332" i="3"/>
  <c r="R332" i="3"/>
  <c r="S332" i="3"/>
  <c r="T332" i="3"/>
  <c r="U332" i="3"/>
  <c r="V332" i="3"/>
  <c r="W332" i="3"/>
  <c r="X332" i="3"/>
  <c r="Y332" i="3"/>
  <c r="Z332" i="3"/>
  <c r="AA332" i="3"/>
  <c r="AB332" i="3"/>
  <c r="AE332" i="3"/>
  <c r="AF332" i="3"/>
  <c r="AG332" i="3"/>
  <c r="A333" i="3"/>
  <c r="B333" i="3"/>
  <c r="D333" i="3" s="1"/>
  <c r="C333" i="3"/>
  <c r="E333" i="3"/>
  <c r="F333" i="3"/>
  <c r="AC333" i="3" s="1"/>
  <c r="G333" i="3"/>
  <c r="H333" i="3"/>
  <c r="I333" i="3"/>
  <c r="J333" i="3"/>
  <c r="K333" i="3"/>
  <c r="M333" i="3"/>
  <c r="N333" i="3"/>
  <c r="L333" i="3" s="1"/>
  <c r="Q333" i="3"/>
  <c r="R333" i="3"/>
  <c r="S333" i="3"/>
  <c r="T333" i="3"/>
  <c r="U333" i="3"/>
  <c r="V333" i="3"/>
  <c r="W333" i="3"/>
  <c r="X333" i="3"/>
  <c r="Y333" i="3"/>
  <c r="Z333" i="3"/>
  <c r="AA333" i="3"/>
  <c r="AB333" i="3"/>
  <c r="AE333" i="3"/>
  <c r="AF333" i="3"/>
  <c r="AG333" i="3"/>
  <c r="A334" i="3"/>
  <c r="B334" i="3"/>
  <c r="D334" i="3" s="1"/>
  <c r="C334" i="3"/>
  <c r="E334" i="3"/>
  <c r="F334" i="3"/>
  <c r="AC334" i="3" s="1"/>
  <c r="G334" i="3"/>
  <c r="H334" i="3"/>
  <c r="I334" i="3"/>
  <c r="J334" i="3"/>
  <c r="K334" i="3"/>
  <c r="M334" i="3"/>
  <c r="N334" i="3"/>
  <c r="L334" i="3" s="1"/>
  <c r="Q334" i="3"/>
  <c r="R334" i="3"/>
  <c r="S334" i="3"/>
  <c r="T334" i="3"/>
  <c r="U334" i="3"/>
  <c r="V334" i="3"/>
  <c r="W334" i="3"/>
  <c r="X334" i="3"/>
  <c r="Y334" i="3"/>
  <c r="Z334" i="3"/>
  <c r="AA334" i="3"/>
  <c r="AB334" i="3"/>
  <c r="AE334" i="3"/>
  <c r="AF334" i="3"/>
  <c r="AG334" i="3"/>
  <c r="A335" i="3"/>
  <c r="B335" i="3"/>
  <c r="D335" i="3" s="1"/>
  <c r="C335" i="3"/>
  <c r="E335" i="3"/>
  <c r="F335" i="3"/>
  <c r="AC335" i="3" s="1"/>
  <c r="G335" i="3"/>
  <c r="H335" i="3"/>
  <c r="I335" i="3"/>
  <c r="J335" i="3"/>
  <c r="K335" i="3"/>
  <c r="M335" i="3"/>
  <c r="N335" i="3"/>
  <c r="L335" i="3" s="1"/>
  <c r="Q335" i="3"/>
  <c r="R335" i="3"/>
  <c r="S335" i="3"/>
  <c r="T335" i="3"/>
  <c r="U335" i="3"/>
  <c r="V335" i="3"/>
  <c r="W335" i="3"/>
  <c r="X335" i="3"/>
  <c r="Y335" i="3"/>
  <c r="Z335" i="3"/>
  <c r="AA335" i="3"/>
  <c r="AB335" i="3"/>
  <c r="AE335" i="3"/>
  <c r="AF335" i="3"/>
  <c r="AG335" i="3"/>
  <c r="A336" i="3"/>
  <c r="B336" i="3"/>
  <c r="D336" i="3" s="1"/>
  <c r="C336" i="3"/>
  <c r="E336" i="3"/>
  <c r="F336" i="3"/>
  <c r="AC336" i="3" s="1"/>
  <c r="G336" i="3"/>
  <c r="H336" i="3"/>
  <c r="I336" i="3"/>
  <c r="J336" i="3"/>
  <c r="K336" i="3"/>
  <c r="M336" i="3"/>
  <c r="N336" i="3"/>
  <c r="L336" i="3" s="1"/>
  <c r="Q336" i="3"/>
  <c r="R336" i="3"/>
  <c r="S336" i="3"/>
  <c r="T336" i="3"/>
  <c r="U336" i="3"/>
  <c r="V336" i="3"/>
  <c r="W336" i="3"/>
  <c r="X336" i="3"/>
  <c r="Y336" i="3"/>
  <c r="Z336" i="3"/>
  <c r="AA336" i="3"/>
  <c r="AB336" i="3"/>
  <c r="AE336" i="3"/>
  <c r="AF336" i="3"/>
  <c r="AG336" i="3"/>
  <c r="A337" i="3"/>
  <c r="B337" i="3"/>
  <c r="D337" i="3" s="1"/>
  <c r="C337" i="3"/>
  <c r="E337" i="3"/>
  <c r="F337" i="3"/>
  <c r="AC337" i="3" s="1"/>
  <c r="G337" i="3"/>
  <c r="H337" i="3"/>
  <c r="I337" i="3"/>
  <c r="J337" i="3"/>
  <c r="K337" i="3"/>
  <c r="M337" i="3"/>
  <c r="N337" i="3"/>
  <c r="L337" i="3" s="1"/>
  <c r="Q337" i="3"/>
  <c r="R337" i="3"/>
  <c r="S337" i="3"/>
  <c r="T337" i="3"/>
  <c r="U337" i="3"/>
  <c r="V337" i="3"/>
  <c r="W337" i="3"/>
  <c r="X337" i="3"/>
  <c r="Y337" i="3"/>
  <c r="Z337" i="3"/>
  <c r="AA337" i="3"/>
  <c r="AB337" i="3"/>
  <c r="AE337" i="3"/>
  <c r="AF337" i="3"/>
  <c r="AG337" i="3"/>
  <c r="A338" i="3"/>
  <c r="B338" i="3"/>
  <c r="D338" i="3" s="1"/>
  <c r="C338" i="3"/>
  <c r="E338" i="3"/>
  <c r="F338" i="3"/>
  <c r="AC338" i="3" s="1"/>
  <c r="G338" i="3"/>
  <c r="H338" i="3"/>
  <c r="I338" i="3"/>
  <c r="J338" i="3"/>
  <c r="K338" i="3"/>
  <c r="M338" i="3"/>
  <c r="N338" i="3"/>
  <c r="L338" i="3" s="1"/>
  <c r="Q338" i="3"/>
  <c r="R338" i="3"/>
  <c r="S338" i="3"/>
  <c r="T338" i="3"/>
  <c r="U338" i="3"/>
  <c r="V338" i="3"/>
  <c r="W338" i="3"/>
  <c r="X338" i="3"/>
  <c r="Y338" i="3"/>
  <c r="Z338" i="3"/>
  <c r="AA338" i="3"/>
  <c r="AB338" i="3"/>
  <c r="AE338" i="3"/>
  <c r="AF338" i="3"/>
  <c r="AG338" i="3"/>
  <c r="A339" i="3"/>
  <c r="B339" i="3"/>
  <c r="D339" i="3" s="1"/>
  <c r="C339" i="3"/>
  <c r="E339" i="3"/>
  <c r="F339" i="3"/>
  <c r="AC339" i="3" s="1"/>
  <c r="G339" i="3"/>
  <c r="H339" i="3"/>
  <c r="I339" i="3"/>
  <c r="J339" i="3"/>
  <c r="K339" i="3"/>
  <c r="M339" i="3"/>
  <c r="N339" i="3"/>
  <c r="L339" i="3" s="1"/>
  <c r="Q339" i="3"/>
  <c r="R339" i="3"/>
  <c r="S339" i="3"/>
  <c r="T339" i="3"/>
  <c r="U339" i="3"/>
  <c r="V339" i="3"/>
  <c r="W339" i="3"/>
  <c r="X339" i="3"/>
  <c r="Y339" i="3"/>
  <c r="Z339" i="3"/>
  <c r="AA339" i="3"/>
  <c r="AB339" i="3"/>
  <c r="AE339" i="3"/>
  <c r="AF339" i="3"/>
  <c r="AG339" i="3"/>
  <c r="A340" i="3"/>
  <c r="B340" i="3"/>
  <c r="D340" i="3" s="1"/>
  <c r="C340" i="3"/>
  <c r="E340" i="3"/>
  <c r="F340" i="3"/>
  <c r="AC340" i="3" s="1"/>
  <c r="G340" i="3"/>
  <c r="H340" i="3"/>
  <c r="I340" i="3"/>
  <c r="J340" i="3"/>
  <c r="K340" i="3"/>
  <c r="M340" i="3"/>
  <c r="N340" i="3"/>
  <c r="L340" i="3" s="1"/>
  <c r="Q340" i="3"/>
  <c r="R340" i="3"/>
  <c r="S340" i="3"/>
  <c r="T340" i="3"/>
  <c r="U340" i="3"/>
  <c r="V340" i="3"/>
  <c r="W340" i="3"/>
  <c r="X340" i="3"/>
  <c r="Y340" i="3"/>
  <c r="Z340" i="3"/>
  <c r="AA340" i="3"/>
  <c r="AB340" i="3"/>
  <c r="AE340" i="3"/>
  <c r="AF340" i="3"/>
  <c r="AG340" i="3"/>
  <c r="A341" i="3"/>
  <c r="B341" i="3"/>
  <c r="D341" i="3" s="1"/>
  <c r="C341" i="3"/>
  <c r="E341" i="3"/>
  <c r="F341" i="3"/>
  <c r="AC341" i="3" s="1"/>
  <c r="G341" i="3"/>
  <c r="H341" i="3"/>
  <c r="I341" i="3"/>
  <c r="J341" i="3"/>
  <c r="K341" i="3"/>
  <c r="M341" i="3"/>
  <c r="N341" i="3"/>
  <c r="L341" i="3" s="1"/>
  <c r="Q341" i="3"/>
  <c r="R341" i="3"/>
  <c r="S341" i="3"/>
  <c r="T341" i="3"/>
  <c r="U341" i="3"/>
  <c r="V341" i="3"/>
  <c r="W341" i="3"/>
  <c r="X341" i="3"/>
  <c r="Y341" i="3"/>
  <c r="Z341" i="3"/>
  <c r="AA341" i="3"/>
  <c r="AB341" i="3"/>
  <c r="AE341" i="3"/>
  <c r="AF341" i="3"/>
  <c r="AG341" i="3"/>
  <c r="A342" i="3"/>
  <c r="B342" i="3"/>
  <c r="D342" i="3" s="1"/>
  <c r="C342" i="3"/>
  <c r="E342" i="3"/>
  <c r="F342" i="3"/>
  <c r="AC342" i="3" s="1"/>
  <c r="G342" i="3"/>
  <c r="H342" i="3"/>
  <c r="I342" i="3"/>
  <c r="J342" i="3"/>
  <c r="K342" i="3"/>
  <c r="M342" i="3"/>
  <c r="N342" i="3"/>
  <c r="L342" i="3" s="1"/>
  <c r="Q342" i="3"/>
  <c r="R342" i="3"/>
  <c r="S342" i="3"/>
  <c r="T342" i="3"/>
  <c r="U342" i="3"/>
  <c r="V342" i="3"/>
  <c r="W342" i="3"/>
  <c r="X342" i="3"/>
  <c r="Y342" i="3"/>
  <c r="Z342" i="3"/>
  <c r="AA342" i="3"/>
  <c r="AB342" i="3"/>
  <c r="AE342" i="3"/>
  <c r="AF342" i="3"/>
  <c r="AG342" i="3"/>
  <c r="A343" i="3"/>
  <c r="B343" i="3"/>
  <c r="D343" i="3" s="1"/>
  <c r="C343" i="3"/>
  <c r="E343" i="3"/>
  <c r="F343" i="3"/>
  <c r="AC343" i="3" s="1"/>
  <c r="G343" i="3"/>
  <c r="H343" i="3"/>
  <c r="I343" i="3"/>
  <c r="J343" i="3"/>
  <c r="K343" i="3"/>
  <c r="M343" i="3"/>
  <c r="N343" i="3"/>
  <c r="L343" i="3" s="1"/>
  <c r="Q343" i="3"/>
  <c r="R343" i="3"/>
  <c r="S343" i="3"/>
  <c r="T343" i="3"/>
  <c r="U343" i="3"/>
  <c r="V343" i="3"/>
  <c r="W343" i="3"/>
  <c r="X343" i="3"/>
  <c r="Y343" i="3"/>
  <c r="Z343" i="3"/>
  <c r="AA343" i="3"/>
  <c r="AB343" i="3"/>
  <c r="AE343" i="3"/>
  <c r="AF343" i="3"/>
  <c r="AG343" i="3"/>
  <c r="A344" i="3"/>
  <c r="B344" i="3"/>
  <c r="D344" i="3" s="1"/>
  <c r="C344" i="3"/>
  <c r="E344" i="3"/>
  <c r="F344" i="3"/>
  <c r="AC344" i="3" s="1"/>
  <c r="G344" i="3"/>
  <c r="H344" i="3"/>
  <c r="I344" i="3"/>
  <c r="J344" i="3"/>
  <c r="K344" i="3"/>
  <c r="M344" i="3"/>
  <c r="N344" i="3"/>
  <c r="L344" i="3" s="1"/>
  <c r="Q344" i="3"/>
  <c r="R344" i="3"/>
  <c r="S344" i="3"/>
  <c r="T344" i="3"/>
  <c r="U344" i="3"/>
  <c r="V344" i="3"/>
  <c r="W344" i="3"/>
  <c r="X344" i="3"/>
  <c r="Y344" i="3"/>
  <c r="Z344" i="3"/>
  <c r="AA344" i="3"/>
  <c r="AB344" i="3"/>
  <c r="AE344" i="3"/>
  <c r="AF344" i="3"/>
  <c r="AG344" i="3"/>
  <c r="A345" i="3"/>
  <c r="B345" i="3"/>
  <c r="D345" i="3" s="1"/>
  <c r="C345" i="3"/>
  <c r="E345" i="3"/>
  <c r="F345" i="3"/>
  <c r="AC345" i="3" s="1"/>
  <c r="G345" i="3"/>
  <c r="H345" i="3"/>
  <c r="I345" i="3"/>
  <c r="J345" i="3"/>
  <c r="K345" i="3"/>
  <c r="M345" i="3"/>
  <c r="N345" i="3"/>
  <c r="L345" i="3" s="1"/>
  <c r="Q345" i="3"/>
  <c r="R345" i="3"/>
  <c r="S345" i="3"/>
  <c r="T345" i="3"/>
  <c r="U345" i="3"/>
  <c r="V345" i="3"/>
  <c r="W345" i="3"/>
  <c r="X345" i="3"/>
  <c r="Y345" i="3"/>
  <c r="Z345" i="3"/>
  <c r="AA345" i="3"/>
  <c r="AB345" i="3"/>
  <c r="AE345" i="3"/>
  <c r="AF345" i="3"/>
  <c r="AG345" i="3"/>
  <c r="A346" i="3"/>
  <c r="B346" i="3"/>
  <c r="D346" i="3" s="1"/>
  <c r="C346" i="3"/>
  <c r="E346" i="3"/>
  <c r="F346" i="3"/>
  <c r="AC346" i="3" s="1"/>
  <c r="G346" i="3"/>
  <c r="H346" i="3"/>
  <c r="I346" i="3"/>
  <c r="J346" i="3"/>
  <c r="K346" i="3"/>
  <c r="M346" i="3"/>
  <c r="N346" i="3"/>
  <c r="L346" i="3" s="1"/>
  <c r="Q346" i="3"/>
  <c r="R346" i="3"/>
  <c r="S346" i="3"/>
  <c r="T346" i="3"/>
  <c r="U346" i="3"/>
  <c r="V346" i="3"/>
  <c r="W346" i="3"/>
  <c r="X346" i="3"/>
  <c r="Y346" i="3"/>
  <c r="Z346" i="3"/>
  <c r="AA346" i="3"/>
  <c r="AB346" i="3"/>
  <c r="AE346" i="3"/>
  <c r="AF346" i="3"/>
  <c r="AG346" i="3"/>
  <c r="A347" i="3"/>
  <c r="B347" i="3"/>
  <c r="D347" i="3" s="1"/>
  <c r="C347" i="3"/>
  <c r="E347" i="3"/>
  <c r="F347" i="3"/>
  <c r="AC347" i="3" s="1"/>
  <c r="G347" i="3"/>
  <c r="H347" i="3"/>
  <c r="I347" i="3"/>
  <c r="J347" i="3"/>
  <c r="K347" i="3"/>
  <c r="M347" i="3"/>
  <c r="N347" i="3"/>
  <c r="L347" i="3" s="1"/>
  <c r="Q347" i="3"/>
  <c r="R347" i="3"/>
  <c r="S347" i="3"/>
  <c r="T347" i="3"/>
  <c r="U347" i="3"/>
  <c r="V347" i="3"/>
  <c r="W347" i="3"/>
  <c r="X347" i="3"/>
  <c r="Y347" i="3"/>
  <c r="Z347" i="3"/>
  <c r="AA347" i="3"/>
  <c r="AB347" i="3"/>
  <c r="AE347" i="3"/>
  <c r="AF347" i="3"/>
  <c r="AG347" i="3"/>
  <c r="A348" i="3"/>
  <c r="B348" i="3"/>
  <c r="D348" i="3" s="1"/>
  <c r="C348" i="3"/>
  <c r="E348" i="3"/>
  <c r="F348" i="3"/>
  <c r="AC348" i="3" s="1"/>
  <c r="G348" i="3"/>
  <c r="H348" i="3"/>
  <c r="I348" i="3"/>
  <c r="J348" i="3"/>
  <c r="K348" i="3"/>
  <c r="M348" i="3"/>
  <c r="N348" i="3"/>
  <c r="L348" i="3" s="1"/>
  <c r="Q348" i="3"/>
  <c r="R348" i="3"/>
  <c r="S348" i="3"/>
  <c r="T348" i="3"/>
  <c r="U348" i="3"/>
  <c r="V348" i="3"/>
  <c r="W348" i="3"/>
  <c r="X348" i="3"/>
  <c r="Y348" i="3"/>
  <c r="Z348" i="3"/>
  <c r="AA348" i="3"/>
  <c r="AB348" i="3"/>
  <c r="AE348" i="3"/>
  <c r="AF348" i="3"/>
  <c r="AG348" i="3"/>
  <c r="A349" i="3"/>
  <c r="B349" i="3"/>
  <c r="D349" i="3" s="1"/>
  <c r="C349" i="3"/>
  <c r="E349" i="3"/>
  <c r="F349" i="3"/>
  <c r="AC349" i="3" s="1"/>
  <c r="G349" i="3"/>
  <c r="H349" i="3"/>
  <c r="I349" i="3"/>
  <c r="J349" i="3"/>
  <c r="K349" i="3"/>
  <c r="M349" i="3"/>
  <c r="N349" i="3"/>
  <c r="L349" i="3" s="1"/>
  <c r="Q349" i="3"/>
  <c r="R349" i="3"/>
  <c r="S349" i="3"/>
  <c r="T349" i="3"/>
  <c r="U349" i="3"/>
  <c r="V349" i="3"/>
  <c r="W349" i="3"/>
  <c r="X349" i="3"/>
  <c r="Y349" i="3"/>
  <c r="Z349" i="3"/>
  <c r="AA349" i="3"/>
  <c r="AB349" i="3"/>
  <c r="AE349" i="3"/>
  <c r="AF349" i="3"/>
  <c r="AG349" i="3"/>
  <c r="A350" i="3"/>
  <c r="B350" i="3"/>
  <c r="D350" i="3" s="1"/>
  <c r="C350" i="3"/>
  <c r="E350" i="3"/>
  <c r="F350" i="3"/>
  <c r="AC350" i="3" s="1"/>
  <c r="G350" i="3"/>
  <c r="H350" i="3"/>
  <c r="I350" i="3"/>
  <c r="J350" i="3"/>
  <c r="K350" i="3"/>
  <c r="M350" i="3"/>
  <c r="N350" i="3"/>
  <c r="L350" i="3" s="1"/>
  <c r="Q350" i="3"/>
  <c r="R350" i="3"/>
  <c r="S350" i="3"/>
  <c r="T350" i="3"/>
  <c r="U350" i="3"/>
  <c r="V350" i="3"/>
  <c r="W350" i="3"/>
  <c r="X350" i="3"/>
  <c r="Y350" i="3"/>
  <c r="Z350" i="3"/>
  <c r="AA350" i="3"/>
  <c r="AB350" i="3"/>
  <c r="AE350" i="3"/>
  <c r="AF350" i="3"/>
  <c r="AG350" i="3"/>
  <c r="A351" i="3"/>
  <c r="B351" i="3"/>
  <c r="D351" i="3" s="1"/>
  <c r="C351" i="3"/>
  <c r="E351" i="3"/>
  <c r="F351" i="3"/>
  <c r="AC351" i="3" s="1"/>
  <c r="G351" i="3"/>
  <c r="H351" i="3"/>
  <c r="I351" i="3"/>
  <c r="J351" i="3"/>
  <c r="K351" i="3"/>
  <c r="M351" i="3"/>
  <c r="N351" i="3"/>
  <c r="L351" i="3" s="1"/>
  <c r="Q351" i="3"/>
  <c r="R351" i="3"/>
  <c r="S351" i="3"/>
  <c r="T351" i="3"/>
  <c r="U351" i="3"/>
  <c r="V351" i="3"/>
  <c r="W351" i="3"/>
  <c r="X351" i="3"/>
  <c r="Y351" i="3"/>
  <c r="Z351" i="3"/>
  <c r="AA351" i="3"/>
  <c r="AB351" i="3"/>
  <c r="AE351" i="3"/>
  <c r="AF351" i="3"/>
  <c r="AG351" i="3"/>
  <c r="A352" i="3"/>
  <c r="B352" i="3"/>
  <c r="D352" i="3" s="1"/>
  <c r="C352" i="3"/>
  <c r="E352" i="3"/>
  <c r="F352" i="3"/>
  <c r="AC352" i="3" s="1"/>
  <c r="G352" i="3"/>
  <c r="H352" i="3"/>
  <c r="I352" i="3"/>
  <c r="J352" i="3"/>
  <c r="K352" i="3"/>
  <c r="M352" i="3"/>
  <c r="N352" i="3"/>
  <c r="L352" i="3" s="1"/>
  <c r="Q352" i="3"/>
  <c r="R352" i="3"/>
  <c r="S352" i="3"/>
  <c r="T352" i="3"/>
  <c r="U352" i="3"/>
  <c r="V352" i="3"/>
  <c r="W352" i="3"/>
  <c r="X352" i="3"/>
  <c r="Y352" i="3"/>
  <c r="Z352" i="3"/>
  <c r="AA352" i="3"/>
  <c r="AB352" i="3"/>
  <c r="AE352" i="3"/>
  <c r="AF352" i="3"/>
  <c r="AG352" i="3"/>
  <c r="A353" i="3"/>
  <c r="B353" i="3"/>
  <c r="D353" i="3" s="1"/>
  <c r="C353" i="3"/>
  <c r="E353" i="3"/>
  <c r="F353" i="3"/>
  <c r="AC353" i="3" s="1"/>
  <c r="G353" i="3"/>
  <c r="H353" i="3"/>
  <c r="I353" i="3"/>
  <c r="J353" i="3"/>
  <c r="K353" i="3"/>
  <c r="M353" i="3"/>
  <c r="N353" i="3"/>
  <c r="L353" i="3" s="1"/>
  <c r="Q353" i="3"/>
  <c r="R353" i="3"/>
  <c r="S353" i="3"/>
  <c r="T353" i="3"/>
  <c r="U353" i="3"/>
  <c r="V353" i="3"/>
  <c r="W353" i="3"/>
  <c r="X353" i="3"/>
  <c r="Y353" i="3"/>
  <c r="Z353" i="3"/>
  <c r="AA353" i="3"/>
  <c r="AB353" i="3"/>
  <c r="AE353" i="3"/>
  <c r="AF353" i="3"/>
  <c r="AG353" i="3"/>
  <c r="A354" i="3"/>
  <c r="B354" i="3"/>
  <c r="D354" i="3" s="1"/>
  <c r="C354" i="3"/>
  <c r="E354" i="3"/>
  <c r="F354" i="3"/>
  <c r="AC354" i="3" s="1"/>
  <c r="G354" i="3"/>
  <c r="H354" i="3"/>
  <c r="I354" i="3"/>
  <c r="J354" i="3"/>
  <c r="K354" i="3"/>
  <c r="M354" i="3"/>
  <c r="N354" i="3"/>
  <c r="L354" i="3" s="1"/>
  <c r="Q354" i="3"/>
  <c r="R354" i="3"/>
  <c r="S354" i="3"/>
  <c r="T354" i="3"/>
  <c r="U354" i="3"/>
  <c r="V354" i="3"/>
  <c r="W354" i="3"/>
  <c r="X354" i="3"/>
  <c r="Y354" i="3"/>
  <c r="Z354" i="3"/>
  <c r="AA354" i="3"/>
  <c r="AB354" i="3"/>
  <c r="AE354" i="3"/>
  <c r="AF354" i="3"/>
  <c r="AG354" i="3"/>
  <c r="A355" i="3"/>
  <c r="B355" i="3"/>
  <c r="D355" i="3" s="1"/>
  <c r="C355" i="3"/>
  <c r="E355" i="3"/>
  <c r="F355" i="3"/>
  <c r="AC355" i="3" s="1"/>
  <c r="G355" i="3"/>
  <c r="H355" i="3"/>
  <c r="I355" i="3"/>
  <c r="J355" i="3"/>
  <c r="K355" i="3"/>
  <c r="M355" i="3"/>
  <c r="N355" i="3"/>
  <c r="L355" i="3" s="1"/>
  <c r="Q355" i="3"/>
  <c r="R355" i="3"/>
  <c r="S355" i="3"/>
  <c r="T355" i="3"/>
  <c r="U355" i="3"/>
  <c r="V355" i="3"/>
  <c r="W355" i="3"/>
  <c r="X355" i="3"/>
  <c r="Y355" i="3"/>
  <c r="Z355" i="3"/>
  <c r="AA355" i="3"/>
  <c r="AB355" i="3"/>
  <c r="AE355" i="3"/>
  <c r="AF355" i="3"/>
  <c r="AG355" i="3"/>
  <c r="A356" i="3"/>
  <c r="B356" i="3"/>
  <c r="D356" i="3" s="1"/>
  <c r="C356" i="3"/>
  <c r="E356" i="3"/>
  <c r="F356" i="3"/>
  <c r="AC356" i="3" s="1"/>
  <c r="G356" i="3"/>
  <c r="H356" i="3"/>
  <c r="I356" i="3"/>
  <c r="J356" i="3"/>
  <c r="K356" i="3"/>
  <c r="M356" i="3"/>
  <c r="N356" i="3"/>
  <c r="L356" i="3" s="1"/>
  <c r="Q356" i="3"/>
  <c r="R356" i="3"/>
  <c r="S356" i="3"/>
  <c r="T356" i="3"/>
  <c r="U356" i="3"/>
  <c r="V356" i="3"/>
  <c r="W356" i="3"/>
  <c r="X356" i="3"/>
  <c r="Y356" i="3"/>
  <c r="Z356" i="3"/>
  <c r="AA356" i="3"/>
  <c r="AB356" i="3"/>
  <c r="AE356" i="3"/>
  <c r="AF356" i="3"/>
  <c r="AG356" i="3"/>
  <c r="A357" i="3"/>
  <c r="B357" i="3"/>
  <c r="D357" i="3" s="1"/>
  <c r="C357" i="3"/>
  <c r="E357" i="3"/>
  <c r="F357" i="3"/>
  <c r="AC357" i="3" s="1"/>
  <c r="G357" i="3"/>
  <c r="H357" i="3"/>
  <c r="I357" i="3"/>
  <c r="J357" i="3"/>
  <c r="K357" i="3"/>
  <c r="M357" i="3"/>
  <c r="N357" i="3"/>
  <c r="L357" i="3" s="1"/>
  <c r="Q357" i="3"/>
  <c r="R357" i="3"/>
  <c r="S357" i="3"/>
  <c r="T357" i="3"/>
  <c r="U357" i="3"/>
  <c r="V357" i="3"/>
  <c r="W357" i="3"/>
  <c r="X357" i="3"/>
  <c r="Y357" i="3"/>
  <c r="Z357" i="3"/>
  <c r="AA357" i="3"/>
  <c r="AB357" i="3"/>
  <c r="AE357" i="3"/>
  <c r="AF357" i="3"/>
  <c r="AG357" i="3"/>
  <c r="A358" i="3"/>
  <c r="B358" i="3"/>
  <c r="D358" i="3" s="1"/>
  <c r="C358" i="3"/>
  <c r="E358" i="3"/>
  <c r="F358" i="3"/>
  <c r="AC358" i="3" s="1"/>
  <c r="G358" i="3"/>
  <c r="H358" i="3"/>
  <c r="I358" i="3"/>
  <c r="J358" i="3"/>
  <c r="K358" i="3"/>
  <c r="M358" i="3"/>
  <c r="N358" i="3"/>
  <c r="L358" i="3" s="1"/>
  <c r="Q358" i="3"/>
  <c r="R358" i="3"/>
  <c r="S358" i="3"/>
  <c r="T358" i="3"/>
  <c r="U358" i="3"/>
  <c r="V358" i="3"/>
  <c r="W358" i="3"/>
  <c r="X358" i="3"/>
  <c r="Y358" i="3"/>
  <c r="Z358" i="3"/>
  <c r="AA358" i="3"/>
  <c r="AB358" i="3"/>
  <c r="AE358" i="3"/>
  <c r="AF358" i="3"/>
  <c r="AG358" i="3"/>
  <c r="A359" i="3"/>
  <c r="B359" i="3"/>
  <c r="D359" i="3" s="1"/>
  <c r="C359" i="3"/>
  <c r="E359" i="3"/>
  <c r="F359" i="3"/>
  <c r="AC359" i="3" s="1"/>
  <c r="G359" i="3"/>
  <c r="H359" i="3"/>
  <c r="I359" i="3"/>
  <c r="J359" i="3"/>
  <c r="K359" i="3"/>
  <c r="M359" i="3"/>
  <c r="N359" i="3"/>
  <c r="L359" i="3" s="1"/>
  <c r="Q359" i="3"/>
  <c r="R359" i="3"/>
  <c r="S359" i="3"/>
  <c r="T359" i="3"/>
  <c r="U359" i="3"/>
  <c r="V359" i="3"/>
  <c r="W359" i="3"/>
  <c r="X359" i="3"/>
  <c r="Y359" i="3"/>
  <c r="Z359" i="3"/>
  <c r="AA359" i="3"/>
  <c r="AB359" i="3"/>
  <c r="AE359" i="3"/>
  <c r="AF359" i="3"/>
  <c r="AG359" i="3"/>
  <c r="A360" i="3"/>
  <c r="B360" i="3"/>
  <c r="D360" i="3" s="1"/>
  <c r="C360" i="3"/>
  <c r="E360" i="3"/>
  <c r="F360" i="3"/>
  <c r="AC360" i="3" s="1"/>
  <c r="G360" i="3"/>
  <c r="H360" i="3"/>
  <c r="I360" i="3"/>
  <c r="J360" i="3"/>
  <c r="K360" i="3"/>
  <c r="M360" i="3"/>
  <c r="N360" i="3"/>
  <c r="L360" i="3" s="1"/>
  <c r="Q360" i="3"/>
  <c r="R360" i="3"/>
  <c r="S360" i="3"/>
  <c r="T360" i="3"/>
  <c r="U360" i="3"/>
  <c r="V360" i="3"/>
  <c r="W360" i="3"/>
  <c r="X360" i="3"/>
  <c r="Y360" i="3"/>
  <c r="Z360" i="3"/>
  <c r="AA360" i="3"/>
  <c r="AB360" i="3"/>
  <c r="AE360" i="3"/>
  <c r="AF360" i="3"/>
  <c r="AG360" i="3"/>
  <c r="A361" i="3"/>
  <c r="B361" i="3"/>
  <c r="D361" i="3" s="1"/>
  <c r="C361" i="3"/>
  <c r="E361" i="3"/>
  <c r="F361" i="3"/>
  <c r="AC361" i="3" s="1"/>
  <c r="G361" i="3"/>
  <c r="H361" i="3"/>
  <c r="I361" i="3"/>
  <c r="J361" i="3"/>
  <c r="K361" i="3"/>
  <c r="M361" i="3"/>
  <c r="N361" i="3"/>
  <c r="L361" i="3" s="1"/>
  <c r="Q361" i="3"/>
  <c r="R361" i="3"/>
  <c r="S361" i="3"/>
  <c r="T361" i="3"/>
  <c r="U361" i="3"/>
  <c r="V361" i="3"/>
  <c r="W361" i="3"/>
  <c r="X361" i="3"/>
  <c r="Y361" i="3"/>
  <c r="Z361" i="3"/>
  <c r="AA361" i="3"/>
  <c r="AB361" i="3"/>
  <c r="AE361" i="3"/>
  <c r="AF361" i="3"/>
  <c r="AG361" i="3"/>
  <c r="A362" i="3"/>
  <c r="B362" i="3"/>
  <c r="D362" i="3" s="1"/>
  <c r="C362" i="3"/>
  <c r="E362" i="3"/>
  <c r="F362" i="3"/>
  <c r="AC362" i="3" s="1"/>
  <c r="G362" i="3"/>
  <c r="H362" i="3"/>
  <c r="I362" i="3"/>
  <c r="J362" i="3"/>
  <c r="K362" i="3"/>
  <c r="M362" i="3"/>
  <c r="N362" i="3"/>
  <c r="L362" i="3" s="1"/>
  <c r="Q362" i="3"/>
  <c r="R362" i="3"/>
  <c r="S362" i="3"/>
  <c r="T362" i="3"/>
  <c r="U362" i="3"/>
  <c r="V362" i="3"/>
  <c r="W362" i="3"/>
  <c r="X362" i="3"/>
  <c r="Y362" i="3"/>
  <c r="Z362" i="3"/>
  <c r="AA362" i="3"/>
  <c r="AB362" i="3"/>
  <c r="AE362" i="3"/>
  <c r="AF362" i="3"/>
  <c r="AG362" i="3"/>
  <c r="A363" i="3"/>
  <c r="B363" i="3"/>
  <c r="D363" i="3" s="1"/>
  <c r="C363" i="3"/>
  <c r="E363" i="3"/>
  <c r="F363" i="3"/>
  <c r="AC363" i="3" s="1"/>
  <c r="G363" i="3"/>
  <c r="H363" i="3"/>
  <c r="I363" i="3"/>
  <c r="J363" i="3"/>
  <c r="K363" i="3"/>
  <c r="M363" i="3"/>
  <c r="N363" i="3"/>
  <c r="L363" i="3" s="1"/>
  <c r="Q363" i="3"/>
  <c r="R363" i="3"/>
  <c r="S363" i="3"/>
  <c r="T363" i="3"/>
  <c r="U363" i="3"/>
  <c r="V363" i="3"/>
  <c r="W363" i="3"/>
  <c r="X363" i="3"/>
  <c r="Y363" i="3"/>
  <c r="Z363" i="3"/>
  <c r="AA363" i="3"/>
  <c r="AB363" i="3"/>
  <c r="AE363" i="3"/>
  <c r="AF363" i="3"/>
  <c r="AG363" i="3"/>
  <c r="A364" i="3"/>
  <c r="B364" i="3"/>
  <c r="D364" i="3" s="1"/>
  <c r="C364" i="3"/>
  <c r="E364" i="3"/>
  <c r="F364" i="3"/>
  <c r="AC364" i="3" s="1"/>
  <c r="G364" i="3"/>
  <c r="H364" i="3"/>
  <c r="I364" i="3"/>
  <c r="J364" i="3"/>
  <c r="K364" i="3"/>
  <c r="M364" i="3"/>
  <c r="N364" i="3"/>
  <c r="L364" i="3" s="1"/>
  <c r="Q364" i="3"/>
  <c r="R364" i="3"/>
  <c r="S364" i="3"/>
  <c r="T364" i="3"/>
  <c r="U364" i="3"/>
  <c r="V364" i="3"/>
  <c r="W364" i="3"/>
  <c r="X364" i="3"/>
  <c r="Y364" i="3"/>
  <c r="Z364" i="3"/>
  <c r="AA364" i="3"/>
  <c r="AB364" i="3"/>
  <c r="AE364" i="3"/>
  <c r="AF364" i="3"/>
  <c r="AG364" i="3"/>
  <c r="A365" i="3"/>
  <c r="B365" i="3"/>
  <c r="D365" i="3" s="1"/>
  <c r="C365" i="3"/>
  <c r="E365" i="3"/>
  <c r="F365" i="3"/>
  <c r="AC365" i="3" s="1"/>
  <c r="G365" i="3"/>
  <c r="H365" i="3"/>
  <c r="I365" i="3"/>
  <c r="J365" i="3"/>
  <c r="K365" i="3"/>
  <c r="M365" i="3"/>
  <c r="N365" i="3"/>
  <c r="L365" i="3" s="1"/>
  <c r="Q365" i="3"/>
  <c r="R365" i="3"/>
  <c r="S365" i="3"/>
  <c r="T365" i="3"/>
  <c r="U365" i="3"/>
  <c r="V365" i="3"/>
  <c r="W365" i="3"/>
  <c r="X365" i="3"/>
  <c r="Y365" i="3"/>
  <c r="Z365" i="3"/>
  <c r="AA365" i="3"/>
  <c r="AB365" i="3"/>
  <c r="AE365" i="3"/>
  <c r="AF365" i="3"/>
  <c r="AG365" i="3"/>
  <c r="A366" i="3"/>
  <c r="B366" i="3"/>
  <c r="D366" i="3" s="1"/>
  <c r="C366" i="3"/>
  <c r="E366" i="3"/>
  <c r="F366" i="3"/>
  <c r="AC366" i="3" s="1"/>
  <c r="G366" i="3"/>
  <c r="H366" i="3"/>
  <c r="I366" i="3"/>
  <c r="J366" i="3"/>
  <c r="K366" i="3"/>
  <c r="M366" i="3"/>
  <c r="N366" i="3"/>
  <c r="L366" i="3" s="1"/>
  <c r="Q366" i="3"/>
  <c r="R366" i="3"/>
  <c r="S366" i="3"/>
  <c r="T366" i="3"/>
  <c r="U366" i="3"/>
  <c r="V366" i="3"/>
  <c r="W366" i="3"/>
  <c r="X366" i="3"/>
  <c r="Y366" i="3"/>
  <c r="Z366" i="3"/>
  <c r="AA366" i="3"/>
  <c r="AB366" i="3"/>
  <c r="AE366" i="3"/>
  <c r="AF366" i="3"/>
  <c r="AG366" i="3"/>
  <c r="A367" i="3"/>
  <c r="B367" i="3"/>
  <c r="D367" i="3" s="1"/>
  <c r="C367" i="3"/>
  <c r="E367" i="3"/>
  <c r="F367" i="3"/>
  <c r="AC367" i="3" s="1"/>
  <c r="G367" i="3"/>
  <c r="H367" i="3"/>
  <c r="I367" i="3"/>
  <c r="J367" i="3"/>
  <c r="K367" i="3"/>
  <c r="M367" i="3"/>
  <c r="N367" i="3"/>
  <c r="L367" i="3" s="1"/>
  <c r="Q367" i="3"/>
  <c r="R367" i="3"/>
  <c r="S367" i="3"/>
  <c r="T367" i="3"/>
  <c r="U367" i="3"/>
  <c r="V367" i="3"/>
  <c r="W367" i="3"/>
  <c r="X367" i="3"/>
  <c r="Y367" i="3"/>
  <c r="Z367" i="3"/>
  <c r="AA367" i="3"/>
  <c r="AB367" i="3"/>
  <c r="AE367" i="3"/>
  <c r="AF367" i="3"/>
  <c r="AG367" i="3"/>
  <c r="A368" i="3"/>
  <c r="B368" i="3"/>
  <c r="D368" i="3" s="1"/>
  <c r="C368" i="3"/>
  <c r="E368" i="3"/>
  <c r="F368" i="3"/>
  <c r="AC368" i="3" s="1"/>
  <c r="G368" i="3"/>
  <c r="H368" i="3"/>
  <c r="I368" i="3"/>
  <c r="J368" i="3"/>
  <c r="K368" i="3"/>
  <c r="M368" i="3"/>
  <c r="N368" i="3"/>
  <c r="L368" i="3" s="1"/>
  <c r="Q368" i="3"/>
  <c r="R368" i="3"/>
  <c r="S368" i="3"/>
  <c r="T368" i="3"/>
  <c r="U368" i="3"/>
  <c r="V368" i="3"/>
  <c r="W368" i="3"/>
  <c r="X368" i="3"/>
  <c r="Y368" i="3"/>
  <c r="Z368" i="3"/>
  <c r="AA368" i="3"/>
  <c r="AB368" i="3"/>
  <c r="AE368" i="3"/>
  <c r="AF368" i="3"/>
  <c r="AG368" i="3"/>
  <c r="A369" i="3"/>
  <c r="B369" i="3"/>
  <c r="D369" i="3" s="1"/>
  <c r="C369" i="3"/>
  <c r="E369" i="3"/>
  <c r="F369" i="3"/>
  <c r="AC369" i="3" s="1"/>
  <c r="G369" i="3"/>
  <c r="H369" i="3"/>
  <c r="I369" i="3"/>
  <c r="J369" i="3"/>
  <c r="K369" i="3"/>
  <c r="M369" i="3"/>
  <c r="N369" i="3"/>
  <c r="L369" i="3" s="1"/>
  <c r="Q369" i="3"/>
  <c r="R369" i="3"/>
  <c r="S369" i="3"/>
  <c r="T369" i="3"/>
  <c r="U369" i="3"/>
  <c r="V369" i="3"/>
  <c r="W369" i="3"/>
  <c r="X369" i="3"/>
  <c r="Y369" i="3"/>
  <c r="Z369" i="3"/>
  <c r="AA369" i="3"/>
  <c r="AB369" i="3"/>
  <c r="AE369" i="3"/>
  <c r="AF369" i="3"/>
  <c r="AG369" i="3"/>
  <c r="A370" i="3"/>
  <c r="B370" i="3"/>
  <c r="D370" i="3" s="1"/>
  <c r="C370" i="3"/>
  <c r="E370" i="3"/>
  <c r="F370" i="3"/>
  <c r="AC370" i="3" s="1"/>
  <c r="G370" i="3"/>
  <c r="H370" i="3"/>
  <c r="I370" i="3"/>
  <c r="J370" i="3"/>
  <c r="K370" i="3"/>
  <c r="M370" i="3"/>
  <c r="N370" i="3"/>
  <c r="L370" i="3" s="1"/>
  <c r="Q370" i="3"/>
  <c r="R370" i="3"/>
  <c r="S370" i="3"/>
  <c r="T370" i="3"/>
  <c r="U370" i="3"/>
  <c r="V370" i="3"/>
  <c r="W370" i="3"/>
  <c r="X370" i="3"/>
  <c r="Y370" i="3"/>
  <c r="Z370" i="3"/>
  <c r="AA370" i="3"/>
  <c r="AB370" i="3"/>
  <c r="AE370" i="3"/>
  <c r="AF370" i="3"/>
  <c r="AG370" i="3"/>
  <c r="A371" i="3"/>
  <c r="B371" i="3"/>
  <c r="D371" i="3" s="1"/>
  <c r="C371" i="3"/>
  <c r="E371" i="3"/>
  <c r="F371" i="3"/>
  <c r="AC371" i="3" s="1"/>
  <c r="G371" i="3"/>
  <c r="H371" i="3"/>
  <c r="I371" i="3"/>
  <c r="J371" i="3"/>
  <c r="K371" i="3"/>
  <c r="M371" i="3"/>
  <c r="N371" i="3"/>
  <c r="L371" i="3" s="1"/>
  <c r="Q371" i="3"/>
  <c r="R371" i="3"/>
  <c r="S371" i="3"/>
  <c r="T371" i="3"/>
  <c r="U371" i="3"/>
  <c r="V371" i="3"/>
  <c r="W371" i="3"/>
  <c r="X371" i="3"/>
  <c r="Y371" i="3"/>
  <c r="Z371" i="3"/>
  <c r="AA371" i="3"/>
  <c r="AB371" i="3"/>
  <c r="AE371" i="3"/>
  <c r="AF371" i="3"/>
  <c r="AG371" i="3"/>
  <c r="A372" i="3"/>
  <c r="B372" i="3"/>
  <c r="D372" i="3" s="1"/>
  <c r="C372" i="3"/>
  <c r="E372" i="3"/>
  <c r="F372" i="3"/>
  <c r="AC372" i="3" s="1"/>
  <c r="G372" i="3"/>
  <c r="H372" i="3"/>
  <c r="I372" i="3"/>
  <c r="J372" i="3"/>
  <c r="K372" i="3"/>
  <c r="M372" i="3"/>
  <c r="N372" i="3"/>
  <c r="L372" i="3" s="1"/>
  <c r="Q372" i="3"/>
  <c r="R372" i="3"/>
  <c r="S372" i="3"/>
  <c r="T372" i="3"/>
  <c r="U372" i="3"/>
  <c r="V372" i="3"/>
  <c r="W372" i="3"/>
  <c r="X372" i="3"/>
  <c r="Y372" i="3"/>
  <c r="Z372" i="3"/>
  <c r="AA372" i="3"/>
  <c r="AB372" i="3"/>
  <c r="AE372" i="3"/>
  <c r="AF372" i="3"/>
  <c r="AG372" i="3"/>
  <c r="A373" i="3"/>
  <c r="B373" i="3"/>
  <c r="D373" i="3" s="1"/>
  <c r="C373" i="3"/>
  <c r="E373" i="3"/>
  <c r="F373" i="3"/>
  <c r="AC373" i="3" s="1"/>
  <c r="G373" i="3"/>
  <c r="H373" i="3"/>
  <c r="I373" i="3"/>
  <c r="J373" i="3"/>
  <c r="K373" i="3"/>
  <c r="M373" i="3"/>
  <c r="N373" i="3"/>
  <c r="L373" i="3" s="1"/>
  <c r="Q373" i="3"/>
  <c r="R373" i="3"/>
  <c r="S373" i="3"/>
  <c r="T373" i="3"/>
  <c r="U373" i="3"/>
  <c r="V373" i="3"/>
  <c r="W373" i="3"/>
  <c r="X373" i="3"/>
  <c r="Y373" i="3"/>
  <c r="Z373" i="3"/>
  <c r="AA373" i="3"/>
  <c r="AB373" i="3"/>
  <c r="AE373" i="3"/>
  <c r="AF373" i="3"/>
  <c r="AG373" i="3"/>
  <c r="A374" i="3"/>
  <c r="B374" i="3"/>
  <c r="D374" i="3" s="1"/>
  <c r="C374" i="3"/>
  <c r="E374" i="3"/>
  <c r="F374" i="3"/>
  <c r="AC374" i="3" s="1"/>
  <c r="G374" i="3"/>
  <c r="H374" i="3"/>
  <c r="I374" i="3"/>
  <c r="J374" i="3"/>
  <c r="K374" i="3"/>
  <c r="M374" i="3"/>
  <c r="N374" i="3"/>
  <c r="L374" i="3" s="1"/>
  <c r="Q374" i="3"/>
  <c r="R374" i="3"/>
  <c r="S374" i="3"/>
  <c r="T374" i="3"/>
  <c r="U374" i="3"/>
  <c r="V374" i="3"/>
  <c r="W374" i="3"/>
  <c r="X374" i="3"/>
  <c r="Y374" i="3"/>
  <c r="Z374" i="3"/>
  <c r="AA374" i="3"/>
  <c r="AB374" i="3"/>
  <c r="AE374" i="3"/>
  <c r="AF374" i="3"/>
  <c r="AG374" i="3"/>
  <c r="A375" i="3"/>
  <c r="B375" i="3"/>
  <c r="D375" i="3" s="1"/>
  <c r="C375" i="3"/>
  <c r="E375" i="3"/>
  <c r="F375" i="3"/>
  <c r="AC375" i="3" s="1"/>
  <c r="G375" i="3"/>
  <c r="H375" i="3"/>
  <c r="I375" i="3"/>
  <c r="J375" i="3"/>
  <c r="K375" i="3"/>
  <c r="M375" i="3"/>
  <c r="N375" i="3"/>
  <c r="L375" i="3" s="1"/>
  <c r="Q375" i="3"/>
  <c r="R375" i="3"/>
  <c r="S375" i="3"/>
  <c r="T375" i="3"/>
  <c r="U375" i="3"/>
  <c r="V375" i="3"/>
  <c r="W375" i="3"/>
  <c r="X375" i="3"/>
  <c r="Y375" i="3"/>
  <c r="Z375" i="3"/>
  <c r="AA375" i="3"/>
  <c r="AB375" i="3"/>
  <c r="AE375" i="3"/>
  <c r="AF375" i="3"/>
  <c r="AG375" i="3"/>
  <c r="A376" i="3"/>
  <c r="B376" i="3"/>
  <c r="D376" i="3" s="1"/>
  <c r="C376" i="3"/>
  <c r="E376" i="3"/>
  <c r="F376" i="3"/>
  <c r="AC376" i="3" s="1"/>
  <c r="G376" i="3"/>
  <c r="H376" i="3"/>
  <c r="I376" i="3"/>
  <c r="J376" i="3"/>
  <c r="K376" i="3"/>
  <c r="M376" i="3"/>
  <c r="N376" i="3"/>
  <c r="L376" i="3" s="1"/>
  <c r="Q376" i="3"/>
  <c r="R376" i="3"/>
  <c r="S376" i="3"/>
  <c r="T376" i="3"/>
  <c r="U376" i="3"/>
  <c r="V376" i="3"/>
  <c r="W376" i="3"/>
  <c r="X376" i="3"/>
  <c r="Y376" i="3"/>
  <c r="Z376" i="3"/>
  <c r="AA376" i="3"/>
  <c r="AB376" i="3"/>
  <c r="AE376" i="3"/>
  <c r="AF376" i="3"/>
  <c r="AG376" i="3"/>
  <c r="A377" i="3"/>
  <c r="B377" i="3"/>
  <c r="D377" i="3" s="1"/>
  <c r="C377" i="3"/>
  <c r="E377" i="3"/>
  <c r="F377" i="3"/>
  <c r="AC377" i="3" s="1"/>
  <c r="G377" i="3"/>
  <c r="H377" i="3"/>
  <c r="I377" i="3"/>
  <c r="J377" i="3"/>
  <c r="K377" i="3"/>
  <c r="M377" i="3"/>
  <c r="N377" i="3"/>
  <c r="L377" i="3" s="1"/>
  <c r="Q377" i="3"/>
  <c r="R377" i="3"/>
  <c r="S377" i="3"/>
  <c r="T377" i="3"/>
  <c r="U377" i="3"/>
  <c r="V377" i="3"/>
  <c r="W377" i="3"/>
  <c r="X377" i="3"/>
  <c r="Y377" i="3"/>
  <c r="Z377" i="3"/>
  <c r="AA377" i="3"/>
  <c r="AB377" i="3"/>
  <c r="AE377" i="3"/>
  <c r="AF377" i="3"/>
  <c r="AG377" i="3"/>
  <c r="A378" i="3"/>
  <c r="B378" i="3"/>
  <c r="D378" i="3" s="1"/>
  <c r="C378" i="3"/>
  <c r="E378" i="3"/>
  <c r="F378" i="3"/>
  <c r="AC378" i="3" s="1"/>
  <c r="G378" i="3"/>
  <c r="H378" i="3"/>
  <c r="I378" i="3"/>
  <c r="J378" i="3"/>
  <c r="K378" i="3"/>
  <c r="M378" i="3"/>
  <c r="N378" i="3"/>
  <c r="L378" i="3" s="1"/>
  <c r="Q378" i="3"/>
  <c r="R378" i="3"/>
  <c r="S378" i="3"/>
  <c r="T378" i="3"/>
  <c r="U378" i="3"/>
  <c r="V378" i="3"/>
  <c r="W378" i="3"/>
  <c r="X378" i="3"/>
  <c r="Y378" i="3"/>
  <c r="Z378" i="3"/>
  <c r="AA378" i="3"/>
  <c r="AB378" i="3"/>
  <c r="AE378" i="3"/>
  <c r="AF378" i="3"/>
  <c r="AG378" i="3"/>
  <c r="A379" i="3"/>
  <c r="B379" i="3"/>
  <c r="D379" i="3" s="1"/>
  <c r="C379" i="3"/>
  <c r="E379" i="3"/>
  <c r="F379" i="3"/>
  <c r="AC379" i="3" s="1"/>
  <c r="G379" i="3"/>
  <c r="H379" i="3"/>
  <c r="I379" i="3"/>
  <c r="J379" i="3"/>
  <c r="K379" i="3"/>
  <c r="M379" i="3"/>
  <c r="N379" i="3"/>
  <c r="L379" i="3" s="1"/>
  <c r="Q379" i="3"/>
  <c r="R379" i="3"/>
  <c r="S379" i="3"/>
  <c r="T379" i="3"/>
  <c r="U379" i="3"/>
  <c r="V379" i="3"/>
  <c r="W379" i="3"/>
  <c r="X379" i="3"/>
  <c r="Y379" i="3"/>
  <c r="Z379" i="3"/>
  <c r="AA379" i="3"/>
  <c r="AB379" i="3"/>
  <c r="AE379" i="3"/>
  <c r="AF379" i="3"/>
  <c r="AG379" i="3"/>
  <c r="A380" i="3"/>
  <c r="B380" i="3"/>
  <c r="D380" i="3" s="1"/>
  <c r="C380" i="3"/>
  <c r="E380" i="3"/>
  <c r="F380" i="3"/>
  <c r="AC380" i="3" s="1"/>
  <c r="G380" i="3"/>
  <c r="H380" i="3"/>
  <c r="I380" i="3"/>
  <c r="J380" i="3"/>
  <c r="K380" i="3"/>
  <c r="M380" i="3"/>
  <c r="N380" i="3"/>
  <c r="L380" i="3" s="1"/>
  <c r="Q380" i="3"/>
  <c r="R380" i="3"/>
  <c r="S380" i="3"/>
  <c r="T380" i="3"/>
  <c r="U380" i="3"/>
  <c r="V380" i="3"/>
  <c r="W380" i="3"/>
  <c r="X380" i="3"/>
  <c r="Y380" i="3"/>
  <c r="Z380" i="3"/>
  <c r="AA380" i="3"/>
  <c r="AB380" i="3"/>
  <c r="AE380" i="3"/>
  <c r="AF380" i="3"/>
  <c r="AG380" i="3"/>
  <c r="A381" i="3"/>
  <c r="B381" i="3"/>
  <c r="D381" i="3" s="1"/>
  <c r="C381" i="3"/>
  <c r="E381" i="3"/>
  <c r="F381" i="3"/>
  <c r="AC381" i="3" s="1"/>
  <c r="G381" i="3"/>
  <c r="H381" i="3"/>
  <c r="I381" i="3"/>
  <c r="J381" i="3"/>
  <c r="K381" i="3"/>
  <c r="M381" i="3"/>
  <c r="N381" i="3"/>
  <c r="L381" i="3" s="1"/>
  <c r="Q381" i="3"/>
  <c r="R381" i="3"/>
  <c r="S381" i="3"/>
  <c r="T381" i="3"/>
  <c r="U381" i="3"/>
  <c r="V381" i="3"/>
  <c r="W381" i="3"/>
  <c r="X381" i="3"/>
  <c r="Y381" i="3"/>
  <c r="Z381" i="3"/>
  <c r="AA381" i="3"/>
  <c r="AB381" i="3"/>
  <c r="AE381" i="3"/>
  <c r="AF381" i="3"/>
  <c r="AG381" i="3"/>
  <c r="A382" i="3"/>
  <c r="B382" i="3"/>
  <c r="D382" i="3" s="1"/>
  <c r="C382" i="3"/>
  <c r="E382" i="3"/>
  <c r="F382" i="3"/>
  <c r="AC382" i="3" s="1"/>
  <c r="G382" i="3"/>
  <c r="H382" i="3"/>
  <c r="I382" i="3"/>
  <c r="J382" i="3"/>
  <c r="K382" i="3"/>
  <c r="M382" i="3"/>
  <c r="N382" i="3"/>
  <c r="L382" i="3" s="1"/>
  <c r="Q382" i="3"/>
  <c r="R382" i="3"/>
  <c r="S382" i="3"/>
  <c r="T382" i="3"/>
  <c r="U382" i="3"/>
  <c r="V382" i="3"/>
  <c r="W382" i="3"/>
  <c r="X382" i="3"/>
  <c r="Y382" i="3"/>
  <c r="Z382" i="3"/>
  <c r="AA382" i="3"/>
  <c r="AB382" i="3"/>
  <c r="AE382" i="3"/>
  <c r="AF382" i="3"/>
  <c r="AG382" i="3"/>
  <c r="A383" i="3"/>
  <c r="B383" i="3"/>
  <c r="D383" i="3" s="1"/>
  <c r="C383" i="3"/>
  <c r="E383" i="3"/>
  <c r="F383" i="3"/>
  <c r="AC383" i="3" s="1"/>
  <c r="G383" i="3"/>
  <c r="H383" i="3"/>
  <c r="I383" i="3"/>
  <c r="J383" i="3"/>
  <c r="K383" i="3"/>
  <c r="M383" i="3"/>
  <c r="N383" i="3"/>
  <c r="L383" i="3" s="1"/>
  <c r="Q383" i="3"/>
  <c r="R383" i="3"/>
  <c r="S383" i="3"/>
  <c r="T383" i="3"/>
  <c r="U383" i="3"/>
  <c r="V383" i="3"/>
  <c r="W383" i="3"/>
  <c r="X383" i="3"/>
  <c r="Y383" i="3"/>
  <c r="Z383" i="3"/>
  <c r="AA383" i="3"/>
  <c r="AB383" i="3"/>
  <c r="AE383" i="3"/>
  <c r="AF383" i="3"/>
  <c r="AG383" i="3"/>
  <c r="A384" i="3"/>
  <c r="B384" i="3"/>
  <c r="D384" i="3" s="1"/>
  <c r="C384" i="3"/>
  <c r="E384" i="3"/>
  <c r="F384" i="3"/>
  <c r="AC384" i="3" s="1"/>
  <c r="G384" i="3"/>
  <c r="H384" i="3"/>
  <c r="I384" i="3"/>
  <c r="J384" i="3"/>
  <c r="K384" i="3"/>
  <c r="M384" i="3"/>
  <c r="N384" i="3"/>
  <c r="L384" i="3" s="1"/>
  <c r="Q384" i="3"/>
  <c r="R384" i="3"/>
  <c r="S384" i="3"/>
  <c r="T384" i="3"/>
  <c r="U384" i="3"/>
  <c r="V384" i="3"/>
  <c r="W384" i="3"/>
  <c r="X384" i="3"/>
  <c r="Y384" i="3"/>
  <c r="Z384" i="3"/>
  <c r="AA384" i="3"/>
  <c r="AB384" i="3"/>
  <c r="AE384" i="3"/>
  <c r="AF384" i="3"/>
  <c r="AG384" i="3"/>
  <c r="A385" i="3"/>
  <c r="B385" i="3"/>
  <c r="D385" i="3" s="1"/>
  <c r="C385" i="3"/>
  <c r="E385" i="3"/>
  <c r="F385" i="3"/>
  <c r="AC385" i="3" s="1"/>
  <c r="G385" i="3"/>
  <c r="H385" i="3"/>
  <c r="I385" i="3"/>
  <c r="J385" i="3"/>
  <c r="K385" i="3"/>
  <c r="M385" i="3"/>
  <c r="N385" i="3"/>
  <c r="L385" i="3" s="1"/>
  <c r="Q385" i="3"/>
  <c r="R385" i="3"/>
  <c r="S385" i="3"/>
  <c r="T385" i="3"/>
  <c r="U385" i="3"/>
  <c r="V385" i="3"/>
  <c r="W385" i="3"/>
  <c r="X385" i="3"/>
  <c r="Y385" i="3"/>
  <c r="Z385" i="3"/>
  <c r="AA385" i="3"/>
  <c r="AB385" i="3"/>
  <c r="AE385" i="3"/>
  <c r="AF385" i="3"/>
  <c r="AG385" i="3"/>
  <c r="A386" i="3"/>
  <c r="B386" i="3"/>
  <c r="D386" i="3" s="1"/>
  <c r="C386" i="3"/>
  <c r="E386" i="3"/>
  <c r="F386" i="3"/>
  <c r="AC386" i="3" s="1"/>
  <c r="G386" i="3"/>
  <c r="H386" i="3"/>
  <c r="I386" i="3"/>
  <c r="J386" i="3"/>
  <c r="K386" i="3"/>
  <c r="M386" i="3"/>
  <c r="N386" i="3"/>
  <c r="L386" i="3" s="1"/>
  <c r="Q386" i="3"/>
  <c r="R386" i="3"/>
  <c r="S386" i="3"/>
  <c r="T386" i="3"/>
  <c r="U386" i="3"/>
  <c r="V386" i="3"/>
  <c r="W386" i="3"/>
  <c r="X386" i="3"/>
  <c r="Y386" i="3"/>
  <c r="Z386" i="3"/>
  <c r="AA386" i="3"/>
  <c r="AB386" i="3"/>
  <c r="AE386" i="3"/>
  <c r="AF386" i="3"/>
  <c r="AG386" i="3"/>
  <c r="A387" i="3"/>
  <c r="B387" i="3"/>
  <c r="D387" i="3" s="1"/>
  <c r="C387" i="3"/>
  <c r="E387" i="3"/>
  <c r="F387" i="3"/>
  <c r="AC387" i="3" s="1"/>
  <c r="G387" i="3"/>
  <c r="H387" i="3"/>
  <c r="I387" i="3"/>
  <c r="J387" i="3"/>
  <c r="K387" i="3"/>
  <c r="M387" i="3"/>
  <c r="N387" i="3"/>
  <c r="L387" i="3" s="1"/>
  <c r="Q387" i="3"/>
  <c r="R387" i="3"/>
  <c r="S387" i="3"/>
  <c r="T387" i="3"/>
  <c r="U387" i="3"/>
  <c r="V387" i="3"/>
  <c r="W387" i="3"/>
  <c r="X387" i="3"/>
  <c r="Y387" i="3"/>
  <c r="Z387" i="3"/>
  <c r="AA387" i="3"/>
  <c r="AB387" i="3"/>
  <c r="AE387" i="3"/>
  <c r="AF387" i="3"/>
  <c r="AG387" i="3"/>
  <c r="A388" i="3"/>
  <c r="B388" i="3"/>
  <c r="D388" i="3" s="1"/>
  <c r="C388" i="3"/>
  <c r="E388" i="3"/>
  <c r="F388" i="3"/>
  <c r="AC388" i="3" s="1"/>
  <c r="G388" i="3"/>
  <c r="H388" i="3"/>
  <c r="I388" i="3"/>
  <c r="J388" i="3"/>
  <c r="K388" i="3"/>
  <c r="M388" i="3"/>
  <c r="N388" i="3"/>
  <c r="L388" i="3" s="1"/>
  <c r="Q388" i="3"/>
  <c r="R388" i="3"/>
  <c r="S388" i="3"/>
  <c r="T388" i="3"/>
  <c r="U388" i="3"/>
  <c r="V388" i="3"/>
  <c r="W388" i="3"/>
  <c r="X388" i="3"/>
  <c r="Y388" i="3"/>
  <c r="Z388" i="3"/>
  <c r="AA388" i="3"/>
  <c r="AB388" i="3"/>
  <c r="AE388" i="3"/>
  <c r="AF388" i="3"/>
  <c r="AG388" i="3"/>
  <c r="A389" i="3"/>
  <c r="B389" i="3"/>
  <c r="D389" i="3" s="1"/>
  <c r="C389" i="3"/>
  <c r="E389" i="3"/>
  <c r="F389" i="3"/>
  <c r="AC389" i="3" s="1"/>
  <c r="G389" i="3"/>
  <c r="H389" i="3"/>
  <c r="I389" i="3"/>
  <c r="J389" i="3"/>
  <c r="K389" i="3"/>
  <c r="M389" i="3"/>
  <c r="N389" i="3"/>
  <c r="L389" i="3" s="1"/>
  <c r="Q389" i="3"/>
  <c r="R389" i="3"/>
  <c r="S389" i="3"/>
  <c r="T389" i="3"/>
  <c r="U389" i="3"/>
  <c r="V389" i="3"/>
  <c r="W389" i="3"/>
  <c r="X389" i="3"/>
  <c r="Y389" i="3"/>
  <c r="Z389" i="3"/>
  <c r="AA389" i="3"/>
  <c r="AB389" i="3"/>
  <c r="AE389" i="3"/>
  <c r="AF389" i="3"/>
  <c r="AG389" i="3"/>
  <c r="A390" i="3"/>
  <c r="B390" i="3"/>
  <c r="D390" i="3" s="1"/>
  <c r="C390" i="3"/>
  <c r="E390" i="3"/>
  <c r="F390" i="3"/>
  <c r="AC390" i="3" s="1"/>
  <c r="G390" i="3"/>
  <c r="H390" i="3"/>
  <c r="I390" i="3"/>
  <c r="J390" i="3"/>
  <c r="K390" i="3"/>
  <c r="M390" i="3"/>
  <c r="N390" i="3"/>
  <c r="L390" i="3" s="1"/>
  <c r="Q390" i="3"/>
  <c r="R390" i="3"/>
  <c r="S390" i="3"/>
  <c r="T390" i="3"/>
  <c r="U390" i="3"/>
  <c r="V390" i="3"/>
  <c r="W390" i="3"/>
  <c r="X390" i="3"/>
  <c r="Y390" i="3"/>
  <c r="Z390" i="3"/>
  <c r="AA390" i="3"/>
  <c r="AB390" i="3"/>
  <c r="AE390" i="3"/>
  <c r="AF390" i="3"/>
  <c r="AG390" i="3"/>
  <c r="A391" i="3"/>
  <c r="B391" i="3"/>
  <c r="D391" i="3" s="1"/>
  <c r="C391" i="3"/>
  <c r="E391" i="3"/>
  <c r="F391" i="3"/>
  <c r="AC391" i="3" s="1"/>
  <c r="G391" i="3"/>
  <c r="H391" i="3"/>
  <c r="I391" i="3"/>
  <c r="J391" i="3"/>
  <c r="K391" i="3"/>
  <c r="M391" i="3"/>
  <c r="N391" i="3"/>
  <c r="L391" i="3" s="1"/>
  <c r="Q391" i="3"/>
  <c r="R391" i="3"/>
  <c r="S391" i="3"/>
  <c r="T391" i="3"/>
  <c r="U391" i="3"/>
  <c r="V391" i="3"/>
  <c r="W391" i="3"/>
  <c r="X391" i="3"/>
  <c r="Y391" i="3"/>
  <c r="Z391" i="3"/>
  <c r="AA391" i="3"/>
  <c r="AB391" i="3"/>
  <c r="AE391" i="3"/>
  <c r="AF391" i="3"/>
  <c r="AG391" i="3"/>
  <c r="A392" i="3"/>
  <c r="B392" i="3"/>
  <c r="D392" i="3" s="1"/>
  <c r="C392" i="3"/>
  <c r="E392" i="3"/>
  <c r="F392" i="3"/>
  <c r="AC392" i="3" s="1"/>
  <c r="G392" i="3"/>
  <c r="H392" i="3"/>
  <c r="I392" i="3"/>
  <c r="J392" i="3"/>
  <c r="K392" i="3"/>
  <c r="M392" i="3"/>
  <c r="N392" i="3"/>
  <c r="L392" i="3" s="1"/>
  <c r="Q392" i="3"/>
  <c r="R392" i="3"/>
  <c r="S392" i="3"/>
  <c r="T392" i="3"/>
  <c r="U392" i="3"/>
  <c r="V392" i="3"/>
  <c r="W392" i="3"/>
  <c r="X392" i="3"/>
  <c r="Y392" i="3"/>
  <c r="Z392" i="3"/>
  <c r="AA392" i="3"/>
  <c r="AB392" i="3"/>
  <c r="AE392" i="3"/>
  <c r="AF392" i="3"/>
  <c r="AG392" i="3"/>
  <c r="A393" i="3"/>
  <c r="B393" i="3"/>
  <c r="D393" i="3" s="1"/>
  <c r="C393" i="3"/>
  <c r="E393" i="3"/>
  <c r="F393" i="3"/>
  <c r="AC393" i="3" s="1"/>
  <c r="G393" i="3"/>
  <c r="H393" i="3"/>
  <c r="I393" i="3"/>
  <c r="J393" i="3"/>
  <c r="K393" i="3"/>
  <c r="M393" i="3"/>
  <c r="N393" i="3"/>
  <c r="L393" i="3" s="1"/>
  <c r="Q393" i="3"/>
  <c r="R393" i="3"/>
  <c r="S393" i="3"/>
  <c r="T393" i="3"/>
  <c r="U393" i="3"/>
  <c r="V393" i="3"/>
  <c r="W393" i="3"/>
  <c r="X393" i="3"/>
  <c r="Y393" i="3"/>
  <c r="Z393" i="3"/>
  <c r="AA393" i="3"/>
  <c r="AB393" i="3"/>
  <c r="AE393" i="3"/>
  <c r="AF393" i="3"/>
  <c r="AG393" i="3"/>
  <c r="A394" i="3"/>
  <c r="B394" i="3"/>
  <c r="D394" i="3" s="1"/>
  <c r="C394" i="3"/>
  <c r="E394" i="3"/>
  <c r="F394" i="3"/>
  <c r="AC394" i="3" s="1"/>
  <c r="G394" i="3"/>
  <c r="H394" i="3"/>
  <c r="I394" i="3"/>
  <c r="J394" i="3"/>
  <c r="K394" i="3"/>
  <c r="M394" i="3"/>
  <c r="N394" i="3"/>
  <c r="L394" i="3" s="1"/>
  <c r="Q394" i="3"/>
  <c r="R394" i="3"/>
  <c r="S394" i="3"/>
  <c r="T394" i="3"/>
  <c r="U394" i="3"/>
  <c r="V394" i="3"/>
  <c r="W394" i="3"/>
  <c r="X394" i="3"/>
  <c r="Y394" i="3"/>
  <c r="Z394" i="3"/>
  <c r="AA394" i="3"/>
  <c r="AB394" i="3"/>
  <c r="AE394" i="3"/>
  <c r="AF394" i="3"/>
  <c r="AG394" i="3"/>
  <c r="A395" i="3"/>
  <c r="B395" i="3"/>
  <c r="D395" i="3" s="1"/>
  <c r="C395" i="3"/>
  <c r="E395" i="3"/>
  <c r="F395" i="3"/>
  <c r="AC395" i="3" s="1"/>
  <c r="G395" i="3"/>
  <c r="H395" i="3"/>
  <c r="I395" i="3"/>
  <c r="J395" i="3"/>
  <c r="K395" i="3"/>
  <c r="M395" i="3"/>
  <c r="N395" i="3"/>
  <c r="L395" i="3" s="1"/>
  <c r="Q395" i="3"/>
  <c r="R395" i="3"/>
  <c r="S395" i="3"/>
  <c r="T395" i="3"/>
  <c r="U395" i="3"/>
  <c r="V395" i="3"/>
  <c r="W395" i="3"/>
  <c r="X395" i="3"/>
  <c r="Y395" i="3"/>
  <c r="Z395" i="3"/>
  <c r="AA395" i="3"/>
  <c r="AB395" i="3"/>
  <c r="AE395" i="3"/>
  <c r="AF395" i="3"/>
  <c r="AG395" i="3"/>
  <c r="A396" i="3"/>
  <c r="B396" i="3"/>
  <c r="D396" i="3" s="1"/>
  <c r="C396" i="3"/>
  <c r="E396" i="3"/>
  <c r="F396" i="3"/>
  <c r="AC396" i="3" s="1"/>
  <c r="G396" i="3"/>
  <c r="H396" i="3"/>
  <c r="I396" i="3"/>
  <c r="J396" i="3"/>
  <c r="K396" i="3"/>
  <c r="M396" i="3"/>
  <c r="N396" i="3"/>
  <c r="L396" i="3" s="1"/>
  <c r="Q396" i="3"/>
  <c r="R396" i="3"/>
  <c r="S396" i="3"/>
  <c r="T396" i="3"/>
  <c r="U396" i="3"/>
  <c r="V396" i="3"/>
  <c r="W396" i="3"/>
  <c r="X396" i="3"/>
  <c r="Y396" i="3"/>
  <c r="Z396" i="3"/>
  <c r="AA396" i="3"/>
  <c r="AB396" i="3"/>
  <c r="AE396" i="3"/>
  <c r="AF396" i="3"/>
  <c r="AG396" i="3"/>
  <c r="A397" i="3"/>
  <c r="B397" i="3"/>
  <c r="D397" i="3" s="1"/>
  <c r="C397" i="3"/>
  <c r="E397" i="3"/>
  <c r="F397" i="3"/>
  <c r="AC397" i="3" s="1"/>
  <c r="G397" i="3"/>
  <c r="H397" i="3"/>
  <c r="I397" i="3"/>
  <c r="J397" i="3"/>
  <c r="K397" i="3"/>
  <c r="M397" i="3"/>
  <c r="N397" i="3"/>
  <c r="L397" i="3" s="1"/>
  <c r="Q397" i="3"/>
  <c r="R397" i="3"/>
  <c r="S397" i="3"/>
  <c r="T397" i="3"/>
  <c r="U397" i="3"/>
  <c r="V397" i="3"/>
  <c r="W397" i="3"/>
  <c r="X397" i="3"/>
  <c r="Y397" i="3"/>
  <c r="Z397" i="3"/>
  <c r="AA397" i="3"/>
  <c r="AB397" i="3"/>
  <c r="AE397" i="3"/>
  <c r="AF397" i="3"/>
  <c r="AG397" i="3"/>
  <c r="A398" i="3"/>
  <c r="B398" i="3"/>
  <c r="D398" i="3" s="1"/>
  <c r="C398" i="3"/>
  <c r="E398" i="3"/>
  <c r="F398" i="3"/>
  <c r="AC398" i="3" s="1"/>
  <c r="G398" i="3"/>
  <c r="H398" i="3"/>
  <c r="I398" i="3"/>
  <c r="J398" i="3"/>
  <c r="K398" i="3"/>
  <c r="M398" i="3"/>
  <c r="N398" i="3"/>
  <c r="L398" i="3" s="1"/>
  <c r="Q398" i="3"/>
  <c r="R398" i="3"/>
  <c r="S398" i="3"/>
  <c r="T398" i="3"/>
  <c r="U398" i="3"/>
  <c r="V398" i="3"/>
  <c r="W398" i="3"/>
  <c r="X398" i="3"/>
  <c r="Y398" i="3"/>
  <c r="Z398" i="3"/>
  <c r="AA398" i="3"/>
  <c r="AB398" i="3"/>
  <c r="AE398" i="3"/>
  <c r="AF398" i="3"/>
  <c r="AG398" i="3"/>
  <c r="A399" i="3"/>
  <c r="B399" i="3"/>
  <c r="D399" i="3" s="1"/>
  <c r="C399" i="3"/>
  <c r="E399" i="3"/>
  <c r="F399" i="3"/>
  <c r="AC399" i="3" s="1"/>
  <c r="G399" i="3"/>
  <c r="H399" i="3"/>
  <c r="I399" i="3"/>
  <c r="J399" i="3"/>
  <c r="K399" i="3"/>
  <c r="M399" i="3"/>
  <c r="N399" i="3"/>
  <c r="L399" i="3" s="1"/>
  <c r="Q399" i="3"/>
  <c r="R399" i="3"/>
  <c r="S399" i="3"/>
  <c r="T399" i="3"/>
  <c r="U399" i="3"/>
  <c r="V399" i="3"/>
  <c r="W399" i="3"/>
  <c r="X399" i="3"/>
  <c r="Y399" i="3"/>
  <c r="Z399" i="3"/>
  <c r="AA399" i="3"/>
  <c r="AB399" i="3"/>
  <c r="AE399" i="3"/>
  <c r="AF399" i="3"/>
  <c r="AG399" i="3"/>
  <c r="A400" i="3"/>
  <c r="B400" i="3"/>
  <c r="D400" i="3" s="1"/>
  <c r="C400" i="3"/>
  <c r="E400" i="3"/>
  <c r="F400" i="3"/>
  <c r="AC400" i="3" s="1"/>
  <c r="G400" i="3"/>
  <c r="H400" i="3"/>
  <c r="I400" i="3"/>
  <c r="J400" i="3"/>
  <c r="K400" i="3"/>
  <c r="M400" i="3"/>
  <c r="N400" i="3"/>
  <c r="L400" i="3" s="1"/>
  <c r="Q400" i="3"/>
  <c r="R400" i="3"/>
  <c r="S400" i="3"/>
  <c r="T400" i="3"/>
  <c r="U400" i="3"/>
  <c r="V400" i="3"/>
  <c r="W400" i="3"/>
  <c r="X400" i="3"/>
  <c r="Y400" i="3"/>
  <c r="Z400" i="3"/>
  <c r="AA400" i="3"/>
  <c r="AB400" i="3"/>
  <c r="AE400" i="3"/>
  <c r="AF400" i="3"/>
  <c r="AG400" i="3"/>
  <c r="A401" i="3"/>
  <c r="B401" i="3"/>
  <c r="D401" i="3" s="1"/>
  <c r="C401" i="3"/>
  <c r="E401" i="3"/>
  <c r="F401" i="3"/>
  <c r="AC401" i="3" s="1"/>
  <c r="G401" i="3"/>
  <c r="H401" i="3"/>
  <c r="I401" i="3"/>
  <c r="J401" i="3"/>
  <c r="K401" i="3"/>
  <c r="M401" i="3"/>
  <c r="N401" i="3"/>
  <c r="L401" i="3" s="1"/>
  <c r="Q401" i="3"/>
  <c r="R401" i="3"/>
  <c r="S401" i="3"/>
  <c r="T401" i="3"/>
  <c r="U401" i="3"/>
  <c r="V401" i="3"/>
  <c r="W401" i="3"/>
  <c r="X401" i="3"/>
  <c r="Y401" i="3"/>
  <c r="Z401" i="3"/>
  <c r="AA401" i="3"/>
  <c r="AB401" i="3"/>
  <c r="AE401" i="3"/>
  <c r="AF401" i="3"/>
  <c r="AG401" i="3"/>
  <c r="A402" i="3"/>
  <c r="B402" i="3"/>
  <c r="D402" i="3" s="1"/>
  <c r="C402" i="3"/>
  <c r="E402" i="3"/>
  <c r="F402" i="3"/>
  <c r="AC402" i="3" s="1"/>
  <c r="G402" i="3"/>
  <c r="H402" i="3"/>
  <c r="I402" i="3"/>
  <c r="J402" i="3"/>
  <c r="K402" i="3"/>
  <c r="M402" i="3"/>
  <c r="N402" i="3"/>
  <c r="L402" i="3" s="1"/>
  <c r="Q402" i="3"/>
  <c r="R402" i="3"/>
  <c r="S402" i="3"/>
  <c r="T402" i="3"/>
  <c r="U402" i="3"/>
  <c r="V402" i="3"/>
  <c r="W402" i="3"/>
  <c r="X402" i="3"/>
  <c r="Y402" i="3"/>
  <c r="Z402" i="3"/>
  <c r="AA402" i="3"/>
  <c r="AB402" i="3"/>
  <c r="AE402" i="3"/>
  <c r="AF402" i="3"/>
  <c r="AG402" i="3"/>
  <c r="A403" i="3"/>
  <c r="B403" i="3"/>
  <c r="D403" i="3" s="1"/>
  <c r="C403" i="3"/>
  <c r="E403" i="3"/>
  <c r="F403" i="3"/>
  <c r="AC403" i="3" s="1"/>
  <c r="G403" i="3"/>
  <c r="H403" i="3"/>
  <c r="I403" i="3"/>
  <c r="J403" i="3"/>
  <c r="K403" i="3"/>
  <c r="M403" i="3"/>
  <c r="N403" i="3"/>
  <c r="L403" i="3" s="1"/>
  <c r="Q403" i="3"/>
  <c r="R403" i="3"/>
  <c r="S403" i="3"/>
  <c r="T403" i="3"/>
  <c r="U403" i="3"/>
  <c r="V403" i="3"/>
  <c r="W403" i="3"/>
  <c r="X403" i="3"/>
  <c r="Y403" i="3"/>
  <c r="Z403" i="3"/>
  <c r="AA403" i="3"/>
  <c r="AB403" i="3"/>
  <c r="AE403" i="3"/>
  <c r="AF403" i="3"/>
  <c r="AG403" i="3"/>
  <c r="A404" i="3"/>
  <c r="B404" i="3"/>
  <c r="D404" i="3" s="1"/>
  <c r="C404" i="3"/>
  <c r="E404" i="3"/>
  <c r="F404" i="3"/>
  <c r="AC404" i="3" s="1"/>
  <c r="G404" i="3"/>
  <c r="H404" i="3"/>
  <c r="I404" i="3"/>
  <c r="J404" i="3"/>
  <c r="K404" i="3"/>
  <c r="M404" i="3"/>
  <c r="N404" i="3"/>
  <c r="L404" i="3" s="1"/>
  <c r="Q404" i="3"/>
  <c r="R404" i="3"/>
  <c r="S404" i="3"/>
  <c r="T404" i="3"/>
  <c r="U404" i="3"/>
  <c r="V404" i="3"/>
  <c r="W404" i="3"/>
  <c r="X404" i="3"/>
  <c r="Y404" i="3"/>
  <c r="Z404" i="3"/>
  <c r="AA404" i="3"/>
  <c r="AB404" i="3"/>
  <c r="AE404" i="3"/>
  <c r="AF404" i="3"/>
  <c r="AG404" i="3"/>
  <c r="A405" i="3"/>
  <c r="B405" i="3"/>
  <c r="D405" i="3" s="1"/>
  <c r="C405" i="3"/>
  <c r="E405" i="3"/>
  <c r="F405" i="3"/>
  <c r="AC405" i="3" s="1"/>
  <c r="G405" i="3"/>
  <c r="H405" i="3"/>
  <c r="I405" i="3"/>
  <c r="J405" i="3"/>
  <c r="K405" i="3"/>
  <c r="M405" i="3"/>
  <c r="N405" i="3"/>
  <c r="L405" i="3" s="1"/>
  <c r="Q405" i="3"/>
  <c r="R405" i="3"/>
  <c r="S405" i="3"/>
  <c r="T405" i="3"/>
  <c r="U405" i="3"/>
  <c r="V405" i="3"/>
  <c r="W405" i="3"/>
  <c r="X405" i="3"/>
  <c r="Y405" i="3"/>
  <c r="Z405" i="3"/>
  <c r="AA405" i="3"/>
  <c r="AB405" i="3"/>
  <c r="AE405" i="3"/>
  <c r="AF405" i="3"/>
  <c r="AG405" i="3"/>
  <c r="A406" i="3"/>
  <c r="B406" i="3"/>
  <c r="D406" i="3" s="1"/>
  <c r="C406" i="3"/>
  <c r="E406" i="3"/>
  <c r="F406" i="3"/>
  <c r="AC406" i="3" s="1"/>
  <c r="G406" i="3"/>
  <c r="H406" i="3"/>
  <c r="I406" i="3"/>
  <c r="J406" i="3"/>
  <c r="K406" i="3"/>
  <c r="M406" i="3"/>
  <c r="N406" i="3"/>
  <c r="L406" i="3" s="1"/>
  <c r="Q406" i="3"/>
  <c r="R406" i="3"/>
  <c r="S406" i="3"/>
  <c r="T406" i="3"/>
  <c r="U406" i="3"/>
  <c r="V406" i="3"/>
  <c r="W406" i="3"/>
  <c r="X406" i="3"/>
  <c r="Y406" i="3"/>
  <c r="Z406" i="3"/>
  <c r="AA406" i="3"/>
  <c r="AB406" i="3"/>
  <c r="AE406" i="3"/>
  <c r="AF406" i="3"/>
  <c r="AG406" i="3"/>
  <c r="A407" i="3"/>
  <c r="B407" i="3"/>
  <c r="D407" i="3" s="1"/>
  <c r="C407" i="3"/>
  <c r="E407" i="3"/>
  <c r="F407" i="3"/>
  <c r="AC407" i="3" s="1"/>
  <c r="G407" i="3"/>
  <c r="H407" i="3"/>
  <c r="I407" i="3"/>
  <c r="J407" i="3"/>
  <c r="K407" i="3"/>
  <c r="M407" i="3"/>
  <c r="N407" i="3"/>
  <c r="L407" i="3" s="1"/>
  <c r="Q407" i="3"/>
  <c r="R407" i="3"/>
  <c r="S407" i="3"/>
  <c r="T407" i="3"/>
  <c r="U407" i="3"/>
  <c r="V407" i="3"/>
  <c r="W407" i="3"/>
  <c r="X407" i="3"/>
  <c r="Y407" i="3"/>
  <c r="Z407" i="3"/>
  <c r="AA407" i="3"/>
  <c r="AB407" i="3"/>
  <c r="AE407" i="3"/>
  <c r="AF407" i="3"/>
  <c r="AG407" i="3"/>
  <c r="A408" i="3"/>
  <c r="B408" i="3"/>
  <c r="D408" i="3" s="1"/>
  <c r="C408" i="3"/>
  <c r="E408" i="3"/>
  <c r="F408" i="3"/>
  <c r="AC408" i="3" s="1"/>
  <c r="G408" i="3"/>
  <c r="H408" i="3"/>
  <c r="I408" i="3"/>
  <c r="J408" i="3"/>
  <c r="K408" i="3"/>
  <c r="M408" i="3"/>
  <c r="N408" i="3"/>
  <c r="L408" i="3" s="1"/>
  <c r="Q408" i="3"/>
  <c r="R408" i="3"/>
  <c r="S408" i="3"/>
  <c r="T408" i="3"/>
  <c r="U408" i="3"/>
  <c r="V408" i="3"/>
  <c r="W408" i="3"/>
  <c r="X408" i="3"/>
  <c r="Y408" i="3"/>
  <c r="Z408" i="3"/>
  <c r="AA408" i="3"/>
  <c r="AB408" i="3"/>
  <c r="AE408" i="3"/>
  <c r="AF408" i="3"/>
  <c r="AG408" i="3"/>
  <c r="A409" i="3"/>
  <c r="B409" i="3"/>
  <c r="D409" i="3" s="1"/>
  <c r="C409" i="3"/>
  <c r="E409" i="3"/>
  <c r="F409" i="3"/>
  <c r="AC409" i="3" s="1"/>
  <c r="G409" i="3"/>
  <c r="H409" i="3"/>
  <c r="I409" i="3"/>
  <c r="J409" i="3"/>
  <c r="K409" i="3"/>
  <c r="M409" i="3"/>
  <c r="N409" i="3"/>
  <c r="L409" i="3" s="1"/>
  <c r="Q409" i="3"/>
  <c r="R409" i="3"/>
  <c r="S409" i="3"/>
  <c r="T409" i="3"/>
  <c r="U409" i="3"/>
  <c r="V409" i="3"/>
  <c r="W409" i="3"/>
  <c r="X409" i="3"/>
  <c r="Y409" i="3"/>
  <c r="Z409" i="3"/>
  <c r="AA409" i="3"/>
  <c r="AB409" i="3"/>
  <c r="AE409" i="3"/>
  <c r="AF409" i="3"/>
  <c r="AG409" i="3"/>
  <c r="A410" i="3"/>
  <c r="B410" i="3"/>
  <c r="D410" i="3" s="1"/>
  <c r="C410" i="3"/>
  <c r="E410" i="3"/>
  <c r="F410" i="3"/>
  <c r="AC410" i="3" s="1"/>
  <c r="G410" i="3"/>
  <c r="H410" i="3"/>
  <c r="I410" i="3"/>
  <c r="J410" i="3"/>
  <c r="K410" i="3"/>
  <c r="M410" i="3"/>
  <c r="N410" i="3"/>
  <c r="L410" i="3" s="1"/>
  <c r="Q410" i="3"/>
  <c r="R410" i="3"/>
  <c r="S410" i="3"/>
  <c r="T410" i="3"/>
  <c r="U410" i="3"/>
  <c r="V410" i="3"/>
  <c r="W410" i="3"/>
  <c r="X410" i="3"/>
  <c r="Y410" i="3"/>
  <c r="Z410" i="3"/>
  <c r="AA410" i="3"/>
  <c r="AB410" i="3"/>
  <c r="AE410" i="3"/>
  <c r="AF410" i="3"/>
  <c r="AG410" i="3"/>
  <c r="A411" i="3"/>
  <c r="B411" i="3"/>
  <c r="D411" i="3" s="1"/>
  <c r="C411" i="3"/>
  <c r="E411" i="3"/>
  <c r="F411" i="3"/>
  <c r="AC411" i="3" s="1"/>
  <c r="G411" i="3"/>
  <c r="H411" i="3"/>
  <c r="I411" i="3"/>
  <c r="J411" i="3"/>
  <c r="K411" i="3"/>
  <c r="M411" i="3"/>
  <c r="N411" i="3"/>
  <c r="L411" i="3" s="1"/>
  <c r="Q411" i="3"/>
  <c r="R411" i="3"/>
  <c r="S411" i="3"/>
  <c r="T411" i="3"/>
  <c r="U411" i="3"/>
  <c r="V411" i="3"/>
  <c r="W411" i="3"/>
  <c r="X411" i="3"/>
  <c r="Y411" i="3"/>
  <c r="Z411" i="3"/>
  <c r="AA411" i="3"/>
  <c r="AB411" i="3"/>
  <c r="AE411" i="3"/>
  <c r="AF411" i="3"/>
  <c r="AG411" i="3"/>
  <c r="A412" i="3"/>
  <c r="B412" i="3"/>
  <c r="D412" i="3" s="1"/>
  <c r="C412" i="3"/>
  <c r="E412" i="3"/>
  <c r="F412" i="3"/>
  <c r="AC412" i="3" s="1"/>
  <c r="G412" i="3"/>
  <c r="H412" i="3"/>
  <c r="I412" i="3"/>
  <c r="J412" i="3"/>
  <c r="K412" i="3"/>
  <c r="M412" i="3"/>
  <c r="N412" i="3"/>
  <c r="L412" i="3" s="1"/>
  <c r="Q412" i="3"/>
  <c r="R412" i="3"/>
  <c r="S412" i="3"/>
  <c r="T412" i="3"/>
  <c r="U412" i="3"/>
  <c r="V412" i="3"/>
  <c r="W412" i="3"/>
  <c r="X412" i="3"/>
  <c r="Y412" i="3"/>
  <c r="Z412" i="3"/>
  <c r="AA412" i="3"/>
  <c r="AB412" i="3"/>
  <c r="AE412" i="3"/>
  <c r="AF412" i="3"/>
  <c r="AG412" i="3"/>
  <c r="A413" i="3"/>
  <c r="B413" i="3"/>
  <c r="D413" i="3" s="1"/>
  <c r="C413" i="3"/>
  <c r="E413" i="3"/>
  <c r="F413" i="3"/>
  <c r="AC413" i="3" s="1"/>
  <c r="G413" i="3"/>
  <c r="H413" i="3"/>
  <c r="I413" i="3"/>
  <c r="J413" i="3"/>
  <c r="K413" i="3"/>
  <c r="M413" i="3"/>
  <c r="N413" i="3"/>
  <c r="L413" i="3" s="1"/>
  <c r="Q413" i="3"/>
  <c r="R413" i="3"/>
  <c r="S413" i="3"/>
  <c r="T413" i="3"/>
  <c r="U413" i="3"/>
  <c r="V413" i="3"/>
  <c r="W413" i="3"/>
  <c r="X413" i="3"/>
  <c r="Y413" i="3"/>
  <c r="Z413" i="3"/>
  <c r="AA413" i="3"/>
  <c r="AB413" i="3"/>
  <c r="AE413" i="3"/>
  <c r="AF413" i="3"/>
  <c r="AG413" i="3"/>
  <c r="A414" i="3"/>
  <c r="B414" i="3"/>
  <c r="D414" i="3" s="1"/>
  <c r="C414" i="3"/>
  <c r="E414" i="3"/>
  <c r="F414" i="3"/>
  <c r="AC414" i="3" s="1"/>
  <c r="G414" i="3"/>
  <c r="H414" i="3"/>
  <c r="I414" i="3"/>
  <c r="J414" i="3"/>
  <c r="K414" i="3"/>
  <c r="M414" i="3"/>
  <c r="N414" i="3"/>
  <c r="L414" i="3" s="1"/>
  <c r="Q414" i="3"/>
  <c r="R414" i="3"/>
  <c r="S414" i="3"/>
  <c r="T414" i="3"/>
  <c r="U414" i="3"/>
  <c r="V414" i="3"/>
  <c r="W414" i="3"/>
  <c r="X414" i="3"/>
  <c r="Y414" i="3"/>
  <c r="Z414" i="3"/>
  <c r="AA414" i="3"/>
  <c r="AB414" i="3"/>
  <c r="AE414" i="3"/>
  <c r="AF414" i="3"/>
  <c r="AG414" i="3"/>
  <c r="A415" i="3"/>
  <c r="B415" i="3"/>
  <c r="D415" i="3" s="1"/>
  <c r="C415" i="3"/>
  <c r="E415" i="3"/>
  <c r="F415" i="3"/>
  <c r="AC415" i="3" s="1"/>
  <c r="G415" i="3"/>
  <c r="H415" i="3"/>
  <c r="I415" i="3"/>
  <c r="J415" i="3"/>
  <c r="K415" i="3"/>
  <c r="M415" i="3"/>
  <c r="N415" i="3"/>
  <c r="L415" i="3" s="1"/>
  <c r="Q415" i="3"/>
  <c r="R415" i="3"/>
  <c r="S415" i="3"/>
  <c r="T415" i="3"/>
  <c r="U415" i="3"/>
  <c r="V415" i="3"/>
  <c r="W415" i="3"/>
  <c r="X415" i="3"/>
  <c r="Y415" i="3"/>
  <c r="Z415" i="3"/>
  <c r="AA415" i="3"/>
  <c r="AB415" i="3"/>
  <c r="AE415" i="3"/>
  <c r="AF415" i="3"/>
  <c r="AG415" i="3"/>
  <c r="A416" i="3"/>
  <c r="B416" i="3"/>
  <c r="D416" i="3" s="1"/>
  <c r="C416" i="3"/>
  <c r="E416" i="3"/>
  <c r="F416" i="3"/>
  <c r="AC416" i="3" s="1"/>
  <c r="G416" i="3"/>
  <c r="H416" i="3"/>
  <c r="I416" i="3"/>
  <c r="J416" i="3"/>
  <c r="K416" i="3"/>
  <c r="M416" i="3"/>
  <c r="N416" i="3"/>
  <c r="L416" i="3" s="1"/>
  <c r="Q416" i="3"/>
  <c r="R416" i="3"/>
  <c r="S416" i="3"/>
  <c r="T416" i="3"/>
  <c r="U416" i="3"/>
  <c r="V416" i="3"/>
  <c r="W416" i="3"/>
  <c r="X416" i="3"/>
  <c r="Y416" i="3"/>
  <c r="Z416" i="3"/>
  <c r="AA416" i="3"/>
  <c r="AB416" i="3"/>
  <c r="AE416" i="3"/>
  <c r="AF416" i="3"/>
  <c r="AG416" i="3"/>
  <c r="A417" i="3"/>
  <c r="B417" i="3"/>
  <c r="D417" i="3" s="1"/>
  <c r="C417" i="3"/>
  <c r="E417" i="3"/>
  <c r="F417" i="3"/>
  <c r="AC417" i="3" s="1"/>
  <c r="G417" i="3"/>
  <c r="H417" i="3"/>
  <c r="I417" i="3"/>
  <c r="J417" i="3"/>
  <c r="K417" i="3"/>
  <c r="M417" i="3"/>
  <c r="N417" i="3"/>
  <c r="L417" i="3" s="1"/>
  <c r="Q417" i="3"/>
  <c r="R417" i="3"/>
  <c r="S417" i="3"/>
  <c r="T417" i="3"/>
  <c r="U417" i="3"/>
  <c r="V417" i="3"/>
  <c r="W417" i="3"/>
  <c r="X417" i="3"/>
  <c r="Y417" i="3"/>
  <c r="Z417" i="3"/>
  <c r="AA417" i="3"/>
  <c r="AB417" i="3"/>
  <c r="AE417" i="3"/>
  <c r="AF417" i="3"/>
  <c r="AG417" i="3"/>
  <c r="A418" i="3"/>
  <c r="B418" i="3"/>
  <c r="D418" i="3" s="1"/>
  <c r="C418" i="3"/>
  <c r="E418" i="3"/>
  <c r="F418" i="3"/>
  <c r="AC418" i="3" s="1"/>
  <c r="G418" i="3"/>
  <c r="H418" i="3"/>
  <c r="I418" i="3"/>
  <c r="J418" i="3"/>
  <c r="K418" i="3"/>
  <c r="M418" i="3"/>
  <c r="N418" i="3"/>
  <c r="L418" i="3" s="1"/>
  <c r="Q418" i="3"/>
  <c r="R418" i="3"/>
  <c r="S418" i="3"/>
  <c r="T418" i="3"/>
  <c r="U418" i="3"/>
  <c r="V418" i="3"/>
  <c r="W418" i="3"/>
  <c r="X418" i="3"/>
  <c r="Y418" i="3"/>
  <c r="Z418" i="3"/>
  <c r="AA418" i="3"/>
  <c r="AB418" i="3"/>
  <c r="AE418" i="3"/>
  <c r="AF418" i="3"/>
  <c r="AG418" i="3"/>
  <c r="A419" i="3"/>
  <c r="B419" i="3"/>
  <c r="D419" i="3" s="1"/>
  <c r="C419" i="3"/>
  <c r="E419" i="3"/>
  <c r="F419" i="3"/>
  <c r="AC419" i="3" s="1"/>
  <c r="G419" i="3"/>
  <c r="H419" i="3"/>
  <c r="I419" i="3"/>
  <c r="J419" i="3"/>
  <c r="K419" i="3"/>
  <c r="M419" i="3"/>
  <c r="N419" i="3"/>
  <c r="L419" i="3" s="1"/>
  <c r="Q419" i="3"/>
  <c r="R419" i="3"/>
  <c r="S419" i="3"/>
  <c r="T419" i="3"/>
  <c r="U419" i="3"/>
  <c r="V419" i="3"/>
  <c r="W419" i="3"/>
  <c r="X419" i="3"/>
  <c r="Y419" i="3"/>
  <c r="Z419" i="3"/>
  <c r="AA419" i="3"/>
  <c r="AB419" i="3"/>
  <c r="AE419" i="3"/>
  <c r="AF419" i="3"/>
  <c r="AG419" i="3"/>
  <c r="A420" i="3"/>
  <c r="B420" i="3"/>
  <c r="D420" i="3" s="1"/>
  <c r="C420" i="3"/>
  <c r="E420" i="3"/>
  <c r="F420" i="3"/>
  <c r="AC420" i="3" s="1"/>
  <c r="G420" i="3"/>
  <c r="H420" i="3"/>
  <c r="I420" i="3"/>
  <c r="J420" i="3"/>
  <c r="K420" i="3"/>
  <c r="M420" i="3"/>
  <c r="N420" i="3"/>
  <c r="L420" i="3" s="1"/>
  <c r="Q420" i="3"/>
  <c r="R420" i="3"/>
  <c r="S420" i="3"/>
  <c r="T420" i="3"/>
  <c r="U420" i="3"/>
  <c r="V420" i="3"/>
  <c r="W420" i="3"/>
  <c r="X420" i="3"/>
  <c r="Y420" i="3"/>
  <c r="Z420" i="3"/>
  <c r="AA420" i="3"/>
  <c r="AB420" i="3"/>
  <c r="AE420" i="3"/>
  <c r="AF420" i="3"/>
  <c r="AG420" i="3"/>
  <c r="A421" i="3"/>
  <c r="B421" i="3"/>
  <c r="D421" i="3" s="1"/>
  <c r="C421" i="3"/>
  <c r="E421" i="3"/>
  <c r="F421" i="3"/>
  <c r="AC421" i="3" s="1"/>
  <c r="G421" i="3"/>
  <c r="H421" i="3"/>
  <c r="I421" i="3"/>
  <c r="J421" i="3"/>
  <c r="K421" i="3"/>
  <c r="M421" i="3"/>
  <c r="N421" i="3"/>
  <c r="L421" i="3" s="1"/>
  <c r="Q421" i="3"/>
  <c r="R421" i="3"/>
  <c r="S421" i="3"/>
  <c r="T421" i="3"/>
  <c r="U421" i="3"/>
  <c r="V421" i="3"/>
  <c r="W421" i="3"/>
  <c r="X421" i="3"/>
  <c r="Y421" i="3"/>
  <c r="Z421" i="3"/>
  <c r="AA421" i="3"/>
  <c r="AB421" i="3"/>
  <c r="AE421" i="3"/>
  <c r="AF421" i="3"/>
  <c r="AG421" i="3"/>
  <c r="A422" i="3"/>
  <c r="B422" i="3"/>
  <c r="D422" i="3" s="1"/>
  <c r="C422" i="3"/>
  <c r="E422" i="3"/>
  <c r="F422" i="3"/>
  <c r="AC422" i="3" s="1"/>
  <c r="G422" i="3"/>
  <c r="H422" i="3"/>
  <c r="I422" i="3"/>
  <c r="J422" i="3"/>
  <c r="K422" i="3"/>
  <c r="M422" i="3"/>
  <c r="N422" i="3"/>
  <c r="L422" i="3" s="1"/>
  <c r="Q422" i="3"/>
  <c r="R422" i="3"/>
  <c r="S422" i="3"/>
  <c r="T422" i="3"/>
  <c r="U422" i="3"/>
  <c r="V422" i="3"/>
  <c r="W422" i="3"/>
  <c r="X422" i="3"/>
  <c r="Y422" i="3"/>
  <c r="Z422" i="3"/>
  <c r="AA422" i="3"/>
  <c r="AB422" i="3"/>
  <c r="AE422" i="3"/>
  <c r="AF422" i="3"/>
  <c r="AG422" i="3"/>
  <c r="A423" i="3"/>
  <c r="B423" i="3"/>
  <c r="D423" i="3" s="1"/>
  <c r="C423" i="3"/>
  <c r="E423" i="3"/>
  <c r="F423" i="3"/>
  <c r="AC423" i="3" s="1"/>
  <c r="G423" i="3"/>
  <c r="H423" i="3"/>
  <c r="I423" i="3"/>
  <c r="J423" i="3"/>
  <c r="K423" i="3"/>
  <c r="M423" i="3"/>
  <c r="N423" i="3"/>
  <c r="L423" i="3" s="1"/>
  <c r="Q423" i="3"/>
  <c r="R423" i="3"/>
  <c r="S423" i="3"/>
  <c r="T423" i="3"/>
  <c r="U423" i="3"/>
  <c r="V423" i="3"/>
  <c r="W423" i="3"/>
  <c r="X423" i="3"/>
  <c r="Y423" i="3"/>
  <c r="Z423" i="3"/>
  <c r="AA423" i="3"/>
  <c r="AB423" i="3"/>
  <c r="AE423" i="3"/>
  <c r="AF423" i="3"/>
  <c r="AG423" i="3"/>
  <c r="A424" i="3"/>
  <c r="B424" i="3"/>
  <c r="D424" i="3" s="1"/>
  <c r="C424" i="3"/>
  <c r="E424" i="3"/>
  <c r="F424" i="3"/>
  <c r="AC424" i="3" s="1"/>
  <c r="G424" i="3"/>
  <c r="H424" i="3"/>
  <c r="I424" i="3"/>
  <c r="J424" i="3"/>
  <c r="K424" i="3"/>
  <c r="M424" i="3"/>
  <c r="N424" i="3"/>
  <c r="L424" i="3" s="1"/>
  <c r="Q424" i="3"/>
  <c r="R424" i="3"/>
  <c r="S424" i="3"/>
  <c r="T424" i="3"/>
  <c r="U424" i="3"/>
  <c r="V424" i="3"/>
  <c r="W424" i="3"/>
  <c r="X424" i="3"/>
  <c r="Y424" i="3"/>
  <c r="Z424" i="3"/>
  <c r="AA424" i="3"/>
  <c r="AB424" i="3"/>
  <c r="AE424" i="3"/>
  <c r="AF424" i="3"/>
  <c r="AG424" i="3"/>
  <c r="A425" i="3"/>
  <c r="B425" i="3"/>
  <c r="D425" i="3" s="1"/>
  <c r="C425" i="3"/>
  <c r="E425" i="3"/>
  <c r="F425" i="3"/>
  <c r="AC425" i="3" s="1"/>
  <c r="G425" i="3"/>
  <c r="H425" i="3"/>
  <c r="I425" i="3"/>
  <c r="J425" i="3"/>
  <c r="K425" i="3"/>
  <c r="M425" i="3"/>
  <c r="N425" i="3"/>
  <c r="L425" i="3" s="1"/>
  <c r="Q425" i="3"/>
  <c r="R425" i="3"/>
  <c r="S425" i="3"/>
  <c r="T425" i="3"/>
  <c r="U425" i="3"/>
  <c r="V425" i="3"/>
  <c r="W425" i="3"/>
  <c r="X425" i="3"/>
  <c r="Y425" i="3"/>
  <c r="Z425" i="3"/>
  <c r="AA425" i="3"/>
  <c r="AB425" i="3"/>
  <c r="AE425" i="3"/>
  <c r="AF425" i="3"/>
  <c r="AG425" i="3"/>
  <c r="A426" i="3"/>
  <c r="B426" i="3"/>
  <c r="D426" i="3" s="1"/>
  <c r="C426" i="3"/>
  <c r="E426" i="3"/>
  <c r="F426" i="3"/>
  <c r="AC426" i="3" s="1"/>
  <c r="G426" i="3"/>
  <c r="H426" i="3"/>
  <c r="I426" i="3"/>
  <c r="J426" i="3"/>
  <c r="K426" i="3"/>
  <c r="M426" i="3"/>
  <c r="N426" i="3"/>
  <c r="L426" i="3" s="1"/>
  <c r="Q426" i="3"/>
  <c r="R426" i="3"/>
  <c r="S426" i="3"/>
  <c r="T426" i="3"/>
  <c r="U426" i="3"/>
  <c r="V426" i="3"/>
  <c r="W426" i="3"/>
  <c r="X426" i="3"/>
  <c r="Y426" i="3"/>
  <c r="Z426" i="3"/>
  <c r="AA426" i="3"/>
  <c r="AB426" i="3"/>
  <c r="AE426" i="3"/>
  <c r="AF426" i="3"/>
  <c r="AG426" i="3"/>
  <c r="A427" i="3"/>
  <c r="B427" i="3"/>
  <c r="D427" i="3" s="1"/>
  <c r="C427" i="3"/>
  <c r="E427" i="3"/>
  <c r="F427" i="3"/>
  <c r="AC427" i="3" s="1"/>
  <c r="G427" i="3"/>
  <c r="H427" i="3"/>
  <c r="I427" i="3"/>
  <c r="J427" i="3"/>
  <c r="K427" i="3"/>
  <c r="M427" i="3"/>
  <c r="N427" i="3"/>
  <c r="L427" i="3" s="1"/>
  <c r="Q427" i="3"/>
  <c r="R427" i="3"/>
  <c r="S427" i="3"/>
  <c r="T427" i="3"/>
  <c r="U427" i="3"/>
  <c r="V427" i="3"/>
  <c r="W427" i="3"/>
  <c r="X427" i="3"/>
  <c r="Y427" i="3"/>
  <c r="Z427" i="3"/>
  <c r="AA427" i="3"/>
  <c r="AB427" i="3"/>
  <c r="AE427" i="3"/>
  <c r="AF427" i="3"/>
  <c r="AG427" i="3"/>
  <c r="A428" i="3"/>
  <c r="B428" i="3"/>
  <c r="D428" i="3" s="1"/>
  <c r="C428" i="3"/>
  <c r="E428" i="3"/>
  <c r="F428" i="3"/>
  <c r="AC428" i="3" s="1"/>
  <c r="G428" i="3"/>
  <c r="H428" i="3"/>
  <c r="I428" i="3"/>
  <c r="J428" i="3"/>
  <c r="K428" i="3"/>
  <c r="M428" i="3"/>
  <c r="N428" i="3"/>
  <c r="L428" i="3" s="1"/>
  <c r="Q428" i="3"/>
  <c r="R428" i="3"/>
  <c r="S428" i="3"/>
  <c r="T428" i="3"/>
  <c r="U428" i="3"/>
  <c r="V428" i="3"/>
  <c r="W428" i="3"/>
  <c r="X428" i="3"/>
  <c r="Y428" i="3"/>
  <c r="Z428" i="3"/>
  <c r="AA428" i="3"/>
  <c r="AB428" i="3"/>
  <c r="AE428" i="3"/>
  <c r="AF428" i="3"/>
  <c r="AG428" i="3"/>
  <c r="A429" i="3"/>
  <c r="B429" i="3"/>
  <c r="D429" i="3" s="1"/>
  <c r="C429" i="3"/>
  <c r="E429" i="3"/>
  <c r="F429" i="3"/>
  <c r="AC429" i="3" s="1"/>
  <c r="G429" i="3"/>
  <c r="H429" i="3"/>
  <c r="I429" i="3"/>
  <c r="J429" i="3"/>
  <c r="K429" i="3"/>
  <c r="M429" i="3"/>
  <c r="N429" i="3"/>
  <c r="L429" i="3" s="1"/>
  <c r="Q429" i="3"/>
  <c r="R429" i="3"/>
  <c r="S429" i="3"/>
  <c r="T429" i="3"/>
  <c r="U429" i="3"/>
  <c r="V429" i="3"/>
  <c r="W429" i="3"/>
  <c r="X429" i="3"/>
  <c r="Y429" i="3"/>
  <c r="Z429" i="3"/>
  <c r="AA429" i="3"/>
  <c r="AB429" i="3"/>
  <c r="AE429" i="3"/>
  <c r="AF429" i="3"/>
  <c r="AG429" i="3"/>
  <c r="A430" i="3"/>
  <c r="B430" i="3"/>
  <c r="D430" i="3" s="1"/>
  <c r="C430" i="3"/>
  <c r="E430" i="3"/>
  <c r="F430" i="3"/>
  <c r="AC430" i="3" s="1"/>
  <c r="G430" i="3"/>
  <c r="H430" i="3"/>
  <c r="I430" i="3"/>
  <c r="J430" i="3"/>
  <c r="K430" i="3"/>
  <c r="M430" i="3"/>
  <c r="N430" i="3"/>
  <c r="L430" i="3" s="1"/>
  <c r="Q430" i="3"/>
  <c r="R430" i="3"/>
  <c r="S430" i="3"/>
  <c r="T430" i="3"/>
  <c r="U430" i="3"/>
  <c r="V430" i="3"/>
  <c r="W430" i="3"/>
  <c r="X430" i="3"/>
  <c r="Y430" i="3"/>
  <c r="Z430" i="3"/>
  <c r="AA430" i="3"/>
  <c r="AB430" i="3"/>
  <c r="AE430" i="3"/>
  <c r="AF430" i="3"/>
  <c r="AG430" i="3"/>
  <c r="A431" i="3"/>
  <c r="B431" i="3"/>
  <c r="D431" i="3" s="1"/>
  <c r="C431" i="3"/>
  <c r="E431" i="3"/>
  <c r="F431" i="3"/>
  <c r="AC431" i="3" s="1"/>
  <c r="G431" i="3"/>
  <c r="H431" i="3"/>
  <c r="I431" i="3"/>
  <c r="J431" i="3"/>
  <c r="K431" i="3"/>
  <c r="M431" i="3"/>
  <c r="N431" i="3"/>
  <c r="L431" i="3" s="1"/>
  <c r="Q431" i="3"/>
  <c r="R431" i="3"/>
  <c r="S431" i="3"/>
  <c r="T431" i="3"/>
  <c r="U431" i="3"/>
  <c r="V431" i="3"/>
  <c r="W431" i="3"/>
  <c r="X431" i="3"/>
  <c r="Y431" i="3"/>
  <c r="Z431" i="3"/>
  <c r="AA431" i="3"/>
  <c r="AB431" i="3"/>
  <c r="AE431" i="3"/>
  <c r="AF431" i="3"/>
  <c r="AG431" i="3"/>
  <c r="A432" i="3"/>
  <c r="B432" i="3"/>
  <c r="D432" i="3" s="1"/>
  <c r="C432" i="3"/>
  <c r="E432" i="3"/>
  <c r="F432" i="3"/>
  <c r="AC432" i="3" s="1"/>
  <c r="G432" i="3"/>
  <c r="H432" i="3"/>
  <c r="I432" i="3"/>
  <c r="J432" i="3"/>
  <c r="K432" i="3"/>
  <c r="M432" i="3"/>
  <c r="N432" i="3"/>
  <c r="L432" i="3" s="1"/>
  <c r="Q432" i="3"/>
  <c r="R432" i="3"/>
  <c r="S432" i="3"/>
  <c r="T432" i="3"/>
  <c r="U432" i="3"/>
  <c r="V432" i="3"/>
  <c r="W432" i="3"/>
  <c r="X432" i="3"/>
  <c r="Y432" i="3"/>
  <c r="Z432" i="3"/>
  <c r="AA432" i="3"/>
  <c r="AB432" i="3"/>
  <c r="AE432" i="3"/>
  <c r="AF432" i="3"/>
  <c r="AG432" i="3"/>
  <c r="A433" i="3"/>
  <c r="B433" i="3"/>
  <c r="D433" i="3" s="1"/>
  <c r="C433" i="3"/>
  <c r="E433" i="3"/>
  <c r="F433" i="3"/>
  <c r="AC433" i="3" s="1"/>
  <c r="G433" i="3"/>
  <c r="H433" i="3"/>
  <c r="I433" i="3"/>
  <c r="J433" i="3"/>
  <c r="K433" i="3"/>
  <c r="M433" i="3"/>
  <c r="N433" i="3"/>
  <c r="L433" i="3" s="1"/>
  <c r="Q433" i="3"/>
  <c r="R433" i="3"/>
  <c r="S433" i="3"/>
  <c r="T433" i="3"/>
  <c r="U433" i="3"/>
  <c r="V433" i="3"/>
  <c r="W433" i="3"/>
  <c r="X433" i="3"/>
  <c r="Y433" i="3"/>
  <c r="Z433" i="3"/>
  <c r="AA433" i="3"/>
  <c r="AB433" i="3"/>
  <c r="AE433" i="3"/>
  <c r="AF433" i="3"/>
  <c r="AG433" i="3"/>
  <c r="A434" i="3"/>
  <c r="B434" i="3"/>
  <c r="D434" i="3" s="1"/>
  <c r="C434" i="3"/>
  <c r="E434" i="3"/>
  <c r="F434" i="3"/>
  <c r="AC434" i="3" s="1"/>
  <c r="G434" i="3"/>
  <c r="H434" i="3"/>
  <c r="I434" i="3"/>
  <c r="J434" i="3"/>
  <c r="K434" i="3"/>
  <c r="M434" i="3"/>
  <c r="N434" i="3"/>
  <c r="L434" i="3" s="1"/>
  <c r="Q434" i="3"/>
  <c r="R434" i="3"/>
  <c r="S434" i="3"/>
  <c r="T434" i="3"/>
  <c r="U434" i="3"/>
  <c r="V434" i="3"/>
  <c r="W434" i="3"/>
  <c r="X434" i="3"/>
  <c r="Y434" i="3"/>
  <c r="Z434" i="3"/>
  <c r="AA434" i="3"/>
  <c r="AB434" i="3"/>
  <c r="AE434" i="3"/>
  <c r="AF434" i="3"/>
  <c r="AG434" i="3"/>
  <c r="A435" i="3"/>
  <c r="B435" i="3"/>
  <c r="D435" i="3" s="1"/>
  <c r="C435" i="3"/>
  <c r="E435" i="3"/>
  <c r="F435" i="3"/>
  <c r="AC435" i="3" s="1"/>
  <c r="G435" i="3"/>
  <c r="H435" i="3"/>
  <c r="I435" i="3"/>
  <c r="J435" i="3"/>
  <c r="K435" i="3"/>
  <c r="M435" i="3"/>
  <c r="N435" i="3"/>
  <c r="L435" i="3" s="1"/>
  <c r="Q435" i="3"/>
  <c r="R435" i="3"/>
  <c r="S435" i="3"/>
  <c r="T435" i="3"/>
  <c r="U435" i="3"/>
  <c r="V435" i="3"/>
  <c r="W435" i="3"/>
  <c r="X435" i="3"/>
  <c r="Y435" i="3"/>
  <c r="Z435" i="3"/>
  <c r="AA435" i="3"/>
  <c r="AB435" i="3"/>
  <c r="AE435" i="3"/>
  <c r="AF435" i="3"/>
  <c r="AG435" i="3"/>
  <c r="A436" i="3"/>
  <c r="B436" i="3"/>
  <c r="D436" i="3" s="1"/>
  <c r="C436" i="3"/>
  <c r="E436" i="3"/>
  <c r="F436" i="3"/>
  <c r="AC436" i="3" s="1"/>
  <c r="G436" i="3"/>
  <c r="H436" i="3"/>
  <c r="I436" i="3"/>
  <c r="J436" i="3"/>
  <c r="K436" i="3"/>
  <c r="M436" i="3"/>
  <c r="N436" i="3"/>
  <c r="L436" i="3" s="1"/>
  <c r="Q436" i="3"/>
  <c r="R436" i="3"/>
  <c r="S436" i="3"/>
  <c r="T436" i="3"/>
  <c r="U436" i="3"/>
  <c r="V436" i="3"/>
  <c r="W436" i="3"/>
  <c r="X436" i="3"/>
  <c r="Y436" i="3"/>
  <c r="Z436" i="3"/>
  <c r="AA436" i="3"/>
  <c r="AB436" i="3"/>
  <c r="AE436" i="3"/>
  <c r="AF436" i="3"/>
  <c r="AG436" i="3"/>
  <c r="A437" i="3"/>
  <c r="B437" i="3"/>
  <c r="D437" i="3" s="1"/>
  <c r="C437" i="3"/>
  <c r="E437" i="3"/>
  <c r="F437" i="3"/>
  <c r="AC437" i="3" s="1"/>
  <c r="G437" i="3"/>
  <c r="H437" i="3"/>
  <c r="I437" i="3"/>
  <c r="J437" i="3"/>
  <c r="K437" i="3"/>
  <c r="M437" i="3"/>
  <c r="N437" i="3"/>
  <c r="L437" i="3" s="1"/>
  <c r="Q437" i="3"/>
  <c r="R437" i="3"/>
  <c r="S437" i="3"/>
  <c r="T437" i="3"/>
  <c r="U437" i="3"/>
  <c r="V437" i="3"/>
  <c r="W437" i="3"/>
  <c r="X437" i="3"/>
  <c r="Y437" i="3"/>
  <c r="Z437" i="3"/>
  <c r="AA437" i="3"/>
  <c r="AB437" i="3"/>
  <c r="AE437" i="3"/>
  <c r="AF437" i="3"/>
  <c r="AG437" i="3"/>
  <c r="A438" i="3"/>
  <c r="B438" i="3"/>
  <c r="D438" i="3" s="1"/>
  <c r="C438" i="3"/>
  <c r="E438" i="3"/>
  <c r="F438" i="3"/>
  <c r="AC438" i="3" s="1"/>
  <c r="G438" i="3"/>
  <c r="H438" i="3"/>
  <c r="I438" i="3"/>
  <c r="J438" i="3"/>
  <c r="K438" i="3"/>
  <c r="M438" i="3"/>
  <c r="N438" i="3"/>
  <c r="L438" i="3" s="1"/>
  <c r="Q438" i="3"/>
  <c r="R438" i="3"/>
  <c r="S438" i="3"/>
  <c r="T438" i="3"/>
  <c r="U438" i="3"/>
  <c r="V438" i="3"/>
  <c r="W438" i="3"/>
  <c r="X438" i="3"/>
  <c r="Y438" i="3"/>
  <c r="Z438" i="3"/>
  <c r="AA438" i="3"/>
  <c r="AB438" i="3"/>
  <c r="AE438" i="3"/>
  <c r="AF438" i="3"/>
  <c r="AG438" i="3"/>
  <c r="A439" i="3"/>
  <c r="B439" i="3"/>
  <c r="D439" i="3" s="1"/>
  <c r="C439" i="3"/>
  <c r="E439" i="3"/>
  <c r="F439" i="3"/>
  <c r="AC439" i="3" s="1"/>
  <c r="G439" i="3"/>
  <c r="H439" i="3"/>
  <c r="I439" i="3"/>
  <c r="J439" i="3"/>
  <c r="K439" i="3"/>
  <c r="M439" i="3"/>
  <c r="N439" i="3"/>
  <c r="L439" i="3" s="1"/>
  <c r="Q439" i="3"/>
  <c r="R439" i="3"/>
  <c r="S439" i="3"/>
  <c r="T439" i="3"/>
  <c r="U439" i="3"/>
  <c r="V439" i="3"/>
  <c r="W439" i="3"/>
  <c r="X439" i="3"/>
  <c r="Y439" i="3"/>
  <c r="Z439" i="3"/>
  <c r="AA439" i="3"/>
  <c r="AB439" i="3"/>
  <c r="AE439" i="3"/>
  <c r="AF439" i="3"/>
  <c r="AG439" i="3"/>
  <c r="A440" i="3"/>
  <c r="B440" i="3"/>
  <c r="D440" i="3" s="1"/>
  <c r="C440" i="3"/>
  <c r="E440" i="3"/>
  <c r="F440" i="3"/>
  <c r="AC440" i="3" s="1"/>
  <c r="G440" i="3"/>
  <c r="H440" i="3"/>
  <c r="I440" i="3"/>
  <c r="J440" i="3"/>
  <c r="K440" i="3"/>
  <c r="M440" i="3"/>
  <c r="N440" i="3"/>
  <c r="L440" i="3" s="1"/>
  <c r="Q440" i="3"/>
  <c r="R440" i="3"/>
  <c r="S440" i="3"/>
  <c r="T440" i="3"/>
  <c r="U440" i="3"/>
  <c r="V440" i="3"/>
  <c r="W440" i="3"/>
  <c r="X440" i="3"/>
  <c r="Y440" i="3"/>
  <c r="Z440" i="3"/>
  <c r="AA440" i="3"/>
  <c r="AB440" i="3"/>
  <c r="AE440" i="3"/>
  <c r="AF440" i="3"/>
  <c r="AG440" i="3"/>
  <c r="A441" i="3"/>
  <c r="B441" i="3"/>
  <c r="D441" i="3" s="1"/>
  <c r="C441" i="3"/>
  <c r="E441" i="3"/>
  <c r="F441" i="3"/>
  <c r="AC441" i="3" s="1"/>
  <c r="G441" i="3"/>
  <c r="H441" i="3"/>
  <c r="I441" i="3"/>
  <c r="J441" i="3"/>
  <c r="K441" i="3"/>
  <c r="M441" i="3"/>
  <c r="N441" i="3"/>
  <c r="L441" i="3" s="1"/>
  <c r="Q441" i="3"/>
  <c r="R441" i="3"/>
  <c r="S441" i="3"/>
  <c r="T441" i="3"/>
  <c r="U441" i="3"/>
  <c r="V441" i="3"/>
  <c r="W441" i="3"/>
  <c r="X441" i="3"/>
  <c r="Y441" i="3"/>
  <c r="Z441" i="3"/>
  <c r="AA441" i="3"/>
  <c r="AB441" i="3"/>
  <c r="AE441" i="3"/>
  <c r="AF441" i="3"/>
  <c r="AG441" i="3"/>
  <c r="A442" i="3"/>
  <c r="B442" i="3"/>
  <c r="D442" i="3" s="1"/>
  <c r="C442" i="3"/>
  <c r="E442" i="3"/>
  <c r="F442" i="3"/>
  <c r="AC442" i="3" s="1"/>
  <c r="G442" i="3"/>
  <c r="H442" i="3"/>
  <c r="I442" i="3"/>
  <c r="J442" i="3"/>
  <c r="K442" i="3"/>
  <c r="M442" i="3"/>
  <c r="N442" i="3"/>
  <c r="L442" i="3" s="1"/>
  <c r="Q442" i="3"/>
  <c r="R442" i="3"/>
  <c r="S442" i="3"/>
  <c r="T442" i="3"/>
  <c r="U442" i="3"/>
  <c r="V442" i="3"/>
  <c r="W442" i="3"/>
  <c r="X442" i="3"/>
  <c r="Y442" i="3"/>
  <c r="Z442" i="3"/>
  <c r="AA442" i="3"/>
  <c r="AB442" i="3"/>
  <c r="AE442" i="3"/>
  <c r="AF442" i="3"/>
  <c r="AG442" i="3"/>
  <c r="A443" i="3"/>
  <c r="B443" i="3"/>
  <c r="D443" i="3" s="1"/>
  <c r="C443" i="3"/>
  <c r="E443" i="3"/>
  <c r="F443" i="3"/>
  <c r="AC443" i="3" s="1"/>
  <c r="G443" i="3"/>
  <c r="H443" i="3"/>
  <c r="I443" i="3"/>
  <c r="J443" i="3"/>
  <c r="K443" i="3"/>
  <c r="M443" i="3"/>
  <c r="N443" i="3"/>
  <c r="L443" i="3" s="1"/>
  <c r="Q443" i="3"/>
  <c r="R443" i="3"/>
  <c r="S443" i="3"/>
  <c r="T443" i="3"/>
  <c r="U443" i="3"/>
  <c r="V443" i="3"/>
  <c r="W443" i="3"/>
  <c r="X443" i="3"/>
  <c r="Y443" i="3"/>
  <c r="Z443" i="3"/>
  <c r="AA443" i="3"/>
  <c r="AB443" i="3"/>
  <c r="AE443" i="3"/>
  <c r="AF443" i="3"/>
  <c r="AG443" i="3"/>
  <c r="A444" i="3"/>
  <c r="B444" i="3"/>
  <c r="D444" i="3" s="1"/>
  <c r="C444" i="3"/>
  <c r="E444" i="3"/>
  <c r="F444" i="3"/>
  <c r="AC444" i="3" s="1"/>
  <c r="G444" i="3"/>
  <c r="H444" i="3"/>
  <c r="I444" i="3"/>
  <c r="J444" i="3"/>
  <c r="K444" i="3"/>
  <c r="M444" i="3"/>
  <c r="N444" i="3"/>
  <c r="L444" i="3" s="1"/>
  <c r="Q444" i="3"/>
  <c r="R444" i="3"/>
  <c r="S444" i="3"/>
  <c r="T444" i="3"/>
  <c r="U444" i="3"/>
  <c r="V444" i="3"/>
  <c r="W444" i="3"/>
  <c r="X444" i="3"/>
  <c r="Y444" i="3"/>
  <c r="Z444" i="3"/>
  <c r="AA444" i="3"/>
  <c r="AB444" i="3"/>
  <c r="AE444" i="3"/>
  <c r="AF444" i="3"/>
  <c r="AG444" i="3"/>
  <c r="A445" i="3"/>
  <c r="B445" i="3"/>
  <c r="D445" i="3" s="1"/>
  <c r="C445" i="3"/>
  <c r="E445" i="3"/>
  <c r="F445" i="3"/>
  <c r="AC445" i="3" s="1"/>
  <c r="G445" i="3"/>
  <c r="H445" i="3"/>
  <c r="I445" i="3"/>
  <c r="J445" i="3"/>
  <c r="K445" i="3"/>
  <c r="M445" i="3"/>
  <c r="N445" i="3"/>
  <c r="L445" i="3" s="1"/>
  <c r="Q445" i="3"/>
  <c r="R445" i="3"/>
  <c r="S445" i="3"/>
  <c r="T445" i="3"/>
  <c r="U445" i="3"/>
  <c r="V445" i="3"/>
  <c r="W445" i="3"/>
  <c r="X445" i="3"/>
  <c r="Y445" i="3"/>
  <c r="Z445" i="3"/>
  <c r="AA445" i="3"/>
  <c r="AB445" i="3"/>
  <c r="AE445" i="3"/>
  <c r="AF445" i="3"/>
  <c r="AG445" i="3"/>
  <c r="A446" i="3"/>
  <c r="B446" i="3"/>
  <c r="D446" i="3" s="1"/>
  <c r="C446" i="3"/>
  <c r="E446" i="3"/>
  <c r="F446" i="3"/>
  <c r="AC446" i="3" s="1"/>
  <c r="G446" i="3"/>
  <c r="H446" i="3"/>
  <c r="I446" i="3"/>
  <c r="J446" i="3"/>
  <c r="K446" i="3"/>
  <c r="M446" i="3"/>
  <c r="N446" i="3"/>
  <c r="L446" i="3" s="1"/>
  <c r="Q446" i="3"/>
  <c r="R446" i="3"/>
  <c r="S446" i="3"/>
  <c r="T446" i="3"/>
  <c r="U446" i="3"/>
  <c r="V446" i="3"/>
  <c r="W446" i="3"/>
  <c r="X446" i="3"/>
  <c r="Y446" i="3"/>
  <c r="Z446" i="3"/>
  <c r="AA446" i="3"/>
  <c r="AB446" i="3"/>
  <c r="AE446" i="3"/>
  <c r="AF446" i="3"/>
  <c r="AG446" i="3"/>
  <c r="A447" i="3"/>
  <c r="B447" i="3"/>
  <c r="D447" i="3" s="1"/>
  <c r="C447" i="3"/>
  <c r="E447" i="3"/>
  <c r="F447" i="3"/>
  <c r="AC447" i="3" s="1"/>
  <c r="G447" i="3"/>
  <c r="H447" i="3"/>
  <c r="I447" i="3"/>
  <c r="J447" i="3"/>
  <c r="K447" i="3"/>
  <c r="M447" i="3"/>
  <c r="N447" i="3"/>
  <c r="L447" i="3" s="1"/>
  <c r="Q447" i="3"/>
  <c r="R447" i="3"/>
  <c r="S447" i="3"/>
  <c r="T447" i="3"/>
  <c r="U447" i="3"/>
  <c r="V447" i="3"/>
  <c r="W447" i="3"/>
  <c r="X447" i="3"/>
  <c r="Y447" i="3"/>
  <c r="Z447" i="3"/>
  <c r="AA447" i="3"/>
  <c r="AB447" i="3"/>
  <c r="AE447" i="3"/>
  <c r="AF447" i="3"/>
  <c r="AG447" i="3"/>
  <c r="A448" i="3"/>
  <c r="B448" i="3"/>
  <c r="D448" i="3" s="1"/>
  <c r="C448" i="3"/>
  <c r="E448" i="3"/>
  <c r="F448" i="3"/>
  <c r="AC448" i="3" s="1"/>
  <c r="G448" i="3"/>
  <c r="H448" i="3"/>
  <c r="I448" i="3"/>
  <c r="J448" i="3"/>
  <c r="K448" i="3"/>
  <c r="M448" i="3"/>
  <c r="N448" i="3"/>
  <c r="L448" i="3" s="1"/>
  <c r="Q448" i="3"/>
  <c r="R448" i="3"/>
  <c r="S448" i="3"/>
  <c r="T448" i="3"/>
  <c r="U448" i="3"/>
  <c r="V448" i="3"/>
  <c r="W448" i="3"/>
  <c r="X448" i="3"/>
  <c r="Y448" i="3"/>
  <c r="Z448" i="3"/>
  <c r="AA448" i="3"/>
  <c r="AB448" i="3"/>
  <c r="AE448" i="3"/>
  <c r="AF448" i="3"/>
  <c r="AG448" i="3"/>
  <c r="A449" i="3"/>
  <c r="B449" i="3"/>
  <c r="D449" i="3" s="1"/>
  <c r="C449" i="3"/>
  <c r="E449" i="3"/>
  <c r="F449" i="3"/>
  <c r="AC449" i="3" s="1"/>
  <c r="G449" i="3"/>
  <c r="H449" i="3"/>
  <c r="I449" i="3"/>
  <c r="J449" i="3"/>
  <c r="K449" i="3"/>
  <c r="M449" i="3"/>
  <c r="N449" i="3"/>
  <c r="L449" i="3" s="1"/>
  <c r="Q449" i="3"/>
  <c r="R449" i="3"/>
  <c r="S449" i="3"/>
  <c r="T449" i="3"/>
  <c r="U449" i="3"/>
  <c r="V449" i="3"/>
  <c r="W449" i="3"/>
  <c r="X449" i="3"/>
  <c r="Y449" i="3"/>
  <c r="Z449" i="3"/>
  <c r="AA449" i="3"/>
  <c r="AB449" i="3"/>
  <c r="AE449" i="3"/>
  <c r="AF449" i="3"/>
  <c r="AG449" i="3"/>
  <c r="A450" i="3"/>
  <c r="B450" i="3"/>
  <c r="D450" i="3" s="1"/>
  <c r="C450" i="3"/>
  <c r="E450" i="3"/>
  <c r="F450" i="3"/>
  <c r="AC450" i="3" s="1"/>
  <c r="G450" i="3"/>
  <c r="H450" i="3"/>
  <c r="I450" i="3"/>
  <c r="J450" i="3"/>
  <c r="K450" i="3"/>
  <c r="M450" i="3"/>
  <c r="N450" i="3"/>
  <c r="L450" i="3" s="1"/>
  <c r="Q450" i="3"/>
  <c r="R450" i="3"/>
  <c r="S450" i="3"/>
  <c r="T450" i="3"/>
  <c r="U450" i="3"/>
  <c r="V450" i="3"/>
  <c r="W450" i="3"/>
  <c r="X450" i="3"/>
  <c r="Y450" i="3"/>
  <c r="Z450" i="3"/>
  <c r="AA450" i="3"/>
  <c r="AB450" i="3"/>
  <c r="AE450" i="3"/>
  <c r="AF450" i="3"/>
  <c r="AG450" i="3"/>
  <c r="A451" i="3"/>
  <c r="B451" i="3"/>
  <c r="D451" i="3" s="1"/>
  <c r="C451" i="3"/>
  <c r="E451" i="3"/>
  <c r="F451" i="3"/>
  <c r="AC451" i="3" s="1"/>
  <c r="G451" i="3"/>
  <c r="H451" i="3"/>
  <c r="I451" i="3"/>
  <c r="J451" i="3"/>
  <c r="K451" i="3"/>
  <c r="M451" i="3"/>
  <c r="N451" i="3"/>
  <c r="L451" i="3" s="1"/>
  <c r="Q451" i="3"/>
  <c r="R451" i="3"/>
  <c r="S451" i="3"/>
  <c r="T451" i="3"/>
  <c r="U451" i="3"/>
  <c r="V451" i="3"/>
  <c r="W451" i="3"/>
  <c r="X451" i="3"/>
  <c r="Y451" i="3"/>
  <c r="Z451" i="3"/>
  <c r="AA451" i="3"/>
  <c r="AB451" i="3"/>
  <c r="AE451" i="3"/>
  <c r="AF451" i="3"/>
  <c r="AG451" i="3"/>
  <c r="A452" i="3"/>
  <c r="B452" i="3"/>
  <c r="D452" i="3" s="1"/>
  <c r="C452" i="3"/>
  <c r="E452" i="3"/>
  <c r="F452" i="3"/>
  <c r="AC452" i="3" s="1"/>
  <c r="G452" i="3"/>
  <c r="H452" i="3"/>
  <c r="I452" i="3"/>
  <c r="J452" i="3"/>
  <c r="K452" i="3"/>
  <c r="M452" i="3"/>
  <c r="N452" i="3"/>
  <c r="L452" i="3" s="1"/>
  <c r="Q452" i="3"/>
  <c r="R452" i="3"/>
  <c r="S452" i="3"/>
  <c r="T452" i="3"/>
  <c r="U452" i="3"/>
  <c r="V452" i="3"/>
  <c r="W452" i="3"/>
  <c r="X452" i="3"/>
  <c r="Y452" i="3"/>
  <c r="Z452" i="3"/>
  <c r="AA452" i="3"/>
  <c r="AB452" i="3"/>
  <c r="AE452" i="3"/>
  <c r="AF452" i="3"/>
  <c r="AG452" i="3"/>
  <c r="A453" i="3"/>
  <c r="B453" i="3"/>
  <c r="D453" i="3" s="1"/>
  <c r="C453" i="3"/>
  <c r="E453" i="3"/>
  <c r="F453" i="3"/>
  <c r="AC453" i="3" s="1"/>
  <c r="G453" i="3"/>
  <c r="H453" i="3"/>
  <c r="I453" i="3"/>
  <c r="J453" i="3"/>
  <c r="K453" i="3"/>
  <c r="M453" i="3"/>
  <c r="N453" i="3"/>
  <c r="L453" i="3" s="1"/>
  <c r="Q453" i="3"/>
  <c r="R453" i="3"/>
  <c r="S453" i="3"/>
  <c r="T453" i="3"/>
  <c r="U453" i="3"/>
  <c r="V453" i="3"/>
  <c r="W453" i="3"/>
  <c r="X453" i="3"/>
  <c r="Y453" i="3"/>
  <c r="Z453" i="3"/>
  <c r="AA453" i="3"/>
  <c r="AB453" i="3"/>
  <c r="AE453" i="3"/>
  <c r="AF453" i="3"/>
  <c r="AG453" i="3"/>
  <c r="A454" i="3"/>
  <c r="B454" i="3"/>
  <c r="D454" i="3" s="1"/>
  <c r="C454" i="3"/>
  <c r="E454" i="3"/>
  <c r="F454" i="3"/>
  <c r="AC454" i="3" s="1"/>
  <c r="G454" i="3"/>
  <c r="H454" i="3"/>
  <c r="I454" i="3"/>
  <c r="J454" i="3"/>
  <c r="K454" i="3"/>
  <c r="M454" i="3"/>
  <c r="N454" i="3"/>
  <c r="L454" i="3" s="1"/>
  <c r="Q454" i="3"/>
  <c r="R454" i="3"/>
  <c r="S454" i="3"/>
  <c r="T454" i="3"/>
  <c r="U454" i="3"/>
  <c r="V454" i="3"/>
  <c r="W454" i="3"/>
  <c r="X454" i="3"/>
  <c r="Y454" i="3"/>
  <c r="Z454" i="3"/>
  <c r="AA454" i="3"/>
  <c r="AB454" i="3"/>
  <c r="AE454" i="3"/>
  <c r="AF454" i="3"/>
  <c r="AG454" i="3"/>
  <c r="A455" i="3"/>
  <c r="B455" i="3"/>
  <c r="D455" i="3" s="1"/>
  <c r="C455" i="3"/>
  <c r="E455" i="3"/>
  <c r="F455" i="3"/>
  <c r="AC455" i="3" s="1"/>
  <c r="G455" i="3"/>
  <c r="H455" i="3"/>
  <c r="I455" i="3"/>
  <c r="J455" i="3"/>
  <c r="K455" i="3"/>
  <c r="M455" i="3"/>
  <c r="N455" i="3"/>
  <c r="L455" i="3" s="1"/>
  <c r="Q455" i="3"/>
  <c r="R455" i="3"/>
  <c r="S455" i="3"/>
  <c r="T455" i="3"/>
  <c r="U455" i="3"/>
  <c r="V455" i="3"/>
  <c r="W455" i="3"/>
  <c r="X455" i="3"/>
  <c r="Y455" i="3"/>
  <c r="Z455" i="3"/>
  <c r="AA455" i="3"/>
  <c r="AB455" i="3"/>
  <c r="AE455" i="3"/>
  <c r="AF455" i="3"/>
  <c r="AG455" i="3"/>
  <c r="A456" i="3"/>
  <c r="B456" i="3"/>
  <c r="D456" i="3" s="1"/>
  <c r="C456" i="3"/>
  <c r="E456" i="3"/>
  <c r="F456" i="3"/>
  <c r="AC456" i="3" s="1"/>
  <c r="G456" i="3"/>
  <c r="H456" i="3"/>
  <c r="I456" i="3"/>
  <c r="J456" i="3"/>
  <c r="K456" i="3"/>
  <c r="M456" i="3"/>
  <c r="N456" i="3"/>
  <c r="L456" i="3" s="1"/>
  <c r="Q456" i="3"/>
  <c r="R456" i="3"/>
  <c r="S456" i="3"/>
  <c r="T456" i="3"/>
  <c r="U456" i="3"/>
  <c r="V456" i="3"/>
  <c r="W456" i="3"/>
  <c r="X456" i="3"/>
  <c r="Y456" i="3"/>
  <c r="Z456" i="3"/>
  <c r="AA456" i="3"/>
  <c r="AB456" i="3"/>
  <c r="AE456" i="3"/>
  <c r="AF456" i="3"/>
  <c r="AG456" i="3"/>
  <c r="A457" i="3"/>
  <c r="B457" i="3"/>
  <c r="D457" i="3" s="1"/>
  <c r="C457" i="3"/>
  <c r="E457" i="3"/>
  <c r="F457" i="3"/>
  <c r="AC457" i="3" s="1"/>
  <c r="G457" i="3"/>
  <c r="H457" i="3"/>
  <c r="I457" i="3"/>
  <c r="J457" i="3"/>
  <c r="K457" i="3"/>
  <c r="M457" i="3"/>
  <c r="N457" i="3"/>
  <c r="L457" i="3" s="1"/>
  <c r="Q457" i="3"/>
  <c r="R457" i="3"/>
  <c r="S457" i="3"/>
  <c r="T457" i="3"/>
  <c r="U457" i="3"/>
  <c r="V457" i="3"/>
  <c r="W457" i="3"/>
  <c r="X457" i="3"/>
  <c r="Y457" i="3"/>
  <c r="Z457" i="3"/>
  <c r="AA457" i="3"/>
  <c r="AB457" i="3"/>
  <c r="AE457" i="3"/>
  <c r="AF457" i="3"/>
  <c r="AG457" i="3"/>
  <c r="A458" i="3"/>
  <c r="B458" i="3"/>
  <c r="D458" i="3" s="1"/>
  <c r="C458" i="3"/>
  <c r="E458" i="3"/>
  <c r="F458" i="3"/>
  <c r="AC458" i="3" s="1"/>
  <c r="G458" i="3"/>
  <c r="H458" i="3"/>
  <c r="I458" i="3"/>
  <c r="J458" i="3"/>
  <c r="K458" i="3"/>
  <c r="M458" i="3"/>
  <c r="N458" i="3"/>
  <c r="L458" i="3" s="1"/>
  <c r="Q458" i="3"/>
  <c r="R458" i="3"/>
  <c r="S458" i="3"/>
  <c r="T458" i="3"/>
  <c r="U458" i="3"/>
  <c r="V458" i="3"/>
  <c r="W458" i="3"/>
  <c r="X458" i="3"/>
  <c r="Y458" i="3"/>
  <c r="Z458" i="3"/>
  <c r="AA458" i="3"/>
  <c r="AB458" i="3"/>
  <c r="AE458" i="3"/>
  <c r="AF458" i="3"/>
  <c r="AG458" i="3"/>
  <c r="A459" i="3"/>
  <c r="B459" i="3"/>
  <c r="D459" i="3" s="1"/>
  <c r="C459" i="3"/>
  <c r="E459" i="3"/>
  <c r="F459" i="3"/>
  <c r="AC459" i="3" s="1"/>
  <c r="G459" i="3"/>
  <c r="H459" i="3"/>
  <c r="I459" i="3"/>
  <c r="J459" i="3"/>
  <c r="K459" i="3"/>
  <c r="M459" i="3"/>
  <c r="N459" i="3"/>
  <c r="L459" i="3" s="1"/>
  <c r="Q459" i="3"/>
  <c r="R459" i="3"/>
  <c r="S459" i="3"/>
  <c r="T459" i="3"/>
  <c r="U459" i="3"/>
  <c r="V459" i="3"/>
  <c r="W459" i="3"/>
  <c r="X459" i="3"/>
  <c r="Y459" i="3"/>
  <c r="Z459" i="3"/>
  <c r="AA459" i="3"/>
  <c r="AB459" i="3"/>
  <c r="AE459" i="3"/>
  <c r="AF459" i="3"/>
  <c r="AG459" i="3"/>
  <c r="A460" i="3"/>
  <c r="B460" i="3"/>
  <c r="D460" i="3" s="1"/>
  <c r="C460" i="3"/>
  <c r="E460" i="3"/>
  <c r="F460" i="3"/>
  <c r="AC460" i="3" s="1"/>
  <c r="G460" i="3"/>
  <c r="H460" i="3"/>
  <c r="I460" i="3"/>
  <c r="J460" i="3"/>
  <c r="K460" i="3"/>
  <c r="M460" i="3"/>
  <c r="N460" i="3"/>
  <c r="L460" i="3" s="1"/>
  <c r="Q460" i="3"/>
  <c r="R460" i="3"/>
  <c r="S460" i="3"/>
  <c r="T460" i="3"/>
  <c r="U460" i="3"/>
  <c r="V460" i="3"/>
  <c r="W460" i="3"/>
  <c r="X460" i="3"/>
  <c r="Y460" i="3"/>
  <c r="Z460" i="3"/>
  <c r="AA460" i="3"/>
  <c r="AB460" i="3"/>
  <c r="AE460" i="3"/>
  <c r="AF460" i="3"/>
  <c r="AG460" i="3"/>
  <c r="A461" i="3"/>
  <c r="B461" i="3"/>
  <c r="D461" i="3" s="1"/>
  <c r="C461" i="3"/>
  <c r="E461" i="3"/>
  <c r="F461" i="3"/>
  <c r="AC461" i="3" s="1"/>
  <c r="G461" i="3"/>
  <c r="H461" i="3"/>
  <c r="I461" i="3"/>
  <c r="J461" i="3"/>
  <c r="K461" i="3"/>
  <c r="M461" i="3"/>
  <c r="N461" i="3"/>
  <c r="L461" i="3" s="1"/>
  <c r="Q461" i="3"/>
  <c r="R461" i="3"/>
  <c r="S461" i="3"/>
  <c r="T461" i="3"/>
  <c r="U461" i="3"/>
  <c r="V461" i="3"/>
  <c r="W461" i="3"/>
  <c r="X461" i="3"/>
  <c r="Y461" i="3"/>
  <c r="Z461" i="3"/>
  <c r="AA461" i="3"/>
  <c r="AB461" i="3"/>
  <c r="AE461" i="3"/>
  <c r="AF461" i="3"/>
  <c r="AG461" i="3"/>
  <c r="A462" i="3"/>
  <c r="B462" i="3"/>
  <c r="D462" i="3" s="1"/>
  <c r="C462" i="3"/>
  <c r="E462" i="3"/>
  <c r="F462" i="3"/>
  <c r="AC462" i="3" s="1"/>
  <c r="G462" i="3"/>
  <c r="H462" i="3"/>
  <c r="I462" i="3"/>
  <c r="J462" i="3"/>
  <c r="K462" i="3"/>
  <c r="M462" i="3"/>
  <c r="N462" i="3"/>
  <c r="L462" i="3" s="1"/>
  <c r="Q462" i="3"/>
  <c r="R462" i="3"/>
  <c r="S462" i="3"/>
  <c r="T462" i="3"/>
  <c r="U462" i="3"/>
  <c r="V462" i="3"/>
  <c r="W462" i="3"/>
  <c r="X462" i="3"/>
  <c r="Y462" i="3"/>
  <c r="Z462" i="3"/>
  <c r="AA462" i="3"/>
  <c r="AB462" i="3"/>
  <c r="AE462" i="3"/>
  <c r="AF462" i="3"/>
  <c r="AG462" i="3"/>
  <c r="A463" i="3"/>
  <c r="B463" i="3"/>
  <c r="D463" i="3" s="1"/>
  <c r="C463" i="3"/>
  <c r="E463" i="3"/>
  <c r="F463" i="3"/>
  <c r="AC463" i="3" s="1"/>
  <c r="G463" i="3"/>
  <c r="H463" i="3"/>
  <c r="I463" i="3"/>
  <c r="J463" i="3"/>
  <c r="K463" i="3"/>
  <c r="M463" i="3"/>
  <c r="N463" i="3"/>
  <c r="L463" i="3" s="1"/>
  <c r="Q463" i="3"/>
  <c r="R463" i="3"/>
  <c r="S463" i="3"/>
  <c r="T463" i="3"/>
  <c r="U463" i="3"/>
  <c r="V463" i="3"/>
  <c r="W463" i="3"/>
  <c r="X463" i="3"/>
  <c r="Y463" i="3"/>
  <c r="Z463" i="3"/>
  <c r="AA463" i="3"/>
  <c r="AB463" i="3"/>
  <c r="AE463" i="3"/>
  <c r="AF463" i="3"/>
  <c r="AG463" i="3"/>
  <c r="A464" i="3"/>
  <c r="B464" i="3"/>
  <c r="D464" i="3" s="1"/>
  <c r="C464" i="3"/>
  <c r="E464" i="3"/>
  <c r="F464" i="3"/>
  <c r="AC464" i="3" s="1"/>
  <c r="G464" i="3"/>
  <c r="H464" i="3"/>
  <c r="I464" i="3"/>
  <c r="J464" i="3"/>
  <c r="K464" i="3"/>
  <c r="M464" i="3"/>
  <c r="N464" i="3"/>
  <c r="L464" i="3" s="1"/>
  <c r="Q464" i="3"/>
  <c r="R464" i="3"/>
  <c r="S464" i="3"/>
  <c r="T464" i="3"/>
  <c r="U464" i="3"/>
  <c r="V464" i="3"/>
  <c r="W464" i="3"/>
  <c r="X464" i="3"/>
  <c r="Y464" i="3"/>
  <c r="Z464" i="3"/>
  <c r="AA464" i="3"/>
  <c r="AB464" i="3"/>
  <c r="AE464" i="3"/>
  <c r="AF464" i="3"/>
  <c r="AG464" i="3"/>
  <c r="A465" i="3"/>
  <c r="B465" i="3"/>
  <c r="D465" i="3" s="1"/>
  <c r="C465" i="3"/>
  <c r="E465" i="3"/>
  <c r="F465" i="3"/>
  <c r="AC465" i="3" s="1"/>
  <c r="G465" i="3"/>
  <c r="H465" i="3"/>
  <c r="I465" i="3"/>
  <c r="J465" i="3"/>
  <c r="K465" i="3"/>
  <c r="M465" i="3"/>
  <c r="N465" i="3"/>
  <c r="L465" i="3" s="1"/>
  <c r="Q465" i="3"/>
  <c r="R465" i="3"/>
  <c r="S465" i="3"/>
  <c r="T465" i="3"/>
  <c r="U465" i="3"/>
  <c r="V465" i="3"/>
  <c r="W465" i="3"/>
  <c r="X465" i="3"/>
  <c r="Y465" i="3"/>
  <c r="Z465" i="3"/>
  <c r="AA465" i="3"/>
  <c r="AB465" i="3"/>
  <c r="AE465" i="3"/>
  <c r="AF465" i="3"/>
  <c r="AG465" i="3"/>
  <c r="A466" i="3"/>
  <c r="B466" i="3"/>
  <c r="D466" i="3" s="1"/>
  <c r="C466" i="3"/>
  <c r="E466" i="3"/>
  <c r="F466" i="3"/>
  <c r="AC466" i="3" s="1"/>
  <c r="G466" i="3"/>
  <c r="H466" i="3"/>
  <c r="I466" i="3"/>
  <c r="J466" i="3"/>
  <c r="K466" i="3"/>
  <c r="M466" i="3"/>
  <c r="N466" i="3"/>
  <c r="L466" i="3" s="1"/>
  <c r="Q466" i="3"/>
  <c r="R466" i="3"/>
  <c r="S466" i="3"/>
  <c r="T466" i="3"/>
  <c r="U466" i="3"/>
  <c r="V466" i="3"/>
  <c r="W466" i="3"/>
  <c r="X466" i="3"/>
  <c r="Y466" i="3"/>
  <c r="Z466" i="3"/>
  <c r="AA466" i="3"/>
  <c r="AB466" i="3"/>
  <c r="AE466" i="3"/>
  <c r="AF466" i="3"/>
  <c r="AG466" i="3"/>
  <c r="A467" i="3"/>
  <c r="B467" i="3"/>
  <c r="D467" i="3" s="1"/>
  <c r="C467" i="3"/>
  <c r="E467" i="3"/>
  <c r="F467" i="3"/>
  <c r="AC467" i="3" s="1"/>
  <c r="G467" i="3"/>
  <c r="H467" i="3"/>
  <c r="I467" i="3"/>
  <c r="J467" i="3"/>
  <c r="K467" i="3"/>
  <c r="M467" i="3"/>
  <c r="N467" i="3"/>
  <c r="L467" i="3" s="1"/>
  <c r="Q467" i="3"/>
  <c r="R467" i="3"/>
  <c r="S467" i="3"/>
  <c r="T467" i="3"/>
  <c r="U467" i="3"/>
  <c r="V467" i="3"/>
  <c r="W467" i="3"/>
  <c r="X467" i="3"/>
  <c r="Y467" i="3"/>
  <c r="Z467" i="3"/>
  <c r="AA467" i="3"/>
  <c r="AB467" i="3"/>
  <c r="AE467" i="3"/>
  <c r="AF467" i="3"/>
  <c r="AG467" i="3"/>
  <c r="A468" i="3"/>
  <c r="B468" i="3"/>
  <c r="D468" i="3" s="1"/>
  <c r="C468" i="3"/>
  <c r="E468" i="3"/>
  <c r="F468" i="3"/>
  <c r="AC468" i="3" s="1"/>
  <c r="G468" i="3"/>
  <c r="H468" i="3"/>
  <c r="I468" i="3"/>
  <c r="J468" i="3"/>
  <c r="K468" i="3"/>
  <c r="M468" i="3"/>
  <c r="N468" i="3"/>
  <c r="L468" i="3" s="1"/>
  <c r="Q468" i="3"/>
  <c r="R468" i="3"/>
  <c r="S468" i="3"/>
  <c r="T468" i="3"/>
  <c r="U468" i="3"/>
  <c r="V468" i="3"/>
  <c r="W468" i="3"/>
  <c r="X468" i="3"/>
  <c r="Y468" i="3"/>
  <c r="Z468" i="3"/>
  <c r="AA468" i="3"/>
  <c r="AB468" i="3"/>
  <c r="AE468" i="3"/>
  <c r="AF468" i="3"/>
  <c r="AG468" i="3"/>
  <c r="A469" i="3"/>
  <c r="B469" i="3"/>
  <c r="D469" i="3" s="1"/>
  <c r="C469" i="3"/>
  <c r="E469" i="3"/>
  <c r="F469" i="3"/>
  <c r="AC469" i="3" s="1"/>
  <c r="G469" i="3"/>
  <c r="H469" i="3"/>
  <c r="I469" i="3"/>
  <c r="J469" i="3"/>
  <c r="K469" i="3"/>
  <c r="M469" i="3"/>
  <c r="N469" i="3"/>
  <c r="L469" i="3" s="1"/>
  <c r="Q469" i="3"/>
  <c r="R469" i="3"/>
  <c r="S469" i="3"/>
  <c r="T469" i="3"/>
  <c r="U469" i="3"/>
  <c r="V469" i="3"/>
  <c r="W469" i="3"/>
  <c r="X469" i="3"/>
  <c r="Y469" i="3"/>
  <c r="Z469" i="3"/>
  <c r="AA469" i="3"/>
  <c r="AB469" i="3"/>
  <c r="AE469" i="3"/>
  <c r="AF469" i="3"/>
  <c r="AG469" i="3"/>
  <c r="A470" i="3"/>
  <c r="B470" i="3"/>
  <c r="D470" i="3" s="1"/>
  <c r="C470" i="3"/>
  <c r="E470" i="3"/>
  <c r="F470" i="3"/>
  <c r="AC470" i="3" s="1"/>
  <c r="G470" i="3"/>
  <c r="H470" i="3"/>
  <c r="I470" i="3"/>
  <c r="J470" i="3"/>
  <c r="K470" i="3"/>
  <c r="M470" i="3"/>
  <c r="N470" i="3"/>
  <c r="L470" i="3" s="1"/>
  <c r="Q470" i="3"/>
  <c r="R470" i="3"/>
  <c r="S470" i="3"/>
  <c r="T470" i="3"/>
  <c r="U470" i="3"/>
  <c r="V470" i="3"/>
  <c r="W470" i="3"/>
  <c r="X470" i="3"/>
  <c r="Y470" i="3"/>
  <c r="Z470" i="3"/>
  <c r="AA470" i="3"/>
  <c r="AB470" i="3"/>
  <c r="AE470" i="3"/>
  <c r="AF470" i="3"/>
  <c r="AG470" i="3"/>
  <c r="A471" i="3"/>
  <c r="B471" i="3"/>
  <c r="D471" i="3" s="1"/>
  <c r="C471" i="3"/>
  <c r="E471" i="3"/>
  <c r="F471" i="3"/>
  <c r="AC471" i="3" s="1"/>
  <c r="G471" i="3"/>
  <c r="H471" i="3"/>
  <c r="I471" i="3"/>
  <c r="J471" i="3"/>
  <c r="K471" i="3"/>
  <c r="M471" i="3"/>
  <c r="N471" i="3"/>
  <c r="L471" i="3" s="1"/>
  <c r="Q471" i="3"/>
  <c r="R471" i="3"/>
  <c r="S471" i="3"/>
  <c r="T471" i="3"/>
  <c r="U471" i="3"/>
  <c r="V471" i="3"/>
  <c r="W471" i="3"/>
  <c r="X471" i="3"/>
  <c r="Y471" i="3"/>
  <c r="Z471" i="3"/>
  <c r="AA471" i="3"/>
  <c r="AB471" i="3"/>
  <c r="AE471" i="3"/>
  <c r="AF471" i="3"/>
  <c r="AG471" i="3"/>
  <c r="A472" i="3"/>
  <c r="B472" i="3"/>
  <c r="D472" i="3" s="1"/>
  <c r="C472" i="3"/>
  <c r="E472" i="3"/>
  <c r="F472" i="3"/>
  <c r="AC472" i="3" s="1"/>
  <c r="G472" i="3"/>
  <c r="H472" i="3"/>
  <c r="I472" i="3"/>
  <c r="J472" i="3"/>
  <c r="K472" i="3"/>
  <c r="M472" i="3"/>
  <c r="N472" i="3"/>
  <c r="L472" i="3" s="1"/>
  <c r="Q472" i="3"/>
  <c r="R472" i="3"/>
  <c r="S472" i="3"/>
  <c r="T472" i="3"/>
  <c r="U472" i="3"/>
  <c r="V472" i="3"/>
  <c r="W472" i="3"/>
  <c r="X472" i="3"/>
  <c r="Y472" i="3"/>
  <c r="Z472" i="3"/>
  <c r="AA472" i="3"/>
  <c r="AB472" i="3"/>
  <c r="AE472" i="3"/>
  <c r="AF472" i="3"/>
  <c r="AG472" i="3"/>
  <c r="A473" i="3"/>
  <c r="B473" i="3"/>
  <c r="D473" i="3" s="1"/>
  <c r="C473" i="3"/>
  <c r="E473" i="3"/>
  <c r="F473" i="3"/>
  <c r="AC473" i="3" s="1"/>
  <c r="G473" i="3"/>
  <c r="H473" i="3"/>
  <c r="I473" i="3"/>
  <c r="J473" i="3"/>
  <c r="K473" i="3"/>
  <c r="M473" i="3"/>
  <c r="N473" i="3"/>
  <c r="L473" i="3" s="1"/>
  <c r="Q473" i="3"/>
  <c r="R473" i="3"/>
  <c r="S473" i="3"/>
  <c r="T473" i="3"/>
  <c r="U473" i="3"/>
  <c r="V473" i="3"/>
  <c r="W473" i="3"/>
  <c r="X473" i="3"/>
  <c r="Y473" i="3"/>
  <c r="Z473" i="3"/>
  <c r="AA473" i="3"/>
  <c r="AB473" i="3"/>
  <c r="AE473" i="3"/>
  <c r="AF473" i="3"/>
  <c r="AG473" i="3"/>
  <c r="A474" i="3"/>
  <c r="B474" i="3"/>
  <c r="D474" i="3" s="1"/>
  <c r="C474" i="3"/>
  <c r="E474" i="3"/>
  <c r="F474" i="3"/>
  <c r="AC474" i="3" s="1"/>
  <c r="G474" i="3"/>
  <c r="H474" i="3"/>
  <c r="I474" i="3"/>
  <c r="J474" i="3"/>
  <c r="K474" i="3"/>
  <c r="M474" i="3"/>
  <c r="N474" i="3"/>
  <c r="L474" i="3" s="1"/>
  <c r="Q474" i="3"/>
  <c r="R474" i="3"/>
  <c r="S474" i="3"/>
  <c r="T474" i="3"/>
  <c r="U474" i="3"/>
  <c r="V474" i="3"/>
  <c r="W474" i="3"/>
  <c r="X474" i="3"/>
  <c r="Y474" i="3"/>
  <c r="Z474" i="3"/>
  <c r="AA474" i="3"/>
  <c r="AB474" i="3"/>
  <c r="AE474" i="3"/>
  <c r="AF474" i="3"/>
  <c r="AG474" i="3"/>
  <c r="A475" i="3"/>
  <c r="B475" i="3"/>
  <c r="D475" i="3" s="1"/>
  <c r="C475" i="3"/>
  <c r="E475" i="3"/>
  <c r="F475" i="3"/>
  <c r="AC475" i="3" s="1"/>
  <c r="G475" i="3"/>
  <c r="H475" i="3"/>
  <c r="I475" i="3"/>
  <c r="J475" i="3"/>
  <c r="K475" i="3"/>
  <c r="M475" i="3"/>
  <c r="N475" i="3"/>
  <c r="L475" i="3" s="1"/>
  <c r="Q475" i="3"/>
  <c r="R475" i="3"/>
  <c r="S475" i="3"/>
  <c r="T475" i="3"/>
  <c r="U475" i="3"/>
  <c r="V475" i="3"/>
  <c r="W475" i="3"/>
  <c r="X475" i="3"/>
  <c r="Y475" i="3"/>
  <c r="Z475" i="3"/>
  <c r="AA475" i="3"/>
  <c r="AB475" i="3"/>
  <c r="AE475" i="3"/>
  <c r="AF475" i="3"/>
  <c r="AG475" i="3"/>
  <c r="A476" i="3"/>
  <c r="B476" i="3"/>
  <c r="D476" i="3" s="1"/>
  <c r="C476" i="3"/>
  <c r="E476" i="3"/>
  <c r="F476" i="3"/>
  <c r="AC476" i="3" s="1"/>
  <c r="G476" i="3"/>
  <c r="H476" i="3"/>
  <c r="I476" i="3"/>
  <c r="J476" i="3"/>
  <c r="K476" i="3"/>
  <c r="M476" i="3"/>
  <c r="N476" i="3"/>
  <c r="L476" i="3" s="1"/>
  <c r="Q476" i="3"/>
  <c r="R476" i="3"/>
  <c r="S476" i="3"/>
  <c r="T476" i="3"/>
  <c r="U476" i="3"/>
  <c r="V476" i="3"/>
  <c r="W476" i="3"/>
  <c r="X476" i="3"/>
  <c r="Y476" i="3"/>
  <c r="Z476" i="3"/>
  <c r="AA476" i="3"/>
  <c r="AB476" i="3"/>
  <c r="AE476" i="3"/>
  <c r="AF476" i="3"/>
  <c r="AG476" i="3"/>
  <c r="A477" i="3"/>
  <c r="B477" i="3"/>
  <c r="D477" i="3" s="1"/>
  <c r="C477" i="3"/>
  <c r="E477" i="3"/>
  <c r="F477" i="3"/>
  <c r="AC477" i="3" s="1"/>
  <c r="G477" i="3"/>
  <c r="H477" i="3"/>
  <c r="I477" i="3"/>
  <c r="J477" i="3"/>
  <c r="K477" i="3"/>
  <c r="M477" i="3"/>
  <c r="N477" i="3"/>
  <c r="L477" i="3" s="1"/>
  <c r="Q477" i="3"/>
  <c r="R477" i="3"/>
  <c r="S477" i="3"/>
  <c r="T477" i="3"/>
  <c r="U477" i="3"/>
  <c r="V477" i="3"/>
  <c r="W477" i="3"/>
  <c r="X477" i="3"/>
  <c r="Y477" i="3"/>
  <c r="Z477" i="3"/>
  <c r="AA477" i="3"/>
  <c r="AB477" i="3"/>
  <c r="AE477" i="3"/>
  <c r="AF477" i="3"/>
  <c r="AG477" i="3"/>
  <c r="A478" i="3"/>
  <c r="B478" i="3"/>
  <c r="D478" i="3" s="1"/>
  <c r="C478" i="3"/>
  <c r="E478" i="3"/>
  <c r="F478" i="3"/>
  <c r="AC478" i="3" s="1"/>
  <c r="G478" i="3"/>
  <c r="H478" i="3"/>
  <c r="I478" i="3"/>
  <c r="J478" i="3"/>
  <c r="K478" i="3"/>
  <c r="M478" i="3"/>
  <c r="N478" i="3"/>
  <c r="L478" i="3" s="1"/>
  <c r="Q478" i="3"/>
  <c r="R478" i="3"/>
  <c r="S478" i="3"/>
  <c r="T478" i="3"/>
  <c r="U478" i="3"/>
  <c r="V478" i="3"/>
  <c r="W478" i="3"/>
  <c r="X478" i="3"/>
  <c r="Y478" i="3"/>
  <c r="Z478" i="3"/>
  <c r="AA478" i="3"/>
  <c r="AB478" i="3"/>
  <c r="AE478" i="3"/>
  <c r="AF478" i="3"/>
  <c r="AG478" i="3"/>
  <c r="A479" i="3"/>
  <c r="B479" i="3"/>
  <c r="D479" i="3" s="1"/>
  <c r="C479" i="3"/>
  <c r="E479" i="3"/>
  <c r="F479" i="3"/>
  <c r="AC479" i="3" s="1"/>
  <c r="G479" i="3"/>
  <c r="H479" i="3"/>
  <c r="I479" i="3"/>
  <c r="J479" i="3"/>
  <c r="K479" i="3"/>
  <c r="M479" i="3"/>
  <c r="N479" i="3"/>
  <c r="L479" i="3" s="1"/>
  <c r="Q479" i="3"/>
  <c r="R479" i="3"/>
  <c r="S479" i="3"/>
  <c r="T479" i="3"/>
  <c r="U479" i="3"/>
  <c r="V479" i="3"/>
  <c r="W479" i="3"/>
  <c r="X479" i="3"/>
  <c r="Y479" i="3"/>
  <c r="Z479" i="3"/>
  <c r="AA479" i="3"/>
  <c r="AB479" i="3"/>
  <c r="AE479" i="3"/>
  <c r="AF479" i="3"/>
  <c r="AG479" i="3"/>
  <c r="A480" i="3"/>
  <c r="B480" i="3"/>
  <c r="D480" i="3" s="1"/>
  <c r="C480" i="3"/>
  <c r="E480" i="3"/>
  <c r="F480" i="3"/>
  <c r="AC480" i="3" s="1"/>
  <c r="G480" i="3"/>
  <c r="H480" i="3"/>
  <c r="I480" i="3"/>
  <c r="J480" i="3"/>
  <c r="K480" i="3"/>
  <c r="M480" i="3"/>
  <c r="N480" i="3"/>
  <c r="L480" i="3" s="1"/>
  <c r="Q480" i="3"/>
  <c r="R480" i="3"/>
  <c r="S480" i="3"/>
  <c r="T480" i="3"/>
  <c r="U480" i="3"/>
  <c r="V480" i="3"/>
  <c r="W480" i="3"/>
  <c r="X480" i="3"/>
  <c r="Y480" i="3"/>
  <c r="Z480" i="3"/>
  <c r="AA480" i="3"/>
  <c r="AB480" i="3"/>
  <c r="AE480" i="3"/>
  <c r="AF480" i="3"/>
  <c r="AG480" i="3"/>
  <c r="A481" i="3"/>
  <c r="B481" i="3"/>
  <c r="D481" i="3" s="1"/>
  <c r="C481" i="3"/>
  <c r="E481" i="3"/>
  <c r="F481" i="3"/>
  <c r="AC481" i="3" s="1"/>
  <c r="G481" i="3"/>
  <c r="H481" i="3"/>
  <c r="I481" i="3"/>
  <c r="J481" i="3"/>
  <c r="K481" i="3"/>
  <c r="M481" i="3"/>
  <c r="N481" i="3"/>
  <c r="L481" i="3" s="1"/>
  <c r="Q481" i="3"/>
  <c r="R481" i="3"/>
  <c r="S481" i="3"/>
  <c r="T481" i="3"/>
  <c r="U481" i="3"/>
  <c r="V481" i="3"/>
  <c r="W481" i="3"/>
  <c r="X481" i="3"/>
  <c r="Y481" i="3"/>
  <c r="Z481" i="3"/>
  <c r="AA481" i="3"/>
  <c r="AB481" i="3"/>
  <c r="AE481" i="3"/>
  <c r="AF481" i="3"/>
  <c r="AG481" i="3"/>
  <c r="A482" i="3"/>
  <c r="B482" i="3"/>
  <c r="D482" i="3" s="1"/>
  <c r="C482" i="3"/>
  <c r="E482" i="3"/>
  <c r="F482" i="3"/>
  <c r="AC482" i="3" s="1"/>
  <c r="G482" i="3"/>
  <c r="H482" i="3"/>
  <c r="I482" i="3"/>
  <c r="J482" i="3"/>
  <c r="K482" i="3"/>
  <c r="M482" i="3"/>
  <c r="N482" i="3"/>
  <c r="L482" i="3" s="1"/>
  <c r="Q482" i="3"/>
  <c r="R482" i="3"/>
  <c r="S482" i="3"/>
  <c r="T482" i="3"/>
  <c r="U482" i="3"/>
  <c r="V482" i="3"/>
  <c r="W482" i="3"/>
  <c r="X482" i="3"/>
  <c r="Y482" i="3"/>
  <c r="Z482" i="3"/>
  <c r="AA482" i="3"/>
  <c r="AB482" i="3"/>
  <c r="AE482" i="3"/>
  <c r="AF482" i="3"/>
  <c r="AG482" i="3"/>
  <c r="A483" i="3"/>
  <c r="B483" i="3"/>
  <c r="D483" i="3" s="1"/>
  <c r="C483" i="3"/>
  <c r="E483" i="3"/>
  <c r="F483" i="3"/>
  <c r="AC483" i="3" s="1"/>
  <c r="G483" i="3"/>
  <c r="H483" i="3"/>
  <c r="I483" i="3"/>
  <c r="J483" i="3"/>
  <c r="K483" i="3"/>
  <c r="M483" i="3"/>
  <c r="N483" i="3"/>
  <c r="L483" i="3" s="1"/>
  <c r="Q483" i="3"/>
  <c r="R483" i="3"/>
  <c r="S483" i="3"/>
  <c r="T483" i="3"/>
  <c r="U483" i="3"/>
  <c r="V483" i="3"/>
  <c r="W483" i="3"/>
  <c r="X483" i="3"/>
  <c r="Y483" i="3"/>
  <c r="Z483" i="3"/>
  <c r="AA483" i="3"/>
  <c r="AB483" i="3"/>
  <c r="AE483" i="3"/>
  <c r="AF483" i="3"/>
  <c r="AG483" i="3"/>
  <c r="A484" i="3"/>
  <c r="B484" i="3"/>
  <c r="D484" i="3" s="1"/>
  <c r="C484" i="3"/>
  <c r="E484" i="3"/>
  <c r="F484" i="3"/>
  <c r="AC484" i="3" s="1"/>
  <c r="G484" i="3"/>
  <c r="H484" i="3"/>
  <c r="I484" i="3"/>
  <c r="J484" i="3"/>
  <c r="K484" i="3"/>
  <c r="M484" i="3"/>
  <c r="N484" i="3"/>
  <c r="L484" i="3" s="1"/>
  <c r="Q484" i="3"/>
  <c r="R484" i="3"/>
  <c r="S484" i="3"/>
  <c r="T484" i="3"/>
  <c r="U484" i="3"/>
  <c r="V484" i="3"/>
  <c r="W484" i="3"/>
  <c r="X484" i="3"/>
  <c r="Y484" i="3"/>
  <c r="Z484" i="3"/>
  <c r="AA484" i="3"/>
  <c r="AB484" i="3"/>
  <c r="AE484" i="3"/>
  <c r="AF484" i="3"/>
  <c r="AG484" i="3"/>
  <c r="A485" i="3"/>
  <c r="B485" i="3"/>
  <c r="D485" i="3" s="1"/>
  <c r="C485" i="3"/>
  <c r="E485" i="3"/>
  <c r="F485" i="3"/>
  <c r="AC485" i="3" s="1"/>
  <c r="G485" i="3"/>
  <c r="H485" i="3"/>
  <c r="I485" i="3"/>
  <c r="J485" i="3"/>
  <c r="K485" i="3"/>
  <c r="M485" i="3"/>
  <c r="N485" i="3"/>
  <c r="L485" i="3" s="1"/>
  <c r="Q485" i="3"/>
  <c r="R485" i="3"/>
  <c r="S485" i="3"/>
  <c r="T485" i="3"/>
  <c r="U485" i="3"/>
  <c r="V485" i="3"/>
  <c r="W485" i="3"/>
  <c r="X485" i="3"/>
  <c r="Y485" i="3"/>
  <c r="Z485" i="3"/>
  <c r="AA485" i="3"/>
  <c r="AB485" i="3"/>
  <c r="AE485" i="3"/>
  <c r="AF485" i="3"/>
  <c r="AG485" i="3"/>
  <c r="A486" i="3"/>
  <c r="B486" i="3"/>
  <c r="D486" i="3" s="1"/>
  <c r="C486" i="3"/>
  <c r="E486" i="3"/>
  <c r="F486" i="3"/>
  <c r="AC486" i="3" s="1"/>
  <c r="G486" i="3"/>
  <c r="H486" i="3"/>
  <c r="I486" i="3"/>
  <c r="J486" i="3"/>
  <c r="K486" i="3"/>
  <c r="M486" i="3"/>
  <c r="N486" i="3"/>
  <c r="L486" i="3" s="1"/>
  <c r="Q486" i="3"/>
  <c r="R486" i="3"/>
  <c r="S486" i="3"/>
  <c r="T486" i="3"/>
  <c r="U486" i="3"/>
  <c r="V486" i="3"/>
  <c r="W486" i="3"/>
  <c r="X486" i="3"/>
  <c r="Y486" i="3"/>
  <c r="Z486" i="3"/>
  <c r="AA486" i="3"/>
  <c r="AB486" i="3"/>
  <c r="AE486" i="3"/>
  <c r="AF486" i="3"/>
  <c r="AG486" i="3"/>
  <c r="A487" i="3"/>
  <c r="B487" i="3"/>
  <c r="D487" i="3" s="1"/>
  <c r="C487" i="3"/>
  <c r="E487" i="3"/>
  <c r="F487" i="3"/>
  <c r="AC487" i="3" s="1"/>
  <c r="G487" i="3"/>
  <c r="H487" i="3"/>
  <c r="I487" i="3"/>
  <c r="J487" i="3"/>
  <c r="K487" i="3"/>
  <c r="M487" i="3"/>
  <c r="N487" i="3"/>
  <c r="L487" i="3" s="1"/>
  <c r="Q487" i="3"/>
  <c r="R487" i="3"/>
  <c r="S487" i="3"/>
  <c r="T487" i="3"/>
  <c r="U487" i="3"/>
  <c r="V487" i="3"/>
  <c r="W487" i="3"/>
  <c r="X487" i="3"/>
  <c r="Y487" i="3"/>
  <c r="Z487" i="3"/>
  <c r="AA487" i="3"/>
  <c r="AB487" i="3"/>
  <c r="AE487" i="3"/>
  <c r="AF487" i="3"/>
  <c r="AG487" i="3"/>
  <c r="A488" i="3"/>
  <c r="B488" i="3"/>
  <c r="D488" i="3" s="1"/>
  <c r="C488" i="3"/>
  <c r="E488" i="3"/>
  <c r="F488" i="3"/>
  <c r="AC488" i="3" s="1"/>
  <c r="G488" i="3"/>
  <c r="H488" i="3"/>
  <c r="I488" i="3"/>
  <c r="J488" i="3"/>
  <c r="K488" i="3"/>
  <c r="M488" i="3"/>
  <c r="N488" i="3"/>
  <c r="L488" i="3" s="1"/>
  <c r="Q488" i="3"/>
  <c r="R488" i="3"/>
  <c r="S488" i="3"/>
  <c r="T488" i="3"/>
  <c r="U488" i="3"/>
  <c r="V488" i="3"/>
  <c r="W488" i="3"/>
  <c r="X488" i="3"/>
  <c r="Y488" i="3"/>
  <c r="Z488" i="3"/>
  <c r="AA488" i="3"/>
  <c r="AB488" i="3"/>
  <c r="AE488" i="3"/>
  <c r="AF488" i="3"/>
  <c r="AG488" i="3"/>
  <c r="A489" i="3"/>
  <c r="B489" i="3"/>
  <c r="D489" i="3" s="1"/>
  <c r="C489" i="3"/>
  <c r="E489" i="3"/>
  <c r="F489" i="3"/>
  <c r="AC489" i="3" s="1"/>
  <c r="G489" i="3"/>
  <c r="H489" i="3"/>
  <c r="I489" i="3"/>
  <c r="J489" i="3"/>
  <c r="K489" i="3"/>
  <c r="M489" i="3"/>
  <c r="N489" i="3"/>
  <c r="L489" i="3" s="1"/>
  <c r="Q489" i="3"/>
  <c r="R489" i="3"/>
  <c r="S489" i="3"/>
  <c r="T489" i="3"/>
  <c r="U489" i="3"/>
  <c r="V489" i="3"/>
  <c r="W489" i="3"/>
  <c r="X489" i="3"/>
  <c r="Y489" i="3"/>
  <c r="Z489" i="3"/>
  <c r="AA489" i="3"/>
  <c r="AB489" i="3"/>
  <c r="AE489" i="3"/>
  <c r="AF489" i="3"/>
  <c r="AG489" i="3"/>
  <c r="A490" i="3"/>
  <c r="B490" i="3"/>
  <c r="D490" i="3" s="1"/>
  <c r="C490" i="3"/>
  <c r="E490" i="3"/>
  <c r="F490" i="3"/>
  <c r="AC490" i="3" s="1"/>
  <c r="G490" i="3"/>
  <c r="H490" i="3"/>
  <c r="I490" i="3"/>
  <c r="J490" i="3"/>
  <c r="K490" i="3"/>
  <c r="M490" i="3"/>
  <c r="N490" i="3"/>
  <c r="L490" i="3" s="1"/>
  <c r="Q490" i="3"/>
  <c r="R490" i="3"/>
  <c r="S490" i="3"/>
  <c r="T490" i="3"/>
  <c r="U490" i="3"/>
  <c r="V490" i="3"/>
  <c r="W490" i="3"/>
  <c r="X490" i="3"/>
  <c r="Y490" i="3"/>
  <c r="Z490" i="3"/>
  <c r="AA490" i="3"/>
  <c r="AB490" i="3"/>
  <c r="AE490" i="3"/>
  <c r="AF490" i="3"/>
  <c r="AG490" i="3"/>
  <c r="A491" i="3"/>
  <c r="B491" i="3"/>
  <c r="D491" i="3" s="1"/>
  <c r="C491" i="3"/>
  <c r="E491" i="3"/>
  <c r="F491" i="3"/>
  <c r="AC491" i="3" s="1"/>
  <c r="G491" i="3"/>
  <c r="H491" i="3"/>
  <c r="I491" i="3"/>
  <c r="J491" i="3"/>
  <c r="K491" i="3"/>
  <c r="M491" i="3"/>
  <c r="N491" i="3"/>
  <c r="L491" i="3" s="1"/>
  <c r="Q491" i="3"/>
  <c r="R491" i="3"/>
  <c r="S491" i="3"/>
  <c r="T491" i="3"/>
  <c r="U491" i="3"/>
  <c r="V491" i="3"/>
  <c r="W491" i="3"/>
  <c r="X491" i="3"/>
  <c r="Y491" i="3"/>
  <c r="Z491" i="3"/>
  <c r="AA491" i="3"/>
  <c r="AB491" i="3"/>
  <c r="AE491" i="3"/>
  <c r="AF491" i="3"/>
  <c r="AG491" i="3"/>
  <c r="A492" i="3"/>
  <c r="B492" i="3"/>
  <c r="D492" i="3" s="1"/>
  <c r="C492" i="3"/>
  <c r="E492" i="3"/>
  <c r="F492" i="3"/>
  <c r="AC492" i="3" s="1"/>
  <c r="G492" i="3"/>
  <c r="H492" i="3"/>
  <c r="I492" i="3"/>
  <c r="J492" i="3"/>
  <c r="K492" i="3"/>
  <c r="M492" i="3"/>
  <c r="N492" i="3"/>
  <c r="L492" i="3" s="1"/>
  <c r="Q492" i="3"/>
  <c r="R492" i="3"/>
  <c r="S492" i="3"/>
  <c r="T492" i="3"/>
  <c r="U492" i="3"/>
  <c r="V492" i="3"/>
  <c r="W492" i="3"/>
  <c r="X492" i="3"/>
  <c r="Y492" i="3"/>
  <c r="Z492" i="3"/>
  <c r="AA492" i="3"/>
  <c r="AB492" i="3"/>
  <c r="AE492" i="3"/>
  <c r="AF492" i="3"/>
  <c r="AG492" i="3"/>
  <c r="A493" i="3"/>
  <c r="B493" i="3"/>
  <c r="D493" i="3" s="1"/>
  <c r="C493" i="3"/>
  <c r="E493" i="3"/>
  <c r="F493" i="3"/>
  <c r="AC493" i="3" s="1"/>
  <c r="G493" i="3"/>
  <c r="H493" i="3"/>
  <c r="I493" i="3"/>
  <c r="J493" i="3"/>
  <c r="K493" i="3"/>
  <c r="M493" i="3"/>
  <c r="N493" i="3"/>
  <c r="L493" i="3" s="1"/>
  <c r="Q493" i="3"/>
  <c r="R493" i="3"/>
  <c r="S493" i="3"/>
  <c r="T493" i="3"/>
  <c r="U493" i="3"/>
  <c r="V493" i="3"/>
  <c r="W493" i="3"/>
  <c r="X493" i="3"/>
  <c r="Y493" i="3"/>
  <c r="Z493" i="3"/>
  <c r="AA493" i="3"/>
  <c r="AB493" i="3"/>
  <c r="AE493" i="3"/>
  <c r="AF493" i="3"/>
  <c r="AG493" i="3"/>
  <c r="A494" i="3"/>
  <c r="B494" i="3"/>
  <c r="D494" i="3" s="1"/>
  <c r="C494" i="3"/>
  <c r="E494" i="3"/>
  <c r="F494" i="3"/>
  <c r="AC494" i="3" s="1"/>
  <c r="G494" i="3"/>
  <c r="H494" i="3"/>
  <c r="I494" i="3"/>
  <c r="J494" i="3"/>
  <c r="K494" i="3"/>
  <c r="M494" i="3"/>
  <c r="N494" i="3"/>
  <c r="L494" i="3" s="1"/>
  <c r="Q494" i="3"/>
  <c r="R494" i="3"/>
  <c r="S494" i="3"/>
  <c r="T494" i="3"/>
  <c r="U494" i="3"/>
  <c r="V494" i="3"/>
  <c r="W494" i="3"/>
  <c r="X494" i="3"/>
  <c r="Y494" i="3"/>
  <c r="Z494" i="3"/>
  <c r="AA494" i="3"/>
  <c r="AB494" i="3"/>
  <c r="AE494" i="3"/>
  <c r="AF494" i="3"/>
  <c r="AG494" i="3"/>
  <c r="A495" i="3"/>
  <c r="B495" i="3"/>
  <c r="D495" i="3" s="1"/>
  <c r="C495" i="3"/>
  <c r="E495" i="3"/>
  <c r="F495" i="3"/>
  <c r="AC495" i="3" s="1"/>
  <c r="G495" i="3"/>
  <c r="H495" i="3"/>
  <c r="I495" i="3"/>
  <c r="J495" i="3"/>
  <c r="K495" i="3"/>
  <c r="M495" i="3"/>
  <c r="N495" i="3"/>
  <c r="L495" i="3" s="1"/>
  <c r="Q495" i="3"/>
  <c r="R495" i="3"/>
  <c r="S495" i="3"/>
  <c r="T495" i="3"/>
  <c r="U495" i="3"/>
  <c r="V495" i="3"/>
  <c r="W495" i="3"/>
  <c r="X495" i="3"/>
  <c r="Y495" i="3"/>
  <c r="Z495" i="3"/>
  <c r="AA495" i="3"/>
  <c r="AB495" i="3"/>
  <c r="AE495" i="3"/>
  <c r="AF495" i="3"/>
  <c r="AG495" i="3"/>
  <c r="A496" i="3"/>
  <c r="B496" i="3"/>
  <c r="D496" i="3" s="1"/>
  <c r="C496" i="3"/>
  <c r="E496" i="3"/>
  <c r="F496" i="3"/>
  <c r="AC496" i="3" s="1"/>
  <c r="G496" i="3"/>
  <c r="H496" i="3"/>
  <c r="I496" i="3"/>
  <c r="J496" i="3"/>
  <c r="K496" i="3"/>
  <c r="M496" i="3"/>
  <c r="N496" i="3"/>
  <c r="L496" i="3" s="1"/>
  <c r="Q496" i="3"/>
  <c r="R496" i="3"/>
  <c r="S496" i="3"/>
  <c r="T496" i="3"/>
  <c r="U496" i="3"/>
  <c r="V496" i="3"/>
  <c r="W496" i="3"/>
  <c r="X496" i="3"/>
  <c r="Y496" i="3"/>
  <c r="Z496" i="3"/>
  <c r="AA496" i="3"/>
  <c r="AB496" i="3"/>
  <c r="AE496" i="3"/>
  <c r="AF496" i="3"/>
  <c r="AG496" i="3"/>
  <c r="A497" i="3"/>
  <c r="B497" i="3"/>
  <c r="D497" i="3" s="1"/>
  <c r="C497" i="3"/>
  <c r="E497" i="3"/>
  <c r="F497" i="3"/>
  <c r="AC497" i="3" s="1"/>
  <c r="G497" i="3"/>
  <c r="H497" i="3"/>
  <c r="I497" i="3"/>
  <c r="J497" i="3"/>
  <c r="K497" i="3"/>
  <c r="M497" i="3"/>
  <c r="N497" i="3"/>
  <c r="L497" i="3" s="1"/>
  <c r="Q497" i="3"/>
  <c r="R497" i="3"/>
  <c r="S497" i="3"/>
  <c r="T497" i="3"/>
  <c r="U497" i="3"/>
  <c r="V497" i="3"/>
  <c r="W497" i="3"/>
  <c r="X497" i="3"/>
  <c r="Y497" i="3"/>
  <c r="Z497" i="3"/>
  <c r="AA497" i="3"/>
  <c r="AB497" i="3"/>
  <c r="AE497" i="3"/>
  <c r="AF497" i="3"/>
  <c r="AG497" i="3"/>
  <c r="A498" i="3"/>
  <c r="B498" i="3"/>
  <c r="D498" i="3" s="1"/>
  <c r="C498" i="3"/>
  <c r="E498" i="3"/>
  <c r="F498" i="3"/>
  <c r="AC498" i="3" s="1"/>
  <c r="G498" i="3"/>
  <c r="H498" i="3"/>
  <c r="I498" i="3"/>
  <c r="J498" i="3"/>
  <c r="K498" i="3"/>
  <c r="M498" i="3"/>
  <c r="N498" i="3"/>
  <c r="L498" i="3" s="1"/>
  <c r="Q498" i="3"/>
  <c r="R498" i="3"/>
  <c r="S498" i="3"/>
  <c r="T498" i="3"/>
  <c r="U498" i="3"/>
  <c r="V498" i="3"/>
  <c r="W498" i="3"/>
  <c r="X498" i="3"/>
  <c r="Y498" i="3"/>
  <c r="Z498" i="3"/>
  <c r="AA498" i="3"/>
  <c r="AB498" i="3"/>
  <c r="AE498" i="3"/>
  <c r="AF498" i="3"/>
  <c r="AG498" i="3"/>
  <c r="A499" i="3"/>
  <c r="B499" i="3"/>
  <c r="D499" i="3" s="1"/>
  <c r="C499" i="3"/>
  <c r="E499" i="3"/>
  <c r="F499" i="3"/>
  <c r="AC499" i="3" s="1"/>
  <c r="G499" i="3"/>
  <c r="H499" i="3"/>
  <c r="I499" i="3"/>
  <c r="J499" i="3"/>
  <c r="K499" i="3"/>
  <c r="M499" i="3"/>
  <c r="N499" i="3"/>
  <c r="L499" i="3" s="1"/>
  <c r="Q499" i="3"/>
  <c r="R499" i="3"/>
  <c r="S499" i="3"/>
  <c r="T499" i="3"/>
  <c r="U499" i="3"/>
  <c r="V499" i="3"/>
  <c r="W499" i="3"/>
  <c r="X499" i="3"/>
  <c r="Y499" i="3"/>
  <c r="Z499" i="3"/>
  <c r="AA499" i="3"/>
  <c r="AB499" i="3"/>
  <c r="AE499" i="3"/>
  <c r="AF499" i="3"/>
  <c r="AG499" i="3"/>
  <c r="A500" i="3"/>
  <c r="B500" i="3"/>
  <c r="D500" i="3" s="1"/>
  <c r="C500" i="3"/>
  <c r="E500" i="3"/>
  <c r="F500" i="3"/>
  <c r="AC500" i="3" s="1"/>
  <c r="G500" i="3"/>
  <c r="H500" i="3"/>
  <c r="I500" i="3"/>
  <c r="J500" i="3"/>
  <c r="K500" i="3"/>
  <c r="M500" i="3"/>
  <c r="N500" i="3"/>
  <c r="L500" i="3" s="1"/>
  <c r="Q500" i="3"/>
  <c r="R500" i="3"/>
  <c r="S500" i="3"/>
  <c r="T500" i="3"/>
  <c r="U500" i="3"/>
  <c r="V500" i="3"/>
  <c r="W500" i="3"/>
  <c r="X500" i="3"/>
  <c r="Y500" i="3"/>
  <c r="Z500" i="3"/>
  <c r="AA500" i="3"/>
  <c r="AB500" i="3"/>
  <c r="AE500" i="3"/>
  <c r="AF500" i="3"/>
  <c r="AG500" i="3"/>
  <c r="A501" i="3"/>
  <c r="B501" i="3"/>
  <c r="D501" i="3" s="1"/>
  <c r="C501" i="3"/>
  <c r="E501" i="3"/>
  <c r="F501" i="3"/>
  <c r="AC501" i="3" s="1"/>
  <c r="G501" i="3"/>
  <c r="H501" i="3"/>
  <c r="I501" i="3"/>
  <c r="J501" i="3"/>
  <c r="K501" i="3"/>
  <c r="M501" i="3"/>
  <c r="N501" i="3"/>
  <c r="L501" i="3" s="1"/>
  <c r="Q501" i="3"/>
  <c r="R501" i="3"/>
  <c r="S501" i="3"/>
  <c r="T501" i="3"/>
  <c r="U501" i="3"/>
  <c r="V501" i="3"/>
  <c r="W501" i="3"/>
  <c r="X501" i="3"/>
  <c r="Y501" i="3"/>
  <c r="Z501" i="3"/>
  <c r="AA501" i="3"/>
  <c r="AB501" i="3"/>
  <c r="AE501" i="3"/>
  <c r="AF501" i="3"/>
  <c r="AG501" i="3"/>
  <c r="A502" i="3"/>
  <c r="B502" i="3"/>
  <c r="D502" i="3" s="1"/>
  <c r="C502" i="3"/>
  <c r="E502" i="3"/>
  <c r="F502" i="3"/>
  <c r="AC502" i="3" s="1"/>
  <c r="G502" i="3"/>
  <c r="H502" i="3"/>
  <c r="I502" i="3"/>
  <c r="J502" i="3"/>
  <c r="K502" i="3"/>
  <c r="M502" i="3"/>
  <c r="N502" i="3"/>
  <c r="L502" i="3" s="1"/>
  <c r="Q502" i="3"/>
  <c r="R502" i="3"/>
  <c r="S502" i="3"/>
  <c r="T502" i="3"/>
  <c r="U502" i="3"/>
  <c r="V502" i="3"/>
  <c r="W502" i="3"/>
  <c r="X502" i="3"/>
  <c r="Y502" i="3"/>
  <c r="Z502" i="3"/>
  <c r="AA502" i="3"/>
  <c r="AB502" i="3"/>
  <c r="AE502" i="3"/>
  <c r="AF502" i="3"/>
  <c r="AG502" i="3"/>
  <c r="A503" i="3"/>
  <c r="B503" i="3"/>
  <c r="D503" i="3" s="1"/>
  <c r="C503" i="3"/>
  <c r="E503" i="3"/>
  <c r="F503" i="3"/>
  <c r="AC503" i="3" s="1"/>
  <c r="G503" i="3"/>
  <c r="H503" i="3"/>
  <c r="I503" i="3"/>
  <c r="J503" i="3"/>
  <c r="K503" i="3"/>
  <c r="M503" i="3"/>
  <c r="N503" i="3"/>
  <c r="L503" i="3" s="1"/>
  <c r="Q503" i="3"/>
  <c r="R503" i="3"/>
  <c r="S503" i="3"/>
  <c r="T503" i="3"/>
  <c r="U503" i="3"/>
  <c r="V503" i="3"/>
  <c r="W503" i="3"/>
  <c r="X503" i="3"/>
  <c r="Y503" i="3"/>
  <c r="Z503" i="3"/>
  <c r="AA503" i="3"/>
  <c r="AB503" i="3"/>
  <c r="AE503" i="3"/>
  <c r="AF503" i="3"/>
  <c r="AG503" i="3"/>
  <c r="A504" i="3"/>
  <c r="B504" i="3"/>
  <c r="D504" i="3" s="1"/>
  <c r="C504" i="3"/>
  <c r="E504" i="3"/>
  <c r="F504" i="3"/>
  <c r="AC504" i="3" s="1"/>
  <c r="G504" i="3"/>
  <c r="H504" i="3"/>
  <c r="I504" i="3"/>
  <c r="J504" i="3"/>
  <c r="K504" i="3"/>
  <c r="M504" i="3"/>
  <c r="N504" i="3"/>
  <c r="L504" i="3" s="1"/>
  <c r="Q504" i="3"/>
  <c r="R504" i="3"/>
  <c r="S504" i="3"/>
  <c r="T504" i="3"/>
  <c r="U504" i="3"/>
  <c r="V504" i="3"/>
  <c r="W504" i="3"/>
  <c r="X504" i="3"/>
  <c r="Y504" i="3"/>
  <c r="Z504" i="3"/>
  <c r="AA504" i="3"/>
  <c r="AB504" i="3"/>
  <c r="AE504" i="3"/>
  <c r="AF504" i="3"/>
  <c r="AG504" i="3"/>
  <c r="A505" i="3"/>
  <c r="B505" i="3"/>
  <c r="D505" i="3" s="1"/>
  <c r="C505" i="3"/>
  <c r="E505" i="3"/>
  <c r="F505" i="3"/>
  <c r="AC505" i="3" s="1"/>
  <c r="G505" i="3"/>
  <c r="H505" i="3"/>
  <c r="I505" i="3"/>
  <c r="J505" i="3"/>
  <c r="K505" i="3"/>
  <c r="M505" i="3"/>
  <c r="N505" i="3"/>
  <c r="L505" i="3" s="1"/>
  <c r="Q505" i="3"/>
  <c r="R505" i="3"/>
  <c r="S505" i="3"/>
  <c r="T505" i="3"/>
  <c r="U505" i="3"/>
  <c r="V505" i="3"/>
  <c r="W505" i="3"/>
  <c r="X505" i="3"/>
  <c r="Y505" i="3"/>
  <c r="Z505" i="3"/>
  <c r="AA505" i="3"/>
  <c r="AB505" i="3"/>
  <c r="AE505" i="3"/>
  <c r="AF505" i="3"/>
  <c r="AG505" i="3"/>
  <c r="A506" i="3"/>
  <c r="B506" i="3"/>
  <c r="D506" i="3" s="1"/>
  <c r="C506" i="3"/>
  <c r="E506" i="3"/>
  <c r="F506" i="3"/>
  <c r="AC506" i="3" s="1"/>
  <c r="G506" i="3"/>
  <c r="H506" i="3"/>
  <c r="I506" i="3"/>
  <c r="J506" i="3"/>
  <c r="K506" i="3"/>
  <c r="M506" i="3"/>
  <c r="N506" i="3"/>
  <c r="L506" i="3" s="1"/>
  <c r="Q506" i="3"/>
  <c r="R506" i="3"/>
  <c r="S506" i="3"/>
  <c r="T506" i="3"/>
  <c r="U506" i="3"/>
  <c r="V506" i="3"/>
  <c r="W506" i="3"/>
  <c r="X506" i="3"/>
  <c r="Y506" i="3"/>
  <c r="Z506" i="3"/>
  <c r="AA506" i="3"/>
  <c r="AB506" i="3"/>
  <c r="AE506" i="3"/>
  <c r="AF506" i="3"/>
  <c r="AG506" i="3"/>
  <c r="A507" i="3"/>
  <c r="B507" i="3"/>
  <c r="D507" i="3" s="1"/>
  <c r="C507" i="3"/>
  <c r="E507" i="3"/>
  <c r="F507" i="3"/>
  <c r="AC507" i="3" s="1"/>
  <c r="G507" i="3"/>
  <c r="H507" i="3"/>
  <c r="I507" i="3"/>
  <c r="J507" i="3"/>
  <c r="K507" i="3"/>
  <c r="M507" i="3"/>
  <c r="N507" i="3"/>
  <c r="L507" i="3" s="1"/>
  <c r="Q507" i="3"/>
  <c r="R507" i="3"/>
  <c r="S507" i="3"/>
  <c r="T507" i="3"/>
  <c r="U507" i="3"/>
  <c r="V507" i="3"/>
  <c r="W507" i="3"/>
  <c r="X507" i="3"/>
  <c r="Y507" i="3"/>
  <c r="Z507" i="3"/>
  <c r="AA507" i="3"/>
  <c r="AB507" i="3"/>
  <c r="AE507" i="3"/>
  <c r="AF507" i="3"/>
  <c r="AG507" i="3"/>
  <c r="A508" i="3"/>
  <c r="B508" i="3"/>
  <c r="D508" i="3" s="1"/>
  <c r="C508" i="3"/>
  <c r="E508" i="3"/>
  <c r="F508" i="3"/>
  <c r="AC508" i="3" s="1"/>
  <c r="G508" i="3"/>
  <c r="H508" i="3"/>
  <c r="I508" i="3"/>
  <c r="J508" i="3"/>
  <c r="K508" i="3"/>
  <c r="M508" i="3"/>
  <c r="N508" i="3"/>
  <c r="L508" i="3" s="1"/>
  <c r="Q508" i="3"/>
  <c r="R508" i="3"/>
  <c r="S508" i="3"/>
  <c r="T508" i="3"/>
  <c r="U508" i="3"/>
  <c r="V508" i="3"/>
  <c r="W508" i="3"/>
  <c r="X508" i="3"/>
  <c r="Y508" i="3"/>
  <c r="Z508" i="3"/>
  <c r="AA508" i="3"/>
  <c r="AB508" i="3"/>
  <c r="AE508" i="3"/>
  <c r="AF508" i="3"/>
  <c r="AG508" i="3"/>
  <c r="A509" i="3"/>
  <c r="B509" i="3"/>
  <c r="D509" i="3" s="1"/>
  <c r="C509" i="3"/>
  <c r="E509" i="3"/>
  <c r="F509" i="3"/>
  <c r="AC509" i="3" s="1"/>
  <c r="G509" i="3"/>
  <c r="H509" i="3"/>
  <c r="I509" i="3"/>
  <c r="J509" i="3"/>
  <c r="K509" i="3"/>
  <c r="M509" i="3"/>
  <c r="N509" i="3"/>
  <c r="L509" i="3" s="1"/>
  <c r="Q509" i="3"/>
  <c r="R509" i="3"/>
  <c r="S509" i="3"/>
  <c r="T509" i="3"/>
  <c r="U509" i="3"/>
  <c r="V509" i="3"/>
  <c r="W509" i="3"/>
  <c r="X509" i="3"/>
  <c r="Y509" i="3"/>
  <c r="Z509" i="3"/>
  <c r="AA509" i="3"/>
  <c r="AB509" i="3"/>
  <c r="AE509" i="3"/>
  <c r="AF509" i="3"/>
  <c r="AG509" i="3"/>
  <c r="A510" i="3"/>
  <c r="B510" i="3"/>
  <c r="D510" i="3" s="1"/>
  <c r="C510" i="3"/>
  <c r="E510" i="3"/>
  <c r="F510" i="3"/>
  <c r="AC510" i="3" s="1"/>
  <c r="G510" i="3"/>
  <c r="H510" i="3"/>
  <c r="I510" i="3"/>
  <c r="J510" i="3"/>
  <c r="K510" i="3"/>
  <c r="M510" i="3"/>
  <c r="N510" i="3"/>
  <c r="L510" i="3" s="1"/>
  <c r="Q510" i="3"/>
  <c r="R510" i="3"/>
  <c r="S510" i="3"/>
  <c r="T510" i="3"/>
  <c r="U510" i="3"/>
  <c r="V510" i="3"/>
  <c r="W510" i="3"/>
  <c r="X510" i="3"/>
  <c r="Y510" i="3"/>
  <c r="Z510" i="3"/>
  <c r="AA510" i="3"/>
  <c r="AB510" i="3"/>
  <c r="AE510" i="3"/>
  <c r="AF510" i="3"/>
  <c r="AG510" i="3"/>
  <c r="A511" i="3"/>
  <c r="B511" i="3"/>
  <c r="D511" i="3" s="1"/>
  <c r="C511" i="3"/>
  <c r="E511" i="3"/>
  <c r="F511" i="3"/>
  <c r="AC511" i="3" s="1"/>
  <c r="G511" i="3"/>
  <c r="H511" i="3"/>
  <c r="I511" i="3"/>
  <c r="J511" i="3"/>
  <c r="K511" i="3"/>
  <c r="M511" i="3"/>
  <c r="N511" i="3"/>
  <c r="L511" i="3" s="1"/>
  <c r="Q511" i="3"/>
  <c r="R511" i="3"/>
  <c r="S511" i="3"/>
  <c r="T511" i="3"/>
  <c r="U511" i="3"/>
  <c r="V511" i="3"/>
  <c r="W511" i="3"/>
  <c r="X511" i="3"/>
  <c r="Y511" i="3"/>
  <c r="Z511" i="3"/>
  <c r="AA511" i="3"/>
  <c r="AB511" i="3"/>
  <c r="AE511" i="3"/>
  <c r="AF511" i="3"/>
  <c r="AG511" i="3"/>
  <c r="A512" i="3"/>
  <c r="B512" i="3"/>
  <c r="D512" i="3" s="1"/>
  <c r="C512" i="3"/>
  <c r="E512" i="3"/>
  <c r="F512" i="3"/>
  <c r="AC512" i="3" s="1"/>
  <c r="G512" i="3"/>
  <c r="H512" i="3"/>
  <c r="I512" i="3"/>
  <c r="J512" i="3"/>
  <c r="K512" i="3"/>
  <c r="M512" i="3"/>
  <c r="N512" i="3"/>
  <c r="L512" i="3" s="1"/>
  <c r="Q512" i="3"/>
  <c r="R512" i="3"/>
  <c r="S512" i="3"/>
  <c r="T512" i="3"/>
  <c r="U512" i="3"/>
  <c r="V512" i="3"/>
  <c r="W512" i="3"/>
  <c r="X512" i="3"/>
  <c r="Y512" i="3"/>
  <c r="Z512" i="3"/>
  <c r="AA512" i="3"/>
  <c r="AB512" i="3"/>
  <c r="AE512" i="3"/>
  <c r="AF512" i="3"/>
  <c r="AG512" i="3"/>
  <c r="A513" i="3"/>
  <c r="B513" i="3"/>
  <c r="D513" i="3" s="1"/>
  <c r="C513" i="3"/>
  <c r="E513" i="3"/>
  <c r="F513" i="3"/>
  <c r="AC513" i="3" s="1"/>
  <c r="G513" i="3"/>
  <c r="H513" i="3"/>
  <c r="I513" i="3"/>
  <c r="J513" i="3"/>
  <c r="K513" i="3"/>
  <c r="M513" i="3"/>
  <c r="N513" i="3"/>
  <c r="L513" i="3" s="1"/>
  <c r="Q513" i="3"/>
  <c r="R513" i="3"/>
  <c r="S513" i="3"/>
  <c r="T513" i="3"/>
  <c r="U513" i="3"/>
  <c r="V513" i="3"/>
  <c r="W513" i="3"/>
  <c r="X513" i="3"/>
  <c r="Y513" i="3"/>
  <c r="Z513" i="3"/>
  <c r="AA513" i="3"/>
  <c r="AB513" i="3"/>
  <c r="AE513" i="3"/>
  <c r="AF513" i="3"/>
  <c r="AG513" i="3"/>
  <c r="A514" i="3"/>
  <c r="B514" i="3"/>
  <c r="D514" i="3" s="1"/>
  <c r="C514" i="3"/>
  <c r="E514" i="3"/>
  <c r="F514" i="3"/>
  <c r="AC514" i="3" s="1"/>
  <c r="G514" i="3"/>
  <c r="H514" i="3"/>
  <c r="I514" i="3"/>
  <c r="J514" i="3"/>
  <c r="K514" i="3"/>
  <c r="M514" i="3"/>
  <c r="N514" i="3"/>
  <c r="L514" i="3" s="1"/>
  <c r="Q514" i="3"/>
  <c r="R514" i="3"/>
  <c r="S514" i="3"/>
  <c r="T514" i="3"/>
  <c r="U514" i="3"/>
  <c r="V514" i="3"/>
  <c r="W514" i="3"/>
  <c r="X514" i="3"/>
  <c r="Y514" i="3"/>
  <c r="Z514" i="3"/>
  <c r="AA514" i="3"/>
  <c r="AB514" i="3"/>
  <c r="AE514" i="3"/>
  <c r="AF514" i="3"/>
  <c r="AG514" i="3"/>
  <c r="A515" i="3"/>
  <c r="B515" i="3"/>
  <c r="D515" i="3" s="1"/>
  <c r="C515" i="3"/>
  <c r="E515" i="3"/>
  <c r="F515" i="3"/>
  <c r="AC515" i="3" s="1"/>
  <c r="G515" i="3"/>
  <c r="H515" i="3"/>
  <c r="I515" i="3"/>
  <c r="J515" i="3"/>
  <c r="K515" i="3"/>
  <c r="M515" i="3"/>
  <c r="N515" i="3"/>
  <c r="L515" i="3" s="1"/>
  <c r="Q515" i="3"/>
  <c r="R515" i="3"/>
  <c r="S515" i="3"/>
  <c r="T515" i="3"/>
  <c r="U515" i="3"/>
  <c r="V515" i="3"/>
  <c r="W515" i="3"/>
  <c r="X515" i="3"/>
  <c r="Y515" i="3"/>
  <c r="Z515" i="3"/>
  <c r="AA515" i="3"/>
  <c r="AB515" i="3"/>
  <c r="AE515" i="3"/>
  <c r="AF515" i="3"/>
  <c r="AG515" i="3"/>
  <c r="A516" i="3"/>
  <c r="B516" i="3"/>
  <c r="D516" i="3" s="1"/>
  <c r="C516" i="3"/>
  <c r="E516" i="3"/>
  <c r="F516" i="3"/>
  <c r="AC516" i="3" s="1"/>
  <c r="G516" i="3"/>
  <c r="H516" i="3"/>
  <c r="I516" i="3"/>
  <c r="J516" i="3"/>
  <c r="K516" i="3"/>
  <c r="M516" i="3"/>
  <c r="N516" i="3"/>
  <c r="L516" i="3" s="1"/>
  <c r="Q516" i="3"/>
  <c r="R516" i="3"/>
  <c r="S516" i="3"/>
  <c r="T516" i="3"/>
  <c r="U516" i="3"/>
  <c r="V516" i="3"/>
  <c r="W516" i="3"/>
  <c r="X516" i="3"/>
  <c r="Y516" i="3"/>
  <c r="Z516" i="3"/>
  <c r="AA516" i="3"/>
  <c r="AB516" i="3"/>
  <c r="AE516" i="3"/>
  <c r="AF516" i="3"/>
  <c r="AG516" i="3"/>
  <c r="A517" i="3"/>
  <c r="B517" i="3"/>
  <c r="D517" i="3" s="1"/>
  <c r="C517" i="3"/>
  <c r="E517" i="3"/>
  <c r="F517" i="3"/>
  <c r="AC517" i="3" s="1"/>
  <c r="G517" i="3"/>
  <c r="H517" i="3"/>
  <c r="I517" i="3"/>
  <c r="J517" i="3"/>
  <c r="K517" i="3"/>
  <c r="M517" i="3"/>
  <c r="N517" i="3"/>
  <c r="L517" i="3" s="1"/>
  <c r="Q517" i="3"/>
  <c r="R517" i="3"/>
  <c r="S517" i="3"/>
  <c r="T517" i="3"/>
  <c r="U517" i="3"/>
  <c r="V517" i="3"/>
  <c r="W517" i="3"/>
  <c r="X517" i="3"/>
  <c r="Y517" i="3"/>
  <c r="Z517" i="3"/>
  <c r="AA517" i="3"/>
  <c r="AB517" i="3"/>
  <c r="AE517" i="3"/>
  <c r="AF517" i="3"/>
  <c r="AG517" i="3"/>
  <c r="A518" i="3"/>
  <c r="B518" i="3"/>
  <c r="D518" i="3" s="1"/>
  <c r="C518" i="3"/>
  <c r="E518" i="3"/>
  <c r="F518" i="3"/>
  <c r="AC518" i="3" s="1"/>
  <c r="G518" i="3"/>
  <c r="H518" i="3"/>
  <c r="I518" i="3"/>
  <c r="J518" i="3"/>
  <c r="K518" i="3"/>
  <c r="M518" i="3"/>
  <c r="N518" i="3"/>
  <c r="L518" i="3" s="1"/>
  <c r="Q518" i="3"/>
  <c r="R518" i="3"/>
  <c r="S518" i="3"/>
  <c r="T518" i="3"/>
  <c r="U518" i="3"/>
  <c r="V518" i="3"/>
  <c r="W518" i="3"/>
  <c r="X518" i="3"/>
  <c r="Y518" i="3"/>
  <c r="Z518" i="3"/>
  <c r="AA518" i="3"/>
  <c r="AB518" i="3"/>
  <c r="AE518" i="3"/>
  <c r="AF518" i="3"/>
  <c r="AG518" i="3"/>
  <c r="A519" i="3"/>
  <c r="B519" i="3"/>
  <c r="D519" i="3" s="1"/>
  <c r="C519" i="3"/>
  <c r="E519" i="3"/>
  <c r="F519" i="3"/>
  <c r="AC519" i="3" s="1"/>
  <c r="G519" i="3"/>
  <c r="H519" i="3"/>
  <c r="I519" i="3"/>
  <c r="J519" i="3"/>
  <c r="K519" i="3"/>
  <c r="M519" i="3"/>
  <c r="N519" i="3"/>
  <c r="L519" i="3" s="1"/>
  <c r="Q519" i="3"/>
  <c r="R519" i="3"/>
  <c r="S519" i="3"/>
  <c r="T519" i="3"/>
  <c r="U519" i="3"/>
  <c r="V519" i="3"/>
  <c r="W519" i="3"/>
  <c r="X519" i="3"/>
  <c r="Y519" i="3"/>
  <c r="Z519" i="3"/>
  <c r="AA519" i="3"/>
  <c r="AB519" i="3"/>
  <c r="AE519" i="3"/>
  <c r="AF519" i="3"/>
  <c r="AG519" i="3"/>
  <c r="A520" i="3"/>
  <c r="B520" i="3"/>
  <c r="D520" i="3" s="1"/>
  <c r="C520" i="3"/>
  <c r="E520" i="3"/>
  <c r="F520" i="3"/>
  <c r="AC520" i="3" s="1"/>
  <c r="G520" i="3"/>
  <c r="H520" i="3"/>
  <c r="I520" i="3"/>
  <c r="J520" i="3"/>
  <c r="K520" i="3"/>
  <c r="M520" i="3"/>
  <c r="N520" i="3"/>
  <c r="L520" i="3" s="1"/>
  <c r="Q520" i="3"/>
  <c r="R520" i="3"/>
  <c r="S520" i="3"/>
  <c r="T520" i="3"/>
  <c r="U520" i="3"/>
  <c r="V520" i="3"/>
  <c r="W520" i="3"/>
  <c r="X520" i="3"/>
  <c r="Y520" i="3"/>
  <c r="Z520" i="3"/>
  <c r="AA520" i="3"/>
  <c r="AB520" i="3"/>
  <c r="AE520" i="3"/>
  <c r="AF520" i="3"/>
  <c r="AG520" i="3"/>
  <c r="A521" i="3"/>
  <c r="B521" i="3"/>
  <c r="D521" i="3" s="1"/>
  <c r="C521" i="3"/>
  <c r="E521" i="3"/>
  <c r="F521" i="3"/>
  <c r="AC521" i="3" s="1"/>
  <c r="G521" i="3"/>
  <c r="H521" i="3"/>
  <c r="I521" i="3"/>
  <c r="J521" i="3"/>
  <c r="K521" i="3"/>
  <c r="M521" i="3"/>
  <c r="N521" i="3"/>
  <c r="L521" i="3" s="1"/>
  <c r="Q521" i="3"/>
  <c r="R521" i="3"/>
  <c r="S521" i="3"/>
  <c r="T521" i="3"/>
  <c r="U521" i="3"/>
  <c r="V521" i="3"/>
  <c r="W521" i="3"/>
  <c r="X521" i="3"/>
  <c r="Y521" i="3"/>
  <c r="Z521" i="3"/>
  <c r="AA521" i="3"/>
  <c r="AB521" i="3"/>
  <c r="AE521" i="3"/>
  <c r="AF521" i="3"/>
  <c r="AG521" i="3"/>
  <c r="A522" i="3"/>
  <c r="B522" i="3"/>
  <c r="D522" i="3" s="1"/>
  <c r="C522" i="3"/>
  <c r="E522" i="3"/>
  <c r="F522" i="3"/>
  <c r="AC522" i="3" s="1"/>
  <c r="G522" i="3"/>
  <c r="H522" i="3"/>
  <c r="I522" i="3"/>
  <c r="J522" i="3"/>
  <c r="K522" i="3"/>
  <c r="M522" i="3"/>
  <c r="N522" i="3"/>
  <c r="L522" i="3" s="1"/>
  <c r="Q522" i="3"/>
  <c r="R522" i="3"/>
  <c r="S522" i="3"/>
  <c r="T522" i="3"/>
  <c r="U522" i="3"/>
  <c r="V522" i="3"/>
  <c r="W522" i="3"/>
  <c r="X522" i="3"/>
  <c r="Y522" i="3"/>
  <c r="Z522" i="3"/>
  <c r="AA522" i="3"/>
  <c r="AB522" i="3"/>
  <c r="AE522" i="3"/>
  <c r="AF522" i="3"/>
  <c r="AG522" i="3"/>
  <c r="A523" i="3"/>
  <c r="B523" i="3"/>
  <c r="D523" i="3" s="1"/>
  <c r="C523" i="3"/>
  <c r="E523" i="3"/>
  <c r="F523" i="3"/>
  <c r="AC523" i="3" s="1"/>
  <c r="G523" i="3"/>
  <c r="H523" i="3"/>
  <c r="I523" i="3"/>
  <c r="J523" i="3"/>
  <c r="K523" i="3"/>
  <c r="M523" i="3"/>
  <c r="N523" i="3"/>
  <c r="L523" i="3" s="1"/>
  <c r="Q523" i="3"/>
  <c r="R523" i="3"/>
  <c r="S523" i="3"/>
  <c r="T523" i="3"/>
  <c r="U523" i="3"/>
  <c r="V523" i="3"/>
  <c r="W523" i="3"/>
  <c r="X523" i="3"/>
  <c r="Y523" i="3"/>
  <c r="Z523" i="3"/>
  <c r="AA523" i="3"/>
  <c r="AB523" i="3"/>
  <c r="AE523" i="3"/>
  <c r="AF523" i="3"/>
  <c r="AG523" i="3"/>
  <c r="A524" i="3"/>
  <c r="B524" i="3"/>
  <c r="D524" i="3" s="1"/>
  <c r="C524" i="3"/>
  <c r="E524" i="3"/>
  <c r="F524" i="3"/>
  <c r="AC524" i="3" s="1"/>
  <c r="G524" i="3"/>
  <c r="H524" i="3"/>
  <c r="I524" i="3"/>
  <c r="J524" i="3"/>
  <c r="K524" i="3"/>
  <c r="M524" i="3"/>
  <c r="N524" i="3"/>
  <c r="L524" i="3" s="1"/>
  <c r="Q524" i="3"/>
  <c r="R524" i="3"/>
  <c r="S524" i="3"/>
  <c r="T524" i="3"/>
  <c r="U524" i="3"/>
  <c r="V524" i="3"/>
  <c r="W524" i="3"/>
  <c r="X524" i="3"/>
  <c r="Y524" i="3"/>
  <c r="Z524" i="3"/>
  <c r="AA524" i="3"/>
  <c r="AB524" i="3"/>
  <c r="AE524" i="3"/>
  <c r="AF524" i="3"/>
  <c r="AG524" i="3"/>
  <c r="A525" i="3"/>
  <c r="B525" i="3"/>
  <c r="D525" i="3" s="1"/>
  <c r="C525" i="3"/>
  <c r="E525" i="3"/>
  <c r="F525" i="3"/>
  <c r="AC525" i="3" s="1"/>
  <c r="G525" i="3"/>
  <c r="H525" i="3"/>
  <c r="I525" i="3"/>
  <c r="J525" i="3"/>
  <c r="K525" i="3"/>
  <c r="M525" i="3"/>
  <c r="N525" i="3"/>
  <c r="L525" i="3" s="1"/>
  <c r="Q525" i="3"/>
  <c r="R525" i="3"/>
  <c r="S525" i="3"/>
  <c r="T525" i="3"/>
  <c r="U525" i="3"/>
  <c r="V525" i="3"/>
  <c r="W525" i="3"/>
  <c r="X525" i="3"/>
  <c r="Y525" i="3"/>
  <c r="Z525" i="3"/>
  <c r="AA525" i="3"/>
  <c r="AB525" i="3"/>
  <c r="AE525" i="3"/>
  <c r="AF525" i="3"/>
  <c r="AG525" i="3"/>
  <c r="A526" i="3"/>
  <c r="B526" i="3"/>
  <c r="D526" i="3" s="1"/>
  <c r="C526" i="3"/>
  <c r="E526" i="3"/>
  <c r="F526" i="3"/>
  <c r="AC526" i="3" s="1"/>
  <c r="G526" i="3"/>
  <c r="H526" i="3"/>
  <c r="I526" i="3"/>
  <c r="J526" i="3"/>
  <c r="K526" i="3"/>
  <c r="M526" i="3"/>
  <c r="N526" i="3"/>
  <c r="L526" i="3" s="1"/>
  <c r="Q526" i="3"/>
  <c r="R526" i="3"/>
  <c r="S526" i="3"/>
  <c r="T526" i="3"/>
  <c r="U526" i="3"/>
  <c r="V526" i="3"/>
  <c r="W526" i="3"/>
  <c r="X526" i="3"/>
  <c r="Y526" i="3"/>
  <c r="Z526" i="3"/>
  <c r="AA526" i="3"/>
  <c r="AB526" i="3"/>
  <c r="AE526" i="3"/>
  <c r="AF526" i="3"/>
  <c r="AG526" i="3"/>
  <c r="A527" i="3"/>
  <c r="B527" i="3"/>
  <c r="D527" i="3" s="1"/>
  <c r="C527" i="3"/>
  <c r="E527" i="3"/>
  <c r="F527" i="3"/>
  <c r="AC527" i="3" s="1"/>
  <c r="G527" i="3"/>
  <c r="H527" i="3"/>
  <c r="I527" i="3"/>
  <c r="J527" i="3"/>
  <c r="K527" i="3"/>
  <c r="M527" i="3"/>
  <c r="N527" i="3"/>
  <c r="L527" i="3" s="1"/>
  <c r="Q527" i="3"/>
  <c r="R527" i="3"/>
  <c r="S527" i="3"/>
  <c r="T527" i="3"/>
  <c r="U527" i="3"/>
  <c r="V527" i="3"/>
  <c r="W527" i="3"/>
  <c r="X527" i="3"/>
  <c r="Y527" i="3"/>
  <c r="Z527" i="3"/>
  <c r="AA527" i="3"/>
  <c r="AB527" i="3"/>
  <c r="AE527" i="3"/>
  <c r="AF527" i="3"/>
  <c r="AG527" i="3"/>
  <c r="A528" i="3"/>
  <c r="B528" i="3"/>
  <c r="D528" i="3" s="1"/>
  <c r="C528" i="3"/>
  <c r="E528" i="3"/>
  <c r="F528" i="3"/>
  <c r="AC528" i="3" s="1"/>
  <c r="G528" i="3"/>
  <c r="H528" i="3"/>
  <c r="I528" i="3"/>
  <c r="J528" i="3"/>
  <c r="K528" i="3"/>
  <c r="M528" i="3"/>
  <c r="N528" i="3"/>
  <c r="L528" i="3" s="1"/>
  <c r="Q528" i="3"/>
  <c r="R528" i="3"/>
  <c r="S528" i="3"/>
  <c r="T528" i="3"/>
  <c r="U528" i="3"/>
  <c r="V528" i="3"/>
  <c r="W528" i="3"/>
  <c r="X528" i="3"/>
  <c r="Y528" i="3"/>
  <c r="Z528" i="3"/>
  <c r="AA528" i="3"/>
  <c r="AB528" i="3"/>
  <c r="AE528" i="3"/>
  <c r="AF528" i="3"/>
  <c r="AG528" i="3"/>
  <c r="A529" i="3"/>
  <c r="B529" i="3"/>
  <c r="D529" i="3" s="1"/>
  <c r="C529" i="3"/>
  <c r="E529" i="3"/>
  <c r="F529" i="3"/>
  <c r="AC529" i="3" s="1"/>
  <c r="G529" i="3"/>
  <c r="H529" i="3"/>
  <c r="I529" i="3"/>
  <c r="J529" i="3"/>
  <c r="K529" i="3"/>
  <c r="M529" i="3"/>
  <c r="N529" i="3"/>
  <c r="L529" i="3" s="1"/>
  <c r="Q529" i="3"/>
  <c r="R529" i="3"/>
  <c r="S529" i="3"/>
  <c r="T529" i="3"/>
  <c r="U529" i="3"/>
  <c r="V529" i="3"/>
  <c r="W529" i="3"/>
  <c r="X529" i="3"/>
  <c r="Y529" i="3"/>
  <c r="Z529" i="3"/>
  <c r="AA529" i="3"/>
  <c r="AB529" i="3"/>
  <c r="AE529" i="3"/>
  <c r="AF529" i="3"/>
  <c r="AG529" i="3"/>
  <c r="A530" i="3"/>
  <c r="B530" i="3"/>
  <c r="D530" i="3" s="1"/>
  <c r="C530" i="3"/>
  <c r="E530" i="3"/>
  <c r="F530" i="3"/>
  <c r="AC530" i="3" s="1"/>
  <c r="G530" i="3"/>
  <c r="H530" i="3"/>
  <c r="I530" i="3"/>
  <c r="J530" i="3"/>
  <c r="K530" i="3"/>
  <c r="M530" i="3"/>
  <c r="N530" i="3"/>
  <c r="L530" i="3" s="1"/>
  <c r="Q530" i="3"/>
  <c r="R530" i="3"/>
  <c r="S530" i="3"/>
  <c r="T530" i="3"/>
  <c r="U530" i="3"/>
  <c r="V530" i="3"/>
  <c r="W530" i="3"/>
  <c r="X530" i="3"/>
  <c r="Y530" i="3"/>
  <c r="Z530" i="3"/>
  <c r="AA530" i="3"/>
  <c r="AB530" i="3"/>
  <c r="AE530" i="3"/>
  <c r="AF530" i="3"/>
  <c r="AG530" i="3"/>
  <c r="A531" i="3"/>
  <c r="B531" i="3"/>
  <c r="D531" i="3" s="1"/>
  <c r="C531" i="3"/>
  <c r="E531" i="3"/>
  <c r="F531" i="3"/>
  <c r="AC531" i="3" s="1"/>
  <c r="G531" i="3"/>
  <c r="H531" i="3"/>
  <c r="I531" i="3"/>
  <c r="J531" i="3"/>
  <c r="K531" i="3"/>
  <c r="M531" i="3"/>
  <c r="N531" i="3"/>
  <c r="L531" i="3" s="1"/>
  <c r="Q531" i="3"/>
  <c r="R531" i="3"/>
  <c r="S531" i="3"/>
  <c r="T531" i="3"/>
  <c r="U531" i="3"/>
  <c r="V531" i="3"/>
  <c r="W531" i="3"/>
  <c r="X531" i="3"/>
  <c r="Y531" i="3"/>
  <c r="Z531" i="3"/>
  <c r="AA531" i="3"/>
  <c r="AB531" i="3"/>
  <c r="AE531" i="3"/>
  <c r="AF531" i="3"/>
  <c r="AG531" i="3"/>
  <c r="A532" i="3"/>
  <c r="B532" i="3"/>
  <c r="D532" i="3" s="1"/>
  <c r="C532" i="3"/>
  <c r="E532" i="3"/>
  <c r="F532" i="3"/>
  <c r="AC532" i="3" s="1"/>
  <c r="G532" i="3"/>
  <c r="H532" i="3"/>
  <c r="I532" i="3"/>
  <c r="J532" i="3"/>
  <c r="K532" i="3"/>
  <c r="M532" i="3"/>
  <c r="N532" i="3"/>
  <c r="L532" i="3" s="1"/>
  <c r="Q532" i="3"/>
  <c r="R532" i="3"/>
  <c r="S532" i="3"/>
  <c r="T532" i="3"/>
  <c r="U532" i="3"/>
  <c r="V532" i="3"/>
  <c r="W532" i="3"/>
  <c r="X532" i="3"/>
  <c r="Y532" i="3"/>
  <c r="Z532" i="3"/>
  <c r="AA532" i="3"/>
  <c r="AB532" i="3"/>
  <c r="AE532" i="3"/>
  <c r="AF532" i="3"/>
  <c r="AG532" i="3"/>
  <c r="A533" i="3"/>
  <c r="B533" i="3"/>
  <c r="D533" i="3" s="1"/>
  <c r="C533" i="3"/>
  <c r="E533" i="3"/>
  <c r="F533" i="3"/>
  <c r="AC533" i="3" s="1"/>
  <c r="G533" i="3"/>
  <c r="H533" i="3"/>
  <c r="I533" i="3"/>
  <c r="J533" i="3"/>
  <c r="K533" i="3"/>
  <c r="M533" i="3"/>
  <c r="N533" i="3"/>
  <c r="L533" i="3" s="1"/>
  <c r="Q533" i="3"/>
  <c r="R533" i="3"/>
  <c r="S533" i="3"/>
  <c r="T533" i="3"/>
  <c r="U533" i="3"/>
  <c r="V533" i="3"/>
  <c r="W533" i="3"/>
  <c r="X533" i="3"/>
  <c r="Y533" i="3"/>
  <c r="Z533" i="3"/>
  <c r="AA533" i="3"/>
  <c r="AB533" i="3"/>
  <c r="AE533" i="3"/>
  <c r="AF533" i="3"/>
  <c r="AG533" i="3"/>
  <c r="A534" i="3"/>
  <c r="B534" i="3"/>
  <c r="D534" i="3" s="1"/>
  <c r="C534" i="3"/>
  <c r="E534" i="3"/>
  <c r="F534" i="3"/>
  <c r="AC534" i="3" s="1"/>
  <c r="G534" i="3"/>
  <c r="H534" i="3"/>
  <c r="I534" i="3"/>
  <c r="J534" i="3"/>
  <c r="K534" i="3"/>
  <c r="M534" i="3"/>
  <c r="N534" i="3"/>
  <c r="L534" i="3" s="1"/>
  <c r="Q534" i="3"/>
  <c r="R534" i="3"/>
  <c r="S534" i="3"/>
  <c r="T534" i="3"/>
  <c r="U534" i="3"/>
  <c r="V534" i="3"/>
  <c r="W534" i="3"/>
  <c r="X534" i="3"/>
  <c r="Y534" i="3"/>
  <c r="Z534" i="3"/>
  <c r="AA534" i="3"/>
  <c r="AB534" i="3"/>
  <c r="AE534" i="3"/>
  <c r="AF534" i="3"/>
  <c r="AG534" i="3"/>
  <c r="A535" i="3"/>
  <c r="B535" i="3"/>
  <c r="D535" i="3" s="1"/>
  <c r="C535" i="3"/>
  <c r="E535" i="3"/>
  <c r="F535" i="3"/>
  <c r="AC535" i="3" s="1"/>
  <c r="G535" i="3"/>
  <c r="H535" i="3"/>
  <c r="I535" i="3"/>
  <c r="J535" i="3"/>
  <c r="K535" i="3"/>
  <c r="M535" i="3"/>
  <c r="N535" i="3"/>
  <c r="L535" i="3" s="1"/>
  <c r="Q535" i="3"/>
  <c r="R535" i="3"/>
  <c r="S535" i="3"/>
  <c r="T535" i="3"/>
  <c r="U535" i="3"/>
  <c r="V535" i="3"/>
  <c r="W535" i="3"/>
  <c r="X535" i="3"/>
  <c r="Y535" i="3"/>
  <c r="Z535" i="3"/>
  <c r="AA535" i="3"/>
  <c r="AB535" i="3"/>
  <c r="AE535" i="3"/>
  <c r="AF535" i="3"/>
  <c r="AG535" i="3"/>
  <c r="A536" i="3"/>
  <c r="B536" i="3"/>
  <c r="D536" i="3" s="1"/>
  <c r="C536" i="3"/>
  <c r="E536" i="3"/>
  <c r="F536" i="3"/>
  <c r="AC536" i="3" s="1"/>
  <c r="G536" i="3"/>
  <c r="H536" i="3"/>
  <c r="I536" i="3"/>
  <c r="J536" i="3"/>
  <c r="K536" i="3"/>
  <c r="M536" i="3"/>
  <c r="N536" i="3"/>
  <c r="L536" i="3" s="1"/>
  <c r="Q536" i="3"/>
  <c r="R536" i="3"/>
  <c r="S536" i="3"/>
  <c r="T536" i="3"/>
  <c r="U536" i="3"/>
  <c r="V536" i="3"/>
  <c r="W536" i="3"/>
  <c r="X536" i="3"/>
  <c r="Y536" i="3"/>
  <c r="Z536" i="3"/>
  <c r="AA536" i="3"/>
  <c r="AB536" i="3"/>
  <c r="AE536" i="3"/>
  <c r="AF536" i="3"/>
  <c r="AG536" i="3"/>
  <c r="A537" i="3"/>
  <c r="B537" i="3"/>
  <c r="D537" i="3" s="1"/>
  <c r="C537" i="3"/>
  <c r="E537" i="3"/>
  <c r="F537" i="3"/>
  <c r="AC537" i="3" s="1"/>
  <c r="G537" i="3"/>
  <c r="H537" i="3"/>
  <c r="I537" i="3"/>
  <c r="J537" i="3"/>
  <c r="K537" i="3"/>
  <c r="M537" i="3"/>
  <c r="N537" i="3"/>
  <c r="L537" i="3" s="1"/>
  <c r="Q537" i="3"/>
  <c r="R537" i="3"/>
  <c r="S537" i="3"/>
  <c r="T537" i="3"/>
  <c r="U537" i="3"/>
  <c r="V537" i="3"/>
  <c r="W537" i="3"/>
  <c r="X537" i="3"/>
  <c r="Y537" i="3"/>
  <c r="Z537" i="3"/>
  <c r="AA537" i="3"/>
  <c r="AB537" i="3"/>
  <c r="AE537" i="3"/>
  <c r="AF537" i="3"/>
  <c r="AG537" i="3"/>
  <c r="A538" i="3"/>
  <c r="B538" i="3"/>
  <c r="D538" i="3" s="1"/>
  <c r="C538" i="3"/>
  <c r="E538" i="3"/>
  <c r="F538" i="3"/>
  <c r="AC538" i="3" s="1"/>
  <c r="G538" i="3"/>
  <c r="H538" i="3"/>
  <c r="I538" i="3"/>
  <c r="J538" i="3"/>
  <c r="K538" i="3"/>
  <c r="M538" i="3"/>
  <c r="N538" i="3"/>
  <c r="L538" i="3" s="1"/>
  <c r="Q538" i="3"/>
  <c r="R538" i="3"/>
  <c r="S538" i="3"/>
  <c r="T538" i="3"/>
  <c r="U538" i="3"/>
  <c r="V538" i="3"/>
  <c r="W538" i="3"/>
  <c r="X538" i="3"/>
  <c r="Y538" i="3"/>
  <c r="Z538" i="3"/>
  <c r="AA538" i="3"/>
  <c r="AB538" i="3"/>
  <c r="AE538" i="3"/>
  <c r="AF538" i="3"/>
  <c r="AG538" i="3"/>
  <c r="A539" i="3"/>
  <c r="B539" i="3"/>
  <c r="D539" i="3" s="1"/>
  <c r="C539" i="3"/>
  <c r="E539" i="3"/>
  <c r="F539" i="3"/>
  <c r="AC539" i="3" s="1"/>
  <c r="G539" i="3"/>
  <c r="H539" i="3"/>
  <c r="I539" i="3"/>
  <c r="J539" i="3"/>
  <c r="K539" i="3"/>
  <c r="M539" i="3"/>
  <c r="N539" i="3"/>
  <c r="L539" i="3" s="1"/>
  <c r="Q539" i="3"/>
  <c r="R539" i="3"/>
  <c r="S539" i="3"/>
  <c r="T539" i="3"/>
  <c r="U539" i="3"/>
  <c r="V539" i="3"/>
  <c r="W539" i="3"/>
  <c r="X539" i="3"/>
  <c r="Y539" i="3"/>
  <c r="Z539" i="3"/>
  <c r="AA539" i="3"/>
  <c r="AB539" i="3"/>
  <c r="AE539" i="3"/>
  <c r="AF539" i="3"/>
  <c r="AG539" i="3"/>
  <c r="A540" i="3"/>
  <c r="B540" i="3"/>
  <c r="D540" i="3" s="1"/>
  <c r="C540" i="3"/>
  <c r="E540" i="3"/>
  <c r="F540" i="3"/>
  <c r="AC540" i="3" s="1"/>
  <c r="G540" i="3"/>
  <c r="H540" i="3"/>
  <c r="I540" i="3"/>
  <c r="J540" i="3"/>
  <c r="K540" i="3"/>
  <c r="M540" i="3"/>
  <c r="N540" i="3"/>
  <c r="L540" i="3" s="1"/>
  <c r="Q540" i="3"/>
  <c r="R540" i="3"/>
  <c r="S540" i="3"/>
  <c r="T540" i="3"/>
  <c r="U540" i="3"/>
  <c r="V540" i="3"/>
  <c r="W540" i="3"/>
  <c r="X540" i="3"/>
  <c r="Y540" i="3"/>
  <c r="Z540" i="3"/>
  <c r="AA540" i="3"/>
  <c r="AB540" i="3"/>
  <c r="AE540" i="3"/>
  <c r="AF540" i="3"/>
  <c r="AG540" i="3"/>
  <c r="A541" i="3"/>
  <c r="B541" i="3"/>
  <c r="D541" i="3" s="1"/>
  <c r="C541" i="3"/>
  <c r="E541" i="3"/>
  <c r="F541" i="3"/>
  <c r="AC541" i="3" s="1"/>
  <c r="G541" i="3"/>
  <c r="H541" i="3"/>
  <c r="I541" i="3"/>
  <c r="J541" i="3"/>
  <c r="K541" i="3"/>
  <c r="M541" i="3"/>
  <c r="N541" i="3"/>
  <c r="L541" i="3" s="1"/>
  <c r="Q541" i="3"/>
  <c r="R541" i="3"/>
  <c r="S541" i="3"/>
  <c r="T541" i="3"/>
  <c r="U541" i="3"/>
  <c r="V541" i="3"/>
  <c r="W541" i="3"/>
  <c r="X541" i="3"/>
  <c r="Y541" i="3"/>
  <c r="Z541" i="3"/>
  <c r="AA541" i="3"/>
  <c r="AB541" i="3"/>
  <c r="AE541" i="3"/>
  <c r="AF541" i="3"/>
  <c r="AG541" i="3"/>
  <c r="A542" i="3"/>
  <c r="B542" i="3"/>
  <c r="D542" i="3" s="1"/>
  <c r="C542" i="3"/>
  <c r="E542" i="3"/>
  <c r="F542" i="3"/>
  <c r="AC542" i="3" s="1"/>
  <c r="G542" i="3"/>
  <c r="H542" i="3"/>
  <c r="I542" i="3"/>
  <c r="J542" i="3"/>
  <c r="K542" i="3"/>
  <c r="M542" i="3"/>
  <c r="N542" i="3"/>
  <c r="L542" i="3" s="1"/>
  <c r="Q542" i="3"/>
  <c r="R542" i="3"/>
  <c r="S542" i="3"/>
  <c r="T542" i="3"/>
  <c r="U542" i="3"/>
  <c r="V542" i="3"/>
  <c r="W542" i="3"/>
  <c r="X542" i="3"/>
  <c r="Y542" i="3"/>
  <c r="Z542" i="3"/>
  <c r="AA542" i="3"/>
  <c r="AB542" i="3"/>
  <c r="AE542" i="3"/>
  <c r="AF542" i="3"/>
  <c r="AG542" i="3"/>
  <c r="A543" i="3"/>
  <c r="B543" i="3"/>
  <c r="D543" i="3" s="1"/>
  <c r="C543" i="3"/>
  <c r="E543" i="3"/>
  <c r="F543" i="3"/>
  <c r="AC543" i="3" s="1"/>
  <c r="G543" i="3"/>
  <c r="H543" i="3"/>
  <c r="I543" i="3"/>
  <c r="J543" i="3"/>
  <c r="K543" i="3"/>
  <c r="M543" i="3"/>
  <c r="N543" i="3"/>
  <c r="L543" i="3" s="1"/>
  <c r="Q543" i="3"/>
  <c r="R543" i="3"/>
  <c r="S543" i="3"/>
  <c r="T543" i="3"/>
  <c r="U543" i="3"/>
  <c r="V543" i="3"/>
  <c r="W543" i="3"/>
  <c r="X543" i="3"/>
  <c r="Y543" i="3"/>
  <c r="Z543" i="3"/>
  <c r="AA543" i="3"/>
  <c r="AB543" i="3"/>
  <c r="AE543" i="3"/>
  <c r="AF543" i="3"/>
  <c r="AG543" i="3"/>
  <c r="A544" i="3"/>
  <c r="B544" i="3"/>
  <c r="D544" i="3" s="1"/>
  <c r="C544" i="3"/>
  <c r="E544" i="3"/>
  <c r="F544" i="3"/>
  <c r="AC544" i="3" s="1"/>
  <c r="G544" i="3"/>
  <c r="H544" i="3"/>
  <c r="I544" i="3"/>
  <c r="J544" i="3"/>
  <c r="K544" i="3"/>
  <c r="M544" i="3"/>
  <c r="N544" i="3"/>
  <c r="L544" i="3" s="1"/>
  <c r="Q544" i="3"/>
  <c r="R544" i="3"/>
  <c r="S544" i="3"/>
  <c r="T544" i="3"/>
  <c r="U544" i="3"/>
  <c r="V544" i="3"/>
  <c r="W544" i="3"/>
  <c r="X544" i="3"/>
  <c r="Y544" i="3"/>
  <c r="Z544" i="3"/>
  <c r="AA544" i="3"/>
  <c r="AB544" i="3"/>
  <c r="AE544" i="3"/>
  <c r="AF544" i="3"/>
  <c r="AG544" i="3"/>
  <c r="A545" i="3"/>
  <c r="B545" i="3"/>
  <c r="D545" i="3" s="1"/>
  <c r="C545" i="3"/>
  <c r="E545" i="3"/>
  <c r="F545" i="3"/>
  <c r="AC545" i="3" s="1"/>
  <c r="G545" i="3"/>
  <c r="H545" i="3"/>
  <c r="I545" i="3"/>
  <c r="J545" i="3"/>
  <c r="K545" i="3"/>
  <c r="M545" i="3"/>
  <c r="N545" i="3"/>
  <c r="L545" i="3" s="1"/>
  <c r="Q545" i="3"/>
  <c r="R545" i="3"/>
  <c r="S545" i="3"/>
  <c r="T545" i="3"/>
  <c r="U545" i="3"/>
  <c r="V545" i="3"/>
  <c r="W545" i="3"/>
  <c r="X545" i="3"/>
  <c r="Y545" i="3"/>
  <c r="Z545" i="3"/>
  <c r="AA545" i="3"/>
  <c r="AB545" i="3"/>
  <c r="AE545" i="3"/>
  <c r="AF545" i="3"/>
  <c r="AG545" i="3"/>
  <c r="A546" i="3"/>
  <c r="B546" i="3"/>
  <c r="D546" i="3" s="1"/>
  <c r="C546" i="3"/>
  <c r="E546" i="3"/>
  <c r="F546" i="3"/>
  <c r="AC546" i="3" s="1"/>
  <c r="G546" i="3"/>
  <c r="H546" i="3"/>
  <c r="I546" i="3"/>
  <c r="J546" i="3"/>
  <c r="K546" i="3"/>
  <c r="M546" i="3"/>
  <c r="N546" i="3"/>
  <c r="L546" i="3" s="1"/>
  <c r="Q546" i="3"/>
  <c r="R546" i="3"/>
  <c r="S546" i="3"/>
  <c r="T546" i="3"/>
  <c r="U546" i="3"/>
  <c r="V546" i="3"/>
  <c r="W546" i="3"/>
  <c r="X546" i="3"/>
  <c r="Y546" i="3"/>
  <c r="Z546" i="3"/>
  <c r="AA546" i="3"/>
  <c r="AB546" i="3"/>
  <c r="AE546" i="3"/>
  <c r="AF546" i="3"/>
  <c r="AG546" i="3"/>
  <c r="A547" i="3"/>
  <c r="B547" i="3"/>
  <c r="D547" i="3" s="1"/>
  <c r="C547" i="3"/>
  <c r="E547" i="3"/>
  <c r="F547" i="3"/>
  <c r="AC547" i="3" s="1"/>
  <c r="G547" i="3"/>
  <c r="H547" i="3"/>
  <c r="I547" i="3"/>
  <c r="J547" i="3"/>
  <c r="K547" i="3"/>
  <c r="M547" i="3"/>
  <c r="N547" i="3"/>
  <c r="L547" i="3" s="1"/>
  <c r="Q547" i="3"/>
  <c r="R547" i="3"/>
  <c r="S547" i="3"/>
  <c r="T547" i="3"/>
  <c r="U547" i="3"/>
  <c r="V547" i="3"/>
  <c r="W547" i="3"/>
  <c r="X547" i="3"/>
  <c r="Y547" i="3"/>
  <c r="Z547" i="3"/>
  <c r="AA547" i="3"/>
  <c r="AB547" i="3"/>
  <c r="AE547" i="3"/>
  <c r="AF547" i="3"/>
  <c r="AG547" i="3"/>
  <c r="A548" i="3"/>
  <c r="B548" i="3"/>
  <c r="D548" i="3" s="1"/>
  <c r="C548" i="3"/>
  <c r="E548" i="3"/>
  <c r="F548" i="3"/>
  <c r="AC548" i="3" s="1"/>
  <c r="G548" i="3"/>
  <c r="H548" i="3"/>
  <c r="I548" i="3"/>
  <c r="J548" i="3"/>
  <c r="K548" i="3"/>
  <c r="M548" i="3"/>
  <c r="N548" i="3"/>
  <c r="L548" i="3" s="1"/>
  <c r="Q548" i="3"/>
  <c r="R548" i="3"/>
  <c r="S548" i="3"/>
  <c r="T548" i="3"/>
  <c r="U548" i="3"/>
  <c r="V548" i="3"/>
  <c r="W548" i="3"/>
  <c r="X548" i="3"/>
  <c r="Y548" i="3"/>
  <c r="Z548" i="3"/>
  <c r="AA548" i="3"/>
  <c r="AB548" i="3"/>
  <c r="AE548" i="3"/>
  <c r="AF548" i="3"/>
  <c r="AG548" i="3"/>
  <c r="A549" i="3"/>
  <c r="B549" i="3"/>
  <c r="D549" i="3" s="1"/>
  <c r="C549" i="3"/>
  <c r="E549" i="3"/>
  <c r="F549" i="3"/>
  <c r="AC549" i="3" s="1"/>
  <c r="G549" i="3"/>
  <c r="H549" i="3"/>
  <c r="I549" i="3"/>
  <c r="J549" i="3"/>
  <c r="K549" i="3"/>
  <c r="M549" i="3"/>
  <c r="N549" i="3"/>
  <c r="L549" i="3" s="1"/>
  <c r="Q549" i="3"/>
  <c r="R549" i="3"/>
  <c r="S549" i="3"/>
  <c r="T549" i="3"/>
  <c r="U549" i="3"/>
  <c r="V549" i="3"/>
  <c r="W549" i="3"/>
  <c r="X549" i="3"/>
  <c r="Y549" i="3"/>
  <c r="Z549" i="3"/>
  <c r="AA549" i="3"/>
  <c r="AB549" i="3"/>
  <c r="AE549" i="3"/>
  <c r="AF549" i="3"/>
  <c r="AG549" i="3"/>
  <c r="A550" i="3"/>
  <c r="B550" i="3"/>
  <c r="D550" i="3" s="1"/>
  <c r="C550" i="3"/>
  <c r="E550" i="3"/>
  <c r="F550" i="3"/>
  <c r="AC550" i="3" s="1"/>
  <c r="G550" i="3"/>
  <c r="H550" i="3"/>
  <c r="I550" i="3"/>
  <c r="J550" i="3"/>
  <c r="K550" i="3"/>
  <c r="M550" i="3"/>
  <c r="N550" i="3"/>
  <c r="L550" i="3" s="1"/>
  <c r="Q550" i="3"/>
  <c r="R550" i="3"/>
  <c r="S550" i="3"/>
  <c r="T550" i="3"/>
  <c r="U550" i="3"/>
  <c r="V550" i="3"/>
  <c r="W550" i="3"/>
  <c r="X550" i="3"/>
  <c r="Y550" i="3"/>
  <c r="Z550" i="3"/>
  <c r="AA550" i="3"/>
  <c r="AB550" i="3"/>
  <c r="AE550" i="3"/>
  <c r="AF550" i="3"/>
  <c r="AG550" i="3"/>
  <c r="A551" i="3"/>
  <c r="B551" i="3"/>
  <c r="D551" i="3" s="1"/>
  <c r="C551" i="3"/>
  <c r="E551" i="3"/>
  <c r="F551" i="3"/>
  <c r="AC551" i="3" s="1"/>
  <c r="G551" i="3"/>
  <c r="H551" i="3"/>
  <c r="I551" i="3"/>
  <c r="J551" i="3"/>
  <c r="K551" i="3"/>
  <c r="M551" i="3"/>
  <c r="N551" i="3"/>
  <c r="L551" i="3" s="1"/>
  <c r="Q551" i="3"/>
  <c r="R551" i="3"/>
  <c r="S551" i="3"/>
  <c r="T551" i="3"/>
  <c r="U551" i="3"/>
  <c r="V551" i="3"/>
  <c r="W551" i="3"/>
  <c r="X551" i="3"/>
  <c r="Y551" i="3"/>
  <c r="Z551" i="3"/>
  <c r="AA551" i="3"/>
  <c r="AB551" i="3"/>
  <c r="AE551" i="3"/>
  <c r="AF551" i="3"/>
  <c r="AG551" i="3"/>
  <c r="A552" i="3"/>
  <c r="B552" i="3"/>
  <c r="D552" i="3" s="1"/>
  <c r="C552" i="3"/>
  <c r="E552" i="3"/>
  <c r="F552" i="3"/>
  <c r="AC552" i="3" s="1"/>
  <c r="G552" i="3"/>
  <c r="H552" i="3"/>
  <c r="I552" i="3"/>
  <c r="J552" i="3"/>
  <c r="K552" i="3"/>
  <c r="M552" i="3"/>
  <c r="N552" i="3"/>
  <c r="L552" i="3" s="1"/>
  <c r="Q552" i="3"/>
  <c r="R552" i="3"/>
  <c r="S552" i="3"/>
  <c r="T552" i="3"/>
  <c r="U552" i="3"/>
  <c r="V552" i="3"/>
  <c r="W552" i="3"/>
  <c r="X552" i="3"/>
  <c r="Y552" i="3"/>
  <c r="Z552" i="3"/>
  <c r="AA552" i="3"/>
  <c r="AB552" i="3"/>
  <c r="AE552" i="3"/>
  <c r="AF552" i="3"/>
  <c r="AG552" i="3"/>
  <c r="A553" i="3"/>
  <c r="B553" i="3"/>
  <c r="D553" i="3" s="1"/>
  <c r="C553" i="3"/>
  <c r="E553" i="3"/>
  <c r="F553" i="3"/>
  <c r="AC553" i="3" s="1"/>
  <c r="G553" i="3"/>
  <c r="H553" i="3"/>
  <c r="I553" i="3"/>
  <c r="J553" i="3"/>
  <c r="K553" i="3"/>
  <c r="M553" i="3"/>
  <c r="N553" i="3"/>
  <c r="L553" i="3" s="1"/>
  <c r="Q553" i="3"/>
  <c r="R553" i="3"/>
  <c r="S553" i="3"/>
  <c r="T553" i="3"/>
  <c r="U553" i="3"/>
  <c r="V553" i="3"/>
  <c r="W553" i="3"/>
  <c r="X553" i="3"/>
  <c r="Y553" i="3"/>
  <c r="Z553" i="3"/>
  <c r="AA553" i="3"/>
  <c r="AB553" i="3"/>
  <c r="AE553" i="3"/>
  <c r="AF553" i="3"/>
  <c r="AG553" i="3"/>
  <c r="A554" i="3"/>
  <c r="B554" i="3"/>
  <c r="D554" i="3" s="1"/>
  <c r="C554" i="3"/>
  <c r="E554" i="3"/>
  <c r="F554" i="3"/>
  <c r="AC554" i="3" s="1"/>
  <c r="G554" i="3"/>
  <c r="H554" i="3"/>
  <c r="I554" i="3"/>
  <c r="J554" i="3"/>
  <c r="K554" i="3"/>
  <c r="M554" i="3"/>
  <c r="N554" i="3"/>
  <c r="L554" i="3" s="1"/>
  <c r="Q554" i="3"/>
  <c r="R554" i="3"/>
  <c r="S554" i="3"/>
  <c r="T554" i="3"/>
  <c r="U554" i="3"/>
  <c r="V554" i="3"/>
  <c r="W554" i="3"/>
  <c r="X554" i="3"/>
  <c r="Y554" i="3"/>
  <c r="Z554" i="3"/>
  <c r="AA554" i="3"/>
  <c r="AB554" i="3"/>
  <c r="AE554" i="3"/>
  <c r="AF554" i="3"/>
  <c r="AG554" i="3"/>
  <c r="A555" i="3"/>
  <c r="B555" i="3"/>
  <c r="D555" i="3" s="1"/>
  <c r="C555" i="3"/>
  <c r="E555" i="3"/>
  <c r="F555" i="3"/>
  <c r="AC555" i="3" s="1"/>
  <c r="G555" i="3"/>
  <c r="H555" i="3"/>
  <c r="I555" i="3"/>
  <c r="J555" i="3"/>
  <c r="K555" i="3"/>
  <c r="M555" i="3"/>
  <c r="N555" i="3"/>
  <c r="L555" i="3" s="1"/>
  <c r="Q555" i="3"/>
  <c r="R555" i="3"/>
  <c r="S555" i="3"/>
  <c r="T555" i="3"/>
  <c r="U555" i="3"/>
  <c r="V555" i="3"/>
  <c r="W555" i="3"/>
  <c r="X555" i="3"/>
  <c r="Y555" i="3"/>
  <c r="Z555" i="3"/>
  <c r="AA555" i="3"/>
  <c r="AB555" i="3"/>
  <c r="AE555" i="3"/>
  <c r="AF555" i="3"/>
  <c r="AG555" i="3"/>
  <c r="A556" i="3"/>
  <c r="B556" i="3"/>
  <c r="D556" i="3" s="1"/>
  <c r="C556" i="3"/>
  <c r="E556" i="3"/>
  <c r="F556" i="3"/>
  <c r="AC556" i="3" s="1"/>
  <c r="G556" i="3"/>
  <c r="H556" i="3"/>
  <c r="I556" i="3"/>
  <c r="J556" i="3"/>
  <c r="K556" i="3"/>
  <c r="M556" i="3"/>
  <c r="N556" i="3"/>
  <c r="L556" i="3" s="1"/>
  <c r="Q556" i="3"/>
  <c r="R556" i="3"/>
  <c r="S556" i="3"/>
  <c r="T556" i="3"/>
  <c r="U556" i="3"/>
  <c r="V556" i="3"/>
  <c r="W556" i="3"/>
  <c r="X556" i="3"/>
  <c r="Y556" i="3"/>
  <c r="Z556" i="3"/>
  <c r="AA556" i="3"/>
  <c r="AB556" i="3"/>
  <c r="AE556" i="3"/>
  <c r="AF556" i="3"/>
  <c r="AG556" i="3"/>
  <c r="A557" i="3"/>
  <c r="B557" i="3"/>
  <c r="D557" i="3" s="1"/>
  <c r="C557" i="3"/>
  <c r="E557" i="3"/>
  <c r="F557" i="3"/>
  <c r="AC557" i="3" s="1"/>
  <c r="G557" i="3"/>
  <c r="H557" i="3"/>
  <c r="I557" i="3"/>
  <c r="J557" i="3"/>
  <c r="K557" i="3"/>
  <c r="M557" i="3"/>
  <c r="N557" i="3"/>
  <c r="L557" i="3" s="1"/>
  <c r="Q557" i="3"/>
  <c r="R557" i="3"/>
  <c r="S557" i="3"/>
  <c r="T557" i="3"/>
  <c r="U557" i="3"/>
  <c r="V557" i="3"/>
  <c r="W557" i="3"/>
  <c r="X557" i="3"/>
  <c r="Y557" i="3"/>
  <c r="Z557" i="3"/>
  <c r="AA557" i="3"/>
  <c r="AB557" i="3"/>
  <c r="AE557" i="3"/>
  <c r="AF557" i="3"/>
  <c r="AG557" i="3"/>
  <c r="A558" i="3"/>
  <c r="B558" i="3"/>
  <c r="D558" i="3" s="1"/>
  <c r="C558" i="3"/>
  <c r="E558" i="3"/>
  <c r="F558" i="3"/>
  <c r="AC558" i="3" s="1"/>
  <c r="G558" i="3"/>
  <c r="H558" i="3"/>
  <c r="I558" i="3"/>
  <c r="J558" i="3"/>
  <c r="K558" i="3"/>
  <c r="M558" i="3"/>
  <c r="N558" i="3"/>
  <c r="L558" i="3" s="1"/>
  <c r="Q558" i="3"/>
  <c r="R558" i="3"/>
  <c r="S558" i="3"/>
  <c r="T558" i="3"/>
  <c r="U558" i="3"/>
  <c r="V558" i="3"/>
  <c r="W558" i="3"/>
  <c r="X558" i="3"/>
  <c r="Y558" i="3"/>
  <c r="Z558" i="3"/>
  <c r="AA558" i="3"/>
  <c r="AB558" i="3"/>
  <c r="AE558" i="3"/>
  <c r="AF558" i="3"/>
  <c r="AG558" i="3"/>
  <c r="A559" i="3"/>
  <c r="B559" i="3"/>
  <c r="D559" i="3" s="1"/>
  <c r="C559" i="3"/>
  <c r="E559" i="3"/>
  <c r="F559" i="3"/>
  <c r="AC559" i="3" s="1"/>
  <c r="G559" i="3"/>
  <c r="H559" i="3"/>
  <c r="I559" i="3"/>
  <c r="J559" i="3"/>
  <c r="K559" i="3"/>
  <c r="M559" i="3"/>
  <c r="N559" i="3"/>
  <c r="L559" i="3" s="1"/>
  <c r="Q559" i="3"/>
  <c r="R559" i="3"/>
  <c r="S559" i="3"/>
  <c r="T559" i="3"/>
  <c r="U559" i="3"/>
  <c r="V559" i="3"/>
  <c r="W559" i="3"/>
  <c r="X559" i="3"/>
  <c r="Y559" i="3"/>
  <c r="Z559" i="3"/>
  <c r="AA559" i="3"/>
  <c r="AB559" i="3"/>
  <c r="AE559" i="3"/>
  <c r="AF559" i="3"/>
  <c r="AG559" i="3"/>
  <c r="A560" i="3"/>
  <c r="B560" i="3"/>
  <c r="D560" i="3" s="1"/>
  <c r="C560" i="3"/>
  <c r="E560" i="3"/>
  <c r="F560" i="3"/>
  <c r="AC560" i="3" s="1"/>
  <c r="G560" i="3"/>
  <c r="H560" i="3"/>
  <c r="I560" i="3"/>
  <c r="J560" i="3"/>
  <c r="K560" i="3"/>
  <c r="M560" i="3"/>
  <c r="N560" i="3"/>
  <c r="L560" i="3" s="1"/>
  <c r="Q560" i="3"/>
  <c r="R560" i="3"/>
  <c r="S560" i="3"/>
  <c r="T560" i="3"/>
  <c r="U560" i="3"/>
  <c r="V560" i="3"/>
  <c r="W560" i="3"/>
  <c r="X560" i="3"/>
  <c r="Y560" i="3"/>
  <c r="Z560" i="3"/>
  <c r="AA560" i="3"/>
  <c r="AB560" i="3"/>
  <c r="AE560" i="3"/>
  <c r="AF560" i="3"/>
  <c r="AG560" i="3"/>
  <c r="A561" i="3"/>
  <c r="B561" i="3"/>
  <c r="D561" i="3" s="1"/>
  <c r="C561" i="3"/>
  <c r="E561" i="3"/>
  <c r="F561" i="3"/>
  <c r="AC561" i="3" s="1"/>
  <c r="G561" i="3"/>
  <c r="H561" i="3"/>
  <c r="I561" i="3"/>
  <c r="J561" i="3"/>
  <c r="K561" i="3"/>
  <c r="M561" i="3"/>
  <c r="N561" i="3"/>
  <c r="L561" i="3" s="1"/>
  <c r="Q561" i="3"/>
  <c r="R561" i="3"/>
  <c r="S561" i="3"/>
  <c r="T561" i="3"/>
  <c r="U561" i="3"/>
  <c r="V561" i="3"/>
  <c r="W561" i="3"/>
  <c r="X561" i="3"/>
  <c r="Y561" i="3"/>
  <c r="Z561" i="3"/>
  <c r="AA561" i="3"/>
  <c r="AB561" i="3"/>
  <c r="AE561" i="3"/>
  <c r="AF561" i="3"/>
  <c r="AG561" i="3"/>
  <c r="A562" i="3"/>
  <c r="B562" i="3"/>
  <c r="D562" i="3" s="1"/>
  <c r="C562" i="3"/>
  <c r="E562" i="3"/>
  <c r="F562" i="3"/>
  <c r="AC562" i="3" s="1"/>
  <c r="G562" i="3"/>
  <c r="H562" i="3"/>
  <c r="I562" i="3"/>
  <c r="J562" i="3"/>
  <c r="K562" i="3"/>
  <c r="M562" i="3"/>
  <c r="N562" i="3"/>
  <c r="L562" i="3" s="1"/>
  <c r="Q562" i="3"/>
  <c r="R562" i="3"/>
  <c r="S562" i="3"/>
  <c r="T562" i="3"/>
  <c r="U562" i="3"/>
  <c r="V562" i="3"/>
  <c r="W562" i="3"/>
  <c r="X562" i="3"/>
  <c r="Y562" i="3"/>
  <c r="Z562" i="3"/>
  <c r="AA562" i="3"/>
  <c r="AB562" i="3"/>
  <c r="AE562" i="3"/>
  <c r="AF562" i="3"/>
  <c r="AG562" i="3"/>
  <c r="A563" i="3"/>
  <c r="B563" i="3"/>
  <c r="D563" i="3" s="1"/>
  <c r="C563" i="3"/>
  <c r="E563" i="3"/>
  <c r="F563" i="3"/>
  <c r="AC563" i="3" s="1"/>
  <c r="G563" i="3"/>
  <c r="H563" i="3"/>
  <c r="I563" i="3"/>
  <c r="J563" i="3"/>
  <c r="K563" i="3"/>
  <c r="M563" i="3"/>
  <c r="N563" i="3"/>
  <c r="L563" i="3" s="1"/>
  <c r="Q563" i="3"/>
  <c r="R563" i="3"/>
  <c r="S563" i="3"/>
  <c r="T563" i="3"/>
  <c r="U563" i="3"/>
  <c r="V563" i="3"/>
  <c r="W563" i="3"/>
  <c r="X563" i="3"/>
  <c r="Y563" i="3"/>
  <c r="Z563" i="3"/>
  <c r="AA563" i="3"/>
  <c r="AB563" i="3"/>
  <c r="AE563" i="3"/>
  <c r="AF563" i="3"/>
  <c r="AG563" i="3"/>
  <c r="A564" i="3"/>
  <c r="B564" i="3"/>
  <c r="D564" i="3" s="1"/>
  <c r="C564" i="3"/>
  <c r="E564" i="3"/>
  <c r="F564" i="3"/>
  <c r="AC564" i="3" s="1"/>
  <c r="G564" i="3"/>
  <c r="H564" i="3"/>
  <c r="I564" i="3"/>
  <c r="J564" i="3"/>
  <c r="K564" i="3"/>
  <c r="M564" i="3"/>
  <c r="N564" i="3"/>
  <c r="L564" i="3" s="1"/>
  <c r="Q564" i="3"/>
  <c r="R564" i="3"/>
  <c r="S564" i="3"/>
  <c r="T564" i="3"/>
  <c r="U564" i="3"/>
  <c r="V564" i="3"/>
  <c r="W564" i="3"/>
  <c r="X564" i="3"/>
  <c r="Y564" i="3"/>
  <c r="Z564" i="3"/>
  <c r="AA564" i="3"/>
  <c r="AB564" i="3"/>
  <c r="AE564" i="3"/>
  <c r="AF564" i="3"/>
  <c r="AG564" i="3"/>
  <c r="A565" i="3"/>
  <c r="B565" i="3"/>
  <c r="D565" i="3" s="1"/>
  <c r="C565" i="3"/>
  <c r="E565" i="3"/>
  <c r="F565" i="3"/>
  <c r="AC565" i="3" s="1"/>
  <c r="G565" i="3"/>
  <c r="H565" i="3"/>
  <c r="I565" i="3"/>
  <c r="J565" i="3"/>
  <c r="K565" i="3"/>
  <c r="M565" i="3"/>
  <c r="N565" i="3"/>
  <c r="L565" i="3" s="1"/>
  <c r="Q565" i="3"/>
  <c r="R565" i="3"/>
  <c r="S565" i="3"/>
  <c r="T565" i="3"/>
  <c r="U565" i="3"/>
  <c r="V565" i="3"/>
  <c r="W565" i="3"/>
  <c r="X565" i="3"/>
  <c r="Y565" i="3"/>
  <c r="Z565" i="3"/>
  <c r="AA565" i="3"/>
  <c r="AB565" i="3"/>
  <c r="AE565" i="3"/>
  <c r="AF565" i="3"/>
  <c r="AG565" i="3"/>
  <c r="A566" i="3"/>
  <c r="B566" i="3"/>
  <c r="D566" i="3" s="1"/>
  <c r="C566" i="3"/>
  <c r="E566" i="3"/>
  <c r="F566" i="3"/>
  <c r="AC566" i="3" s="1"/>
  <c r="G566" i="3"/>
  <c r="H566" i="3"/>
  <c r="I566" i="3"/>
  <c r="J566" i="3"/>
  <c r="K566" i="3"/>
  <c r="M566" i="3"/>
  <c r="N566" i="3"/>
  <c r="L566" i="3" s="1"/>
  <c r="Q566" i="3"/>
  <c r="R566" i="3"/>
  <c r="S566" i="3"/>
  <c r="T566" i="3"/>
  <c r="U566" i="3"/>
  <c r="V566" i="3"/>
  <c r="W566" i="3"/>
  <c r="X566" i="3"/>
  <c r="Y566" i="3"/>
  <c r="Z566" i="3"/>
  <c r="AA566" i="3"/>
  <c r="AB566" i="3"/>
  <c r="AE566" i="3"/>
  <c r="AF566" i="3"/>
  <c r="AG566" i="3"/>
  <c r="A567" i="3"/>
  <c r="B567" i="3"/>
  <c r="D567" i="3" s="1"/>
  <c r="C567" i="3"/>
  <c r="E567" i="3"/>
  <c r="F567" i="3"/>
  <c r="AC567" i="3" s="1"/>
  <c r="G567" i="3"/>
  <c r="H567" i="3"/>
  <c r="I567" i="3"/>
  <c r="J567" i="3"/>
  <c r="K567" i="3"/>
  <c r="M567" i="3"/>
  <c r="N567" i="3"/>
  <c r="L567" i="3" s="1"/>
  <c r="Q567" i="3"/>
  <c r="R567" i="3"/>
  <c r="S567" i="3"/>
  <c r="T567" i="3"/>
  <c r="U567" i="3"/>
  <c r="V567" i="3"/>
  <c r="W567" i="3"/>
  <c r="X567" i="3"/>
  <c r="Y567" i="3"/>
  <c r="Z567" i="3"/>
  <c r="AA567" i="3"/>
  <c r="AB567" i="3"/>
  <c r="AE567" i="3"/>
  <c r="AF567" i="3"/>
  <c r="AG567" i="3"/>
  <c r="A568" i="3"/>
  <c r="B568" i="3"/>
  <c r="D568" i="3" s="1"/>
  <c r="C568" i="3"/>
  <c r="E568" i="3"/>
  <c r="F568" i="3"/>
  <c r="AC568" i="3" s="1"/>
  <c r="G568" i="3"/>
  <c r="H568" i="3"/>
  <c r="I568" i="3"/>
  <c r="J568" i="3"/>
  <c r="K568" i="3"/>
  <c r="M568" i="3"/>
  <c r="N568" i="3"/>
  <c r="L568" i="3" s="1"/>
  <c r="Q568" i="3"/>
  <c r="R568" i="3"/>
  <c r="S568" i="3"/>
  <c r="T568" i="3"/>
  <c r="U568" i="3"/>
  <c r="V568" i="3"/>
  <c r="W568" i="3"/>
  <c r="X568" i="3"/>
  <c r="Y568" i="3"/>
  <c r="Z568" i="3"/>
  <c r="AA568" i="3"/>
  <c r="AB568" i="3"/>
  <c r="AE568" i="3"/>
  <c r="AF568" i="3"/>
  <c r="AG568" i="3"/>
  <c r="A569" i="3"/>
  <c r="B569" i="3"/>
  <c r="D569" i="3" s="1"/>
  <c r="C569" i="3"/>
  <c r="E569" i="3"/>
  <c r="F569" i="3"/>
  <c r="AC569" i="3" s="1"/>
  <c r="G569" i="3"/>
  <c r="H569" i="3"/>
  <c r="I569" i="3"/>
  <c r="J569" i="3"/>
  <c r="K569" i="3"/>
  <c r="M569" i="3"/>
  <c r="N569" i="3"/>
  <c r="L569" i="3" s="1"/>
  <c r="Q569" i="3"/>
  <c r="R569" i="3"/>
  <c r="S569" i="3"/>
  <c r="T569" i="3"/>
  <c r="U569" i="3"/>
  <c r="V569" i="3"/>
  <c r="W569" i="3"/>
  <c r="X569" i="3"/>
  <c r="Y569" i="3"/>
  <c r="Z569" i="3"/>
  <c r="AA569" i="3"/>
  <c r="AB569" i="3"/>
  <c r="AE569" i="3"/>
  <c r="AF569" i="3"/>
  <c r="AG569" i="3"/>
  <c r="A570" i="3"/>
  <c r="B570" i="3"/>
  <c r="D570" i="3" s="1"/>
  <c r="C570" i="3"/>
  <c r="E570" i="3"/>
  <c r="F570" i="3"/>
  <c r="AC570" i="3" s="1"/>
  <c r="G570" i="3"/>
  <c r="H570" i="3"/>
  <c r="I570" i="3"/>
  <c r="J570" i="3"/>
  <c r="K570" i="3"/>
  <c r="M570" i="3"/>
  <c r="N570" i="3"/>
  <c r="L570" i="3" s="1"/>
  <c r="Q570" i="3"/>
  <c r="R570" i="3"/>
  <c r="S570" i="3"/>
  <c r="T570" i="3"/>
  <c r="U570" i="3"/>
  <c r="V570" i="3"/>
  <c r="W570" i="3"/>
  <c r="X570" i="3"/>
  <c r="Y570" i="3"/>
  <c r="Z570" i="3"/>
  <c r="AA570" i="3"/>
  <c r="AB570" i="3"/>
  <c r="AE570" i="3"/>
  <c r="AF570" i="3"/>
  <c r="AG570" i="3"/>
  <c r="A571" i="3"/>
  <c r="B571" i="3"/>
  <c r="D571" i="3" s="1"/>
  <c r="C571" i="3"/>
  <c r="E571" i="3"/>
  <c r="F571" i="3"/>
  <c r="AC571" i="3" s="1"/>
  <c r="G571" i="3"/>
  <c r="H571" i="3"/>
  <c r="I571" i="3"/>
  <c r="J571" i="3"/>
  <c r="K571" i="3"/>
  <c r="M571" i="3"/>
  <c r="N571" i="3"/>
  <c r="L571" i="3" s="1"/>
  <c r="Q571" i="3"/>
  <c r="R571" i="3"/>
  <c r="S571" i="3"/>
  <c r="T571" i="3"/>
  <c r="U571" i="3"/>
  <c r="V571" i="3"/>
  <c r="W571" i="3"/>
  <c r="X571" i="3"/>
  <c r="Y571" i="3"/>
  <c r="Z571" i="3"/>
  <c r="AA571" i="3"/>
  <c r="AB571" i="3"/>
  <c r="AE571" i="3"/>
  <c r="AF571" i="3"/>
  <c r="AG571" i="3"/>
  <c r="A572" i="3"/>
  <c r="B572" i="3"/>
  <c r="D572" i="3" s="1"/>
  <c r="C572" i="3"/>
  <c r="E572" i="3"/>
  <c r="F572" i="3"/>
  <c r="AC572" i="3" s="1"/>
  <c r="G572" i="3"/>
  <c r="H572" i="3"/>
  <c r="I572" i="3"/>
  <c r="J572" i="3"/>
  <c r="K572" i="3"/>
  <c r="M572" i="3"/>
  <c r="N572" i="3"/>
  <c r="L572" i="3" s="1"/>
  <c r="Q572" i="3"/>
  <c r="R572" i="3"/>
  <c r="S572" i="3"/>
  <c r="T572" i="3"/>
  <c r="U572" i="3"/>
  <c r="V572" i="3"/>
  <c r="W572" i="3"/>
  <c r="X572" i="3"/>
  <c r="Y572" i="3"/>
  <c r="Z572" i="3"/>
  <c r="AA572" i="3"/>
  <c r="AB572" i="3"/>
  <c r="AE572" i="3"/>
  <c r="AF572" i="3"/>
  <c r="AG572" i="3"/>
  <c r="A573" i="3"/>
  <c r="B573" i="3"/>
  <c r="D573" i="3" s="1"/>
  <c r="C573" i="3"/>
  <c r="E573" i="3"/>
  <c r="F573" i="3"/>
  <c r="AC573" i="3" s="1"/>
  <c r="G573" i="3"/>
  <c r="H573" i="3"/>
  <c r="I573" i="3"/>
  <c r="J573" i="3"/>
  <c r="K573" i="3"/>
  <c r="M573" i="3"/>
  <c r="N573" i="3"/>
  <c r="L573" i="3" s="1"/>
  <c r="Q573" i="3"/>
  <c r="R573" i="3"/>
  <c r="S573" i="3"/>
  <c r="T573" i="3"/>
  <c r="U573" i="3"/>
  <c r="V573" i="3"/>
  <c r="W573" i="3"/>
  <c r="X573" i="3"/>
  <c r="Y573" i="3"/>
  <c r="Z573" i="3"/>
  <c r="AA573" i="3"/>
  <c r="AB573" i="3"/>
  <c r="AE573" i="3"/>
  <c r="AF573" i="3"/>
  <c r="AG573" i="3"/>
  <c r="A574" i="3"/>
  <c r="B574" i="3"/>
  <c r="D574" i="3" s="1"/>
  <c r="C574" i="3"/>
  <c r="E574" i="3"/>
  <c r="F574" i="3"/>
  <c r="AC574" i="3" s="1"/>
  <c r="G574" i="3"/>
  <c r="H574" i="3"/>
  <c r="I574" i="3"/>
  <c r="J574" i="3"/>
  <c r="K574" i="3"/>
  <c r="M574" i="3"/>
  <c r="N574" i="3"/>
  <c r="L574" i="3" s="1"/>
  <c r="Q574" i="3"/>
  <c r="R574" i="3"/>
  <c r="S574" i="3"/>
  <c r="T574" i="3"/>
  <c r="U574" i="3"/>
  <c r="V574" i="3"/>
  <c r="W574" i="3"/>
  <c r="X574" i="3"/>
  <c r="Y574" i="3"/>
  <c r="Z574" i="3"/>
  <c r="AA574" i="3"/>
  <c r="AB574" i="3"/>
  <c r="AE574" i="3"/>
  <c r="AF574" i="3"/>
  <c r="AG574" i="3"/>
  <c r="A575" i="3"/>
  <c r="B575" i="3"/>
  <c r="D575" i="3" s="1"/>
  <c r="C575" i="3"/>
  <c r="E575" i="3"/>
  <c r="F575" i="3"/>
  <c r="AC575" i="3" s="1"/>
  <c r="G575" i="3"/>
  <c r="H575" i="3"/>
  <c r="I575" i="3"/>
  <c r="J575" i="3"/>
  <c r="K575" i="3"/>
  <c r="M575" i="3"/>
  <c r="N575" i="3"/>
  <c r="L575" i="3" s="1"/>
  <c r="Q575" i="3"/>
  <c r="R575" i="3"/>
  <c r="S575" i="3"/>
  <c r="T575" i="3"/>
  <c r="U575" i="3"/>
  <c r="V575" i="3"/>
  <c r="W575" i="3"/>
  <c r="X575" i="3"/>
  <c r="Y575" i="3"/>
  <c r="Z575" i="3"/>
  <c r="AA575" i="3"/>
  <c r="AB575" i="3"/>
  <c r="AE575" i="3"/>
  <c r="AF575" i="3"/>
  <c r="AG575" i="3"/>
  <c r="A576" i="3"/>
  <c r="B576" i="3"/>
  <c r="D576" i="3" s="1"/>
  <c r="C576" i="3"/>
  <c r="E576" i="3"/>
  <c r="F576" i="3"/>
  <c r="AC576" i="3" s="1"/>
  <c r="G576" i="3"/>
  <c r="H576" i="3"/>
  <c r="I576" i="3"/>
  <c r="J576" i="3"/>
  <c r="K576" i="3"/>
  <c r="M576" i="3"/>
  <c r="N576" i="3"/>
  <c r="L576" i="3" s="1"/>
  <c r="Q576" i="3"/>
  <c r="R576" i="3"/>
  <c r="S576" i="3"/>
  <c r="T576" i="3"/>
  <c r="U576" i="3"/>
  <c r="V576" i="3"/>
  <c r="W576" i="3"/>
  <c r="X576" i="3"/>
  <c r="Y576" i="3"/>
  <c r="Z576" i="3"/>
  <c r="AA576" i="3"/>
  <c r="AB576" i="3"/>
  <c r="AE576" i="3"/>
  <c r="AF576" i="3"/>
  <c r="AG576" i="3"/>
  <c r="A577" i="3"/>
  <c r="B577" i="3"/>
  <c r="D577" i="3" s="1"/>
  <c r="C577" i="3"/>
  <c r="E577" i="3"/>
  <c r="F577" i="3"/>
  <c r="AC577" i="3" s="1"/>
  <c r="G577" i="3"/>
  <c r="H577" i="3"/>
  <c r="I577" i="3"/>
  <c r="J577" i="3"/>
  <c r="K577" i="3"/>
  <c r="M577" i="3"/>
  <c r="N577" i="3"/>
  <c r="L577" i="3" s="1"/>
  <c r="Q577" i="3"/>
  <c r="R577" i="3"/>
  <c r="S577" i="3"/>
  <c r="T577" i="3"/>
  <c r="U577" i="3"/>
  <c r="V577" i="3"/>
  <c r="W577" i="3"/>
  <c r="X577" i="3"/>
  <c r="Y577" i="3"/>
  <c r="Z577" i="3"/>
  <c r="AA577" i="3"/>
  <c r="AB577" i="3"/>
  <c r="AE577" i="3"/>
  <c r="AF577" i="3"/>
  <c r="AG577" i="3"/>
  <c r="A578" i="3"/>
  <c r="B578" i="3"/>
  <c r="D578" i="3" s="1"/>
  <c r="C578" i="3"/>
  <c r="E578" i="3"/>
  <c r="F578" i="3"/>
  <c r="AC578" i="3" s="1"/>
  <c r="G578" i="3"/>
  <c r="H578" i="3"/>
  <c r="I578" i="3"/>
  <c r="J578" i="3"/>
  <c r="K578" i="3"/>
  <c r="M578" i="3"/>
  <c r="N578" i="3"/>
  <c r="L578" i="3" s="1"/>
  <c r="Q578" i="3"/>
  <c r="R578" i="3"/>
  <c r="S578" i="3"/>
  <c r="T578" i="3"/>
  <c r="U578" i="3"/>
  <c r="V578" i="3"/>
  <c r="W578" i="3"/>
  <c r="X578" i="3"/>
  <c r="Y578" i="3"/>
  <c r="Z578" i="3"/>
  <c r="AA578" i="3"/>
  <c r="AB578" i="3"/>
  <c r="AE578" i="3"/>
  <c r="AF578" i="3"/>
  <c r="AG578" i="3"/>
  <c r="A579" i="3"/>
  <c r="B579" i="3"/>
  <c r="D579" i="3" s="1"/>
  <c r="C579" i="3"/>
  <c r="E579" i="3"/>
  <c r="F579" i="3"/>
  <c r="AC579" i="3" s="1"/>
  <c r="G579" i="3"/>
  <c r="H579" i="3"/>
  <c r="I579" i="3"/>
  <c r="J579" i="3"/>
  <c r="K579" i="3"/>
  <c r="M579" i="3"/>
  <c r="N579" i="3"/>
  <c r="L579" i="3" s="1"/>
  <c r="Q579" i="3"/>
  <c r="R579" i="3"/>
  <c r="S579" i="3"/>
  <c r="T579" i="3"/>
  <c r="U579" i="3"/>
  <c r="V579" i="3"/>
  <c r="W579" i="3"/>
  <c r="X579" i="3"/>
  <c r="Y579" i="3"/>
  <c r="Z579" i="3"/>
  <c r="AA579" i="3"/>
  <c r="AB579" i="3"/>
  <c r="AE579" i="3"/>
  <c r="AF579" i="3"/>
  <c r="AG579" i="3"/>
  <c r="A580" i="3"/>
  <c r="B580" i="3"/>
  <c r="D580" i="3" s="1"/>
  <c r="C580" i="3"/>
  <c r="E580" i="3"/>
  <c r="F580" i="3"/>
  <c r="AC580" i="3" s="1"/>
  <c r="G580" i="3"/>
  <c r="H580" i="3"/>
  <c r="I580" i="3"/>
  <c r="J580" i="3"/>
  <c r="K580" i="3"/>
  <c r="M580" i="3"/>
  <c r="N580" i="3"/>
  <c r="L580" i="3" s="1"/>
  <c r="Q580" i="3"/>
  <c r="R580" i="3"/>
  <c r="S580" i="3"/>
  <c r="T580" i="3"/>
  <c r="U580" i="3"/>
  <c r="V580" i="3"/>
  <c r="W580" i="3"/>
  <c r="X580" i="3"/>
  <c r="Y580" i="3"/>
  <c r="Z580" i="3"/>
  <c r="AA580" i="3"/>
  <c r="AB580" i="3"/>
  <c r="AE580" i="3"/>
  <c r="AF580" i="3"/>
  <c r="AG580" i="3"/>
  <c r="A581" i="3"/>
  <c r="B581" i="3"/>
  <c r="D581" i="3" s="1"/>
  <c r="C581" i="3"/>
  <c r="E581" i="3"/>
  <c r="F581" i="3"/>
  <c r="AC581" i="3" s="1"/>
  <c r="G581" i="3"/>
  <c r="H581" i="3"/>
  <c r="I581" i="3"/>
  <c r="J581" i="3"/>
  <c r="K581" i="3"/>
  <c r="M581" i="3"/>
  <c r="N581" i="3"/>
  <c r="L581" i="3" s="1"/>
  <c r="Q581" i="3"/>
  <c r="R581" i="3"/>
  <c r="S581" i="3"/>
  <c r="T581" i="3"/>
  <c r="U581" i="3"/>
  <c r="V581" i="3"/>
  <c r="W581" i="3"/>
  <c r="X581" i="3"/>
  <c r="Y581" i="3"/>
  <c r="Z581" i="3"/>
  <c r="AA581" i="3"/>
  <c r="AB581" i="3"/>
  <c r="AE581" i="3"/>
  <c r="AF581" i="3"/>
  <c r="AG581" i="3"/>
  <c r="A582" i="3"/>
  <c r="B582" i="3"/>
  <c r="D582" i="3" s="1"/>
  <c r="C582" i="3"/>
  <c r="E582" i="3"/>
  <c r="F582" i="3"/>
  <c r="AC582" i="3" s="1"/>
  <c r="G582" i="3"/>
  <c r="H582" i="3"/>
  <c r="I582" i="3"/>
  <c r="J582" i="3"/>
  <c r="K582" i="3"/>
  <c r="M582" i="3"/>
  <c r="N582" i="3"/>
  <c r="L582" i="3" s="1"/>
  <c r="Q582" i="3"/>
  <c r="R582" i="3"/>
  <c r="S582" i="3"/>
  <c r="T582" i="3"/>
  <c r="U582" i="3"/>
  <c r="V582" i="3"/>
  <c r="W582" i="3"/>
  <c r="X582" i="3"/>
  <c r="Y582" i="3"/>
  <c r="Z582" i="3"/>
  <c r="AA582" i="3"/>
  <c r="AB582" i="3"/>
  <c r="AE582" i="3"/>
  <c r="AF582" i="3"/>
  <c r="AG582" i="3"/>
  <c r="A583" i="3"/>
  <c r="B583" i="3"/>
  <c r="D583" i="3" s="1"/>
  <c r="C583" i="3"/>
  <c r="E583" i="3"/>
  <c r="F583" i="3"/>
  <c r="AC583" i="3" s="1"/>
  <c r="G583" i="3"/>
  <c r="H583" i="3"/>
  <c r="I583" i="3"/>
  <c r="J583" i="3"/>
  <c r="K583" i="3"/>
  <c r="M583" i="3"/>
  <c r="N583" i="3"/>
  <c r="L583" i="3" s="1"/>
  <c r="Q583" i="3"/>
  <c r="R583" i="3"/>
  <c r="S583" i="3"/>
  <c r="T583" i="3"/>
  <c r="U583" i="3"/>
  <c r="V583" i="3"/>
  <c r="W583" i="3"/>
  <c r="X583" i="3"/>
  <c r="Y583" i="3"/>
  <c r="Z583" i="3"/>
  <c r="AA583" i="3"/>
  <c r="AB583" i="3"/>
  <c r="AE583" i="3"/>
  <c r="AF583" i="3"/>
  <c r="AG583" i="3"/>
  <c r="A584" i="3"/>
  <c r="B584" i="3"/>
  <c r="D584" i="3" s="1"/>
  <c r="C584" i="3"/>
  <c r="E584" i="3"/>
  <c r="F584" i="3"/>
  <c r="AC584" i="3" s="1"/>
  <c r="G584" i="3"/>
  <c r="H584" i="3"/>
  <c r="I584" i="3"/>
  <c r="J584" i="3"/>
  <c r="K584" i="3"/>
  <c r="M584" i="3"/>
  <c r="N584" i="3"/>
  <c r="L584" i="3" s="1"/>
  <c r="Q584" i="3"/>
  <c r="R584" i="3"/>
  <c r="S584" i="3"/>
  <c r="T584" i="3"/>
  <c r="U584" i="3"/>
  <c r="V584" i="3"/>
  <c r="W584" i="3"/>
  <c r="X584" i="3"/>
  <c r="Y584" i="3"/>
  <c r="Z584" i="3"/>
  <c r="AA584" i="3"/>
  <c r="AB584" i="3"/>
  <c r="AE584" i="3"/>
  <c r="AF584" i="3"/>
  <c r="AG584" i="3"/>
  <c r="A585" i="3"/>
  <c r="B585" i="3"/>
  <c r="D585" i="3" s="1"/>
  <c r="C585" i="3"/>
  <c r="E585" i="3"/>
  <c r="F585" i="3"/>
  <c r="AC585" i="3" s="1"/>
  <c r="G585" i="3"/>
  <c r="H585" i="3"/>
  <c r="I585" i="3"/>
  <c r="J585" i="3"/>
  <c r="K585" i="3"/>
  <c r="M585" i="3"/>
  <c r="N585" i="3"/>
  <c r="L585" i="3" s="1"/>
  <c r="Q585" i="3"/>
  <c r="R585" i="3"/>
  <c r="S585" i="3"/>
  <c r="T585" i="3"/>
  <c r="U585" i="3"/>
  <c r="V585" i="3"/>
  <c r="W585" i="3"/>
  <c r="X585" i="3"/>
  <c r="Y585" i="3"/>
  <c r="Z585" i="3"/>
  <c r="AA585" i="3"/>
  <c r="AB585" i="3"/>
  <c r="AE585" i="3"/>
  <c r="AF585" i="3"/>
  <c r="AG585" i="3"/>
  <c r="A586" i="3"/>
  <c r="B586" i="3"/>
  <c r="D586" i="3" s="1"/>
  <c r="C586" i="3"/>
  <c r="E586" i="3"/>
  <c r="F586" i="3"/>
  <c r="AC586" i="3" s="1"/>
  <c r="G586" i="3"/>
  <c r="H586" i="3"/>
  <c r="I586" i="3"/>
  <c r="J586" i="3"/>
  <c r="K586" i="3"/>
  <c r="M586" i="3"/>
  <c r="N586" i="3"/>
  <c r="L586" i="3" s="1"/>
  <c r="Q586" i="3"/>
  <c r="R586" i="3"/>
  <c r="S586" i="3"/>
  <c r="T586" i="3"/>
  <c r="U586" i="3"/>
  <c r="V586" i="3"/>
  <c r="W586" i="3"/>
  <c r="X586" i="3"/>
  <c r="Y586" i="3"/>
  <c r="Z586" i="3"/>
  <c r="AA586" i="3"/>
  <c r="AB586" i="3"/>
  <c r="AE586" i="3"/>
  <c r="AF586" i="3"/>
  <c r="AG586" i="3"/>
  <c r="A587" i="3"/>
  <c r="B587" i="3"/>
  <c r="D587" i="3" s="1"/>
  <c r="C587" i="3"/>
  <c r="E587" i="3"/>
  <c r="F587" i="3"/>
  <c r="AC587" i="3" s="1"/>
  <c r="G587" i="3"/>
  <c r="H587" i="3"/>
  <c r="I587" i="3"/>
  <c r="J587" i="3"/>
  <c r="K587" i="3"/>
  <c r="M587" i="3"/>
  <c r="N587" i="3"/>
  <c r="L587" i="3" s="1"/>
  <c r="Q587" i="3"/>
  <c r="R587" i="3"/>
  <c r="S587" i="3"/>
  <c r="T587" i="3"/>
  <c r="U587" i="3"/>
  <c r="V587" i="3"/>
  <c r="W587" i="3"/>
  <c r="X587" i="3"/>
  <c r="Y587" i="3"/>
  <c r="Z587" i="3"/>
  <c r="AA587" i="3"/>
  <c r="AB587" i="3"/>
  <c r="AE587" i="3"/>
  <c r="AF587" i="3"/>
  <c r="AG587" i="3"/>
  <c r="A588" i="3"/>
  <c r="B588" i="3"/>
  <c r="D588" i="3" s="1"/>
  <c r="C588" i="3"/>
  <c r="E588" i="3"/>
  <c r="F588" i="3"/>
  <c r="AC588" i="3" s="1"/>
  <c r="G588" i="3"/>
  <c r="H588" i="3"/>
  <c r="I588" i="3"/>
  <c r="J588" i="3"/>
  <c r="K588" i="3"/>
  <c r="M588" i="3"/>
  <c r="N588" i="3"/>
  <c r="L588" i="3" s="1"/>
  <c r="Q588" i="3"/>
  <c r="R588" i="3"/>
  <c r="S588" i="3"/>
  <c r="T588" i="3"/>
  <c r="U588" i="3"/>
  <c r="V588" i="3"/>
  <c r="W588" i="3"/>
  <c r="X588" i="3"/>
  <c r="Y588" i="3"/>
  <c r="Z588" i="3"/>
  <c r="AA588" i="3"/>
  <c r="AB588" i="3"/>
  <c r="AE588" i="3"/>
  <c r="AF588" i="3"/>
  <c r="AG588" i="3"/>
  <c r="A589" i="3"/>
  <c r="B589" i="3"/>
  <c r="D589" i="3" s="1"/>
  <c r="C589" i="3"/>
  <c r="E589" i="3"/>
  <c r="F589" i="3"/>
  <c r="AC589" i="3" s="1"/>
  <c r="G589" i="3"/>
  <c r="H589" i="3"/>
  <c r="I589" i="3"/>
  <c r="J589" i="3"/>
  <c r="K589" i="3"/>
  <c r="M589" i="3"/>
  <c r="N589" i="3"/>
  <c r="L589" i="3" s="1"/>
  <c r="Q589" i="3"/>
  <c r="R589" i="3"/>
  <c r="S589" i="3"/>
  <c r="T589" i="3"/>
  <c r="U589" i="3"/>
  <c r="V589" i="3"/>
  <c r="W589" i="3"/>
  <c r="X589" i="3"/>
  <c r="Y589" i="3"/>
  <c r="Z589" i="3"/>
  <c r="AA589" i="3"/>
  <c r="AB589" i="3"/>
  <c r="AE589" i="3"/>
  <c r="AF589" i="3"/>
  <c r="AG589" i="3"/>
  <c r="A590" i="3"/>
  <c r="B590" i="3"/>
  <c r="D590" i="3" s="1"/>
  <c r="C590" i="3"/>
  <c r="E590" i="3"/>
  <c r="F590" i="3"/>
  <c r="AC590" i="3" s="1"/>
  <c r="G590" i="3"/>
  <c r="H590" i="3"/>
  <c r="I590" i="3"/>
  <c r="J590" i="3"/>
  <c r="K590" i="3"/>
  <c r="M590" i="3"/>
  <c r="N590" i="3"/>
  <c r="L590" i="3" s="1"/>
  <c r="Q590" i="3"/>
  <c r="R590" i="3"/>
  <c r="S590" i="3"/>
  <c r="T590" i="3"/>
  <c r="U590" i="3"/>
  <c r="V590" i="3"/>
  <c r="W590" i="3"/>
  <c r="X590" i="3"/>
  <c r="Y590" i="3"/>
  <c r="Z590" i="3"/>
  <c r="AA590" i="3"/>
  <c r="AB590" i="3"/>
  <c r="AE590" i="3"/>
  <c r="AF590" i="3"/>
  <c r="AG590" i="3"/>
  <c r="A591" i="3"/>
  <c r="B591" i="3"/>
  <c r="D591" i="3" s="1"/>
  <c r="C591" i="3"/>
  <c r="E591" i="3"/>
  <c r="F591" i="3"/>
  <c r="AC591" i="3" s="1"/>
  <c r="G591" i="3"/>
  <c r="H591" i="3"/>
  <c r="I591" i="3"/>
  <c r="J591" i="3"/>
  <c r="K591" i="3"/>
  <c r="M591" i="3"/>
  <c r="N591" i="3"/>
  <c r="L591" i="3" s="1"/>
  <c r="Q591" i="3"/>
  <c r="R591" i="3"/>
  <c r="S591" i="3"/>
  <c r="T591" i="3"/>
  <c r="U591" i="3"/>
  <c r="V591" i="3"/>
  <c r="W591" i="3"/>
  <c r="X591" i="3"/>
  <c r="Y591" i="3"/>
  <c r="Z591" i="3"/>
  <c r="AA591" i="3"/>
  <c r="AB591" i="3"/>
  <c r="AE591" i="3"/>
  <c r="AF591" i="3"/>
  <c r="AG591" i="3"/>
  <c r="A592" i="3"/>
  <c r="B592" i="3"/>
  <c r="D592" i="3" s="1"/>
  <c r="C592" i="3"/>
  <c r="E592" i="3"/>
  <c r="F592" i="3"/>
  <c r="AC592" i="3" s="1"/>
  <c r="G592" i="3"/>
  <c r="H592" i="3"/>
  <c r="I592" i="3"/>
  <c r="J592" i="3"/>
  <c r="K592" i="3"/>
  <c r="M592" i="3"/>
  <c r="N592" i="3"/>
  <c r="L592" i="3" s="1"/>
  <c r="Q592" i="3"/>
  <c r="R592" i="3"/>
  <c r="S592" i="3"/>
  <c r="T592" i="3"/>
  <c r="U592" i="3"/>
  <c r="V592" i="3"/>
  <c r="W592" i="3"/>
  <c r="X592" i="3"/>
  <c r="Y592" i="3"/>
  <c r="Z592" i="3"/>
  <c r="AA592" i="3"/>
  <c r="AB592" i="3"/>
  <c r="AE592" i="3"/>
  <c r="AF592" i="3"/>
  <c r="AG592" i="3"/>
  <c r="A593" i="3"/>
  <c r="B593" i="3"/>
  <c r="D593" i="3" s="1"/>
  <c r="C593" i="3"/>
  <c r="E593" i="3"/>
  <c r="F593" i="3"/>
  <c r="AC593" i="3" s="1"/>
  <c r="G593" i="3"/>
  <c r="H593" i="3"/>
  <c r="I593" i="3"/>
  <c r="J593" i="3"/>
  <c r="K593" i="3"/>
  <c r="M593" i="3"/>
  <c r="N593" i="3"/>
  <c r="L593" i="3" s="1"/>
  <c r="Q593" i="3"/>
  <c r="R593" i="3"/>
  <c r="S593" i="3"/>
  <c r="T593" i="3"/>
  <c r="U593" i="3"/>
  <c r="V593" i="3"/>
  <c r="W593" i="3"/>
  <c r="X593" i="3"/>
  <c r="Y593" i="3"/>
  <c r="Z593" i="3"/>
  <c r="AA593" i="3"/>
  <c r="AB593" i="3"/>
  <c r="AE593" i="3"/>
  <c r="AF593" i="3"/>
  <c r="AG593" i="3"/>
  <c r="A594" i="3"/>
  <c r="B594" i="3"/>
  <c r="D594" i="3" s="1"/>
  <c r="C594" i="3"/>
  <c r="E594" i="3"/>
  <c r="F594" i="3"/>
  <c r="AC594" i="3" s="1"/>
  <c r="G594" i="3"/>
  <c r="H594" i="3"/>
  <c r="I594" i="3"/>
  <c r="J594" i="3"/>
  <c r="K594" i="3"/>
  <c r="M594" i="3"/>
  <c r="N594" i="3"/>
  <c r="L594" i="3" s="1"/>
  <c r="Q594" i="3"/>
  <c r="R594" i="3"/>
  <c r="S594" i="3"/>
  <c r="T594" i="3"/>
  <c r="U594" i="3"/>
  <c r="V594" i="3"/>
  <c r="W594" i="3"/>
  <c r="X594" i="3"/>
  <c r="Y594" i="3"/>
  <c r="Z594" i="3"/>
  <c r="AA594" i="3"/>
  <c r="AB594" i="3"/>
  <c r="AE594" i="3"/>
  <c r="AF594" i="3"/>
  <c r="AG594" i="3"/>
  <c r="A595" i="3"/>
  <c r="B595" i="3"/>
  <c r="D595" i="3" s="1"/>
  <c r="C595" i="3"/>
  <c r="E595" i="3"/>
  <c r="F595" i="3"/>
  <c r="AC595" i="3" s="1"/>
  <c r="G595" i="3"/>
  <c r="H595" i="3"/>
  <c r="I595" i="3"/>
  <c r="J595" i="3"/>
  <c r="K595" i="3"/>
  <c r="M595" i="3"/>
  <c r="N595" i="3"/>
  <c r="L595" i="3" s="1"/>
  <c r="Q595" i="3"/>
  <c r="R595" i="3"/>
  <c r="S595" i="3"/>
  <c r="T595" i="3"/>
  <c r="U595" i="3"/>
  <c r="V595" i="3"/>
  <c r="W595" i="3"/>
  <c r="X595" i="3"/>
  <c r="Y595" i="3"/>
  <c r="Z595" i="3"/>
  <c r="AA595" i="3"/>
  <c r="AB595" i="3"/>
  <c r="AE595" i="3"/>
  <c r="AF595" i="3"/>
  <c r="AG595" i="3"/>
  <c r="A596" i="3"/>
  <c r="B596" i="3"/>
  <c r="D596" i="3" s="1"/>
  <c r="C596" i="3"/>
  <c r="E596" i="3"/>
  <c r="F596" i="3"/>
  <c r="AC596" i="3" s="1"/>
  <c r="G596" i="3"/>
  <c r="H596" i="3"/>
  <c r="I596" i="3"/>
  <c r="J596" i="3"/>
  <c r="K596" i="3"/>
  <c r="M596" i="3"/>
  <c r="N596" i="3"/>
  <c r="L596" i="3" s="1"/>
  <c r="Q596" i="3"/>
  <c r="R596" i="3"/>
  <c r="S596" i="3"/>
  <c r="T596" i="3"/>
  <c r="U596" i="3"/>
  <c r="V596" i="3"/>
  <c r="W596" i="3"/>
  <c r="X596" i="3"/>
  <c r="Y596" i="3"/>
  <c r="Z596" i="3"/>
  <c r="AA596" i="3"/>
  <c r="AB596" i="3"/>
  <c r="AE596" i="3"/>
  <c r="AF596" i="3"/>
  <c r="AG596" i="3"/>
  <c r="A597" i="3"/>
  <c r="B597" i="3"/>
  <c r="D597" i="3" s="1"/>
  <c r="C597" i="3"/>
  <c r="E597" i="3"/>
  <c r="F597" i="3"/>
  <c r="AC597" i="3" s="1"/>
  <c r="G597" i="3"/>
  <c r="H597" i="3"/>
  <c r="I597" i="3"/>
  <c r="J597" i="3"/>
  <c r="K597" i="3"/>
  <c r="M597" i="3"/>
  <c r="N597" i="3"/>
  <c r="L597" i="3" s="1"/>
  <c r="Q597" i="3"/>
  <c r="R597" i="3"/>
  <c r="S597" i="3"/>
  <c r="T597" i="3"/>
  <c r="U597" i="3"/>
  <c r="V597" i="3"/>
  <c r="W597" i="3"/>
  <c r="X597" i="3"/>
  <c r="Y597" i="3"/>
  <c r="Z597" i="3"/>
  <c r="AA597" i="3"/>
  <c r="AB597" i="3"/>
  <c r="AE597" i="3"/>
  <c r="AF597" i="3"/>
  <c r="AG597" i="3"/>
  <c r="A598" i="3"/>
  <c r="B598" i="3"/>
  <c r="D598" i="3" s="1"/>
  <c r="C598" i="3"/>
  <c r="E598" i="3"/>
  <c r="F598" i="3"/>
  <c r="AC598" i="3" s="1"/>
  <c r="G598" i="3"/>
  <c r="H598" i="3"/>
  <c r="I598" i="3"/>
  <c r="J598" i="3"/>
  <c r="K598" i="3"/>
  <c r="M598" i="3"/>
  <c r="N598" i="3"/>
  <c r="L598" i="3" s="1"/>
  <c r="Q598" i="3"/>
  <c r="R598" i="3"/>
  <c r="S598" i="3"/>
  <c r="T598" i="3"/>
  <c r="U598" i="3"/>
  <c r="V598" i="3"/>
  <c r="W598" i="3"/>
  <c r="X598" i="3"/>
  <c r="Y598" i="3"/>
  <c r="Z598" i="3"/>
  <c r="AA598" i="3"/>
  <c r="AB598" i="3"/>
  <c r="AE598" i="3"/>
  <c r="AF598" i="3"/>
  <c r="AG598" i="3"/>
  <c r="A599" i="3"/>
  <c r="B599" i="3"/>
  <c r="D599" i="3" s="1"/>
  <c r="C599" i="3"/>
  <c r="E599" i="3"/>
  <c r="F599" i="3"/>
  <c r="AC599" i="3" s="1"/>
  <c r="G599" i="3"/>
  <c r="H599" i="3"/>
  <c r="I599" i="3"/>
  <c r="J599" i="3"/>
  <c r="K599" i="3"/>
  <c r="M599" i="3"/>
  <c r="N599" i="3"/>
  <c r="L599" i="3" s="1"/>
  <c r="Q599" i="3"/>
  <c r="R599" i="3"/>
  <c r="S599" i="3"/>
  <c r="T599" i="3"/>
  <c r="U599" i="3"/>
  <c r="V599" i="3"/>
  <c r="W599" i="3"/>
  <c r="X599" i="3"/>
  <c r="Y599" i="3"/>
  <c r="Z599" i="3"/>
  <c r="AA599" i="3"/>
  <c r="AB599" i="3"/>
  <c r="AE599" i="3"/>
  <c r="AF599" i="3"/>
  <c r="AG599" i="3"/>
  <c r="A600" i="3"/>
  <c r="B600" i="3"/>
  <c r="D600" i="3" s="1"/>
  <c r="C600" i="3"/>
  <c r="E600" i="3"/>
  <c r="F600" i="3"/>
  <c r="AC600" i="3" s="1"/>
  <c r="G600" i="3"/>
  <c r="H600" i="3"/>
  <c r="I600" i="3"/>
  <c r="J600" i="3"/>
  <c r="K600" i="3"/>
  <c r="M600" i="3"/>
  <c r="N600" i="3"/>
  <c r="L600" i="3" s="1"/>
  <c r="Q600" i="3"/>
  <c r="R600" i="3"/>
  <c r="S600" i="3"/>
  <c r="T600" i="3"/>
  <c r="U600" i="3"/>
  <c r="V600" i="3"/>
  <c r="W600" i="3"/>
  <c r="X600" i="3"/>
  <c r="Y600" i="3"/>
  <c r="Z600" i="3"/>
  <c r="AA600" i="3"/>
  <c r="AB600" i="3"/>
  <c r="AE600" i="3"/>
  <c r="AF600" i="3"/>
  <c r="AG600" i="3"/>
  <c r="A601" i="3"/>
  <c r="B601" i="3"/>
  <c r="D601" i="3" s="1"/>
  <c r="C601" i="3"/>
  <c r="E601" i="3"/>
  <c r="F601" i="3"/>
  <c r="AC601" i="3" s="1"/>
  <c r="G601" i="3"/>
  <c r="H601" i="3"/>
  <c r="I601" i="3"/>
  <c r="J601" i="3"/>
  <c r="K601" i="3"/>
  <c r="M601" i="3"/>
  <c r="N601" i="3"/>
  <c r="L601" i="3" s="1"/>
  <c r="Q601" i="3"/>
  <c r="R601" i="3"/>
  <c r="S601" i="3"/>
  <c r="T601" i="3"/>
  <c r="U601" i="3"/>
  <c r="V601" i="3"/>
  <c r="W601" i="3"/>
  <c r="X601" i="3"/>
  <c r="Y601" i="3"/>
  <c r="Z601" i="3"/>
  <c r="AA601" i="3"/>
  <c r="AB601" i="3"/>
  <c r="AE601" i="3"/>
  <c r="AF601" i="3"/>
  <c r="AG601" i="3"/>
  <c r="A602" i="3"/>
  <c r="B602" i="3"/>
  <c r="D602" i="3" s="1"/>
  <c r="C602" i="3"/>
  <c r="E602" i="3"/>
  <c r="F602" i="3"/>
  <c r="AC602" i="3" s="1"/>
  <c r="G602" i="3"/>
  <c r="H602" i="3"/>
  <c r="I602" i="3"/>
  <c r="J602" i="3"/>
  <c r="K602" i="3"/>
  <c r="M602" i="3"/>
  <c r="N602" i="3"/>
  <c r="L602" i="3" s="1"/>
  <c r="Q602" i="3"/>
  <c r="R602" i="3"/>
  <c r="S602" i="3"/>
  <c r="T602" i="3"/>
  <c r="U602" i="3"/>
  <c r="V602" i="3"/>
  <c r="W602" i="3"/>
  <c r="X602" i="3"/>
  <c r="Y602" i="3"/>
  <c r="Z602" i="3"/>
  <c r="AA602" i="3"/>
  <c r="AB602" i="3"/>
  <c r="AE602" i="3"/>
  <c r="AF602" i="3"/>
  <c r="AG602" i="3"/>
  <c r="A603" i="3"/>
  <c r="B603" i="3"/>
  <c r="D603" i="3" s="1"/>
  <c r="C603" i="3"/>
  <c r="E603" i="3"/>
  <c r="F603" i="3"/>
  <c r="AC603" i="3" s="1"/>
  <c r="G603" i="3"/>
  <c r="H603" i="3"/>
  <c r="I603" i="3"/>
  <c r="J603" i="3"/>
  <c r="K603" i="3"/>
  <c r="M603" i="3"/>
  <c r="N603" i="3"/>
  <c r="L603" i="3" s="1"/>
  <c r="Q603" i="3"/>
  <c r="R603" i="3"/>
  <c r="S603" i="3"/>
  <c r="T603" i="3"/>
  <c r="U603" i="3"/>
  <c r="V603" i="3"/>
  <c r="W603" i="3"/>
  <c r="X603" i="3"/>
  <c r="Y603" i="3"/>
  <c r="Z603" i="3"/>
  <c r="AA603" i="3"/>
  <c r="AB603" i="3"/>
  <c r="AE603" i="3"/>
  <c r="AF603" i="3"/>
  <c r="AG603" i="3"/>
  <c r="A604" i="3"/>
  <c r="B604" i="3"/>
  <c r="D604" i="3" s="1"/>
  <c r="C604" i="3"/>
  <c r="E604" i="3"/>
  <c r="F604" i="3"/>
  <c r="AC604" i="3" s="1"/>
  <c r="G604" i="3"/>
  <c r="H604" i="3"/>
  <c r="I604" i="3"/>
  <c r="J604" i="3"/>
  <c r="K604" i="3"/>
  <c r="M604" i="3"/>
  <c r="N604" i="3"/>
  <c r="L604" i="3" s="1"/>
  <c r="Q604" i="3"/>
  <c r="R604" i="3"/>
  <c r="S604" i="3"/>
  <c r="T604" i="3"/>
  <c r="U604" i="3"/>
  <c r="V604" i="3"/>
  <c r="W604" i="3"/>
  <c r="X604" i="3"/>
  <c r="Y604" i="3"/>
  <c r="Z604" i="3"/>
  <c r="AA604" i="3"/>
  <c r="AB604" i="3"/>
  <c r="AE604" i="3"/>
  <c r="AF604" i="3"/>
  <c r="AG604" i="3"/>
  <c r="A605" i="3"/>
  <c r="B605" i="3"/>
  <c r="D605" i="3" s="1"/>
  <c r="C605" i="3"/>
  <c r="E605" i="3"/>
  <c r="F605" i="3"/>
  <c r="AC605" i="3" s="1"/>
  <c r="G605" i="3"/>
  <c r="H605" i="3"/>
  <c r="I605" i="3"/>
  <c r="J605" i="3"/>
  <c r="K605" i="3"/>
  <c r="M605" i="3"/>
  <c r="N605" i="3"/>
  <c r="L605" i="3" s="1"/>
  <c r="Q605" i="3"/>
  <c r="R605" i="3"/>
  <c r="S605" i="3"/>
  <c r="T605" i="3"/>
  <c r="U605" i="3"/>
  <c r="V605" i="3"/>
  <c r="W605" i="3"/>
  <c r="X605" i="3"/>
  <c r="Y605" i="3"/>
  <c r="Z605" i="3"/>
  <c r="AA605" i="3"/>
  <c r="AB605" i="3"/>
  <c r="AE605" i="3"/>
  <c r="AF605" i="3"/>
  <c r="AG605" i="3"/>
  <c r="A606" i="3"/>
  <c r="B606" i="3"/>
  <c r="D606" i="3" s="1"/>
  <c r="C606" i="3"/>
  <c r="E606" i="3"/>
  <c r="F606" i="3"/>
  <c r="AC606" i="3" s="1"/>
  <c r="G606" i="3"/>
  <c r="H606" i="3"/>
  <c r="I606" i="3"/>
  <c r="J606" i="3"/>
  <c r="K606" i="3"/>
  <c r="M606" i="3"/>
  <c r="N606" i="3"/>
  <c r="L606" i="3" s="1"/>
  <c r="Q606" i="3"/>
  <c r="R606" i="3"/>
  <c r="S606" i="3"/>
  <c r="T606" i="3"/>
  <c r="U606" i="3"/>
  <c r="V606" i="3"/>
  <c r="W606" i="3"/>
  <c r="X606" i="3"/>
  <c r="Y606" i="3"/>
  <c r="Z606" i="3"/>
  <c r="AA606" i="3"/>
  <c r="AB606" i="3"/>
  <c r="AE606" i="3"/>
  <c r="AF606" i="3"/>
  <c r="AG606" i="3"/>
  <c r="A607" i="3"/>
  <c r="B607" i="3"/>
  <c r="D607" i="3" s="1"/>
  <c r="C607" i="3"/>
  <c r="E607" i="3"/>
  <c r="F607" i="3"/>
  <c r="AC607" i="3" s="1"/>
  <c r="G607" i="3"/>
  <c r="H607" i="3"/>
  <c r="I607" i="3"/>
  <c r="J607" i="3"/>
  <c r="K607" i="3"/>
  <c r="M607" i="3"/>
  <c r="N607" i="3"/>
  <c r="L607" i="3" s="1"/>
  <c r="Q607" i="3"/>
  <c r="R607" i="3"/>
  <c r="S607" i="3"/>
  <c r="T607" i="3"/>
  <c r="U607" i="3"/>
  <c r="V607" i="3"/>
  <c r="W607" i="3"/>
  <c r="X607" i="3"/>
  <c r="Y607" i="3"/>
  <c r="Z607" i="3"/>
  <c r="AA607" i="3"/>
  <c r="AB607" i="3"/>
  <c r="AE607" i="3"/>
  <c r="AF607" i="3"/>
  <c r="AG607" i="3"/>
  <c r="A608" i="3"/>
  <c r="B608" i="3"/>
  <c r="D608" i="3" s="1"/>
  <c r="C608" i="3"/>
  <c r="E608" i="3"/>
  <c r="F608" i="3"/>
  <c r="AC608" i="3" s="1"/>
  <c r="G608" i="3"/>
  <c r="H608" i="3"/>
  <c r="I608" i="3"/>
  <c r="J608" i="3"/>
  <c r="K608" i="3"/>
  <c r="M608" i="3"/>
  <c r="N608" i="3"/>
  <c r="L608" i="3" s="1"/>
  <c r="Q608" i="3"/>
  <c r="R608" i="3"/>
  <c r="S608" i="3"/>
  <c r="T608" i="3"/>
  <c r="U608" i="3"/>
  <c r="V608" i="3"/>
  <c r="W608" i="3"/>
  <c r="X608" i="3"/>
  <c r="Y608" i="3"/>
  <c r="Z608" i="3"/>
  <c r="AA608" i="3"/>
  <c r="AB608" i="3"/>
  <c r="AE608" i="3"/>
  <c r="AF608" i="3"/>
  <c r="AG608" i="3"/>
  <c r="A609" i="3"/>
  <c r="B609" i="3"/>
  <c r="D609" i="3" s="1"/>
  <c r="C609" i="3"/>
  <c r="E609" i="3"/>
  <c r="F609" i="3"/>
  <c r="AC609" i="3" s="1"/>
  <c r="G609" i="3"/>
  <c r="H609" i="3"/>
  <c r="I609" i="3"/>
  <c r="J609" i="3"/>
  <c r="K609" i="3"/>
  <c r="M609" i="3"/>
  <c r="N609" i="3"/>
  <c r="L609" i="3" s="1"/>
  <c r="Q609" i="3"/>
  <c r="R609" i="3"/>
  <c r="S609" i="3"/>
  <c r="T609" i="3"/>
  <c r="U609" i="3"/>
  <c r="V609" i="3"/>
  <c r="W609" i="3"/>
  <c r="X609" i="3"/>
  <c r="Y609" i="3"/>
  <c r="Z609" i="3"/>
  <c r="AA609" i="3"/>
  <c r="AB609" i="3"/>
  <c r="AE609" i="3"/>
  <c r="AF609" i="3"/>
  <c r="AG609" i="3"/>
  <c r="A610" i="3"/>
  <c r="B610" i="3"/>
  <c r="D610" i="3" s="1"/>
  <c r="C610" i="3"/>
  <c r="E610" i="3"/>
  <c r="F610" i="3"/>
  <c r="AC610" i="3" s="1"/>
  <c r="G610" i="3"/>
  <c r="H610" i="3"/>
  <c r="I610" i="3"/>
  <c r="J610" i="3"/>
  <c r="K610" i="3"/>
  <c r="M610" i="3"/>
  <c r="N610" i="3"/>
  <c r="L610" i="3" s="1"/>
  <c r="Q610" i="3"/>
  <c r="R610" i="3"/>
  <c r="S610" i="3"/>
  <c r="T610" i="3"/>
  <c r="U610" i="3"/>
  <c r="V610" i="3"/>
  <c r="W610" i="3"/>
  <c r="X610" i="3"/>
  <c r="Y610" i="3"/>
  <c r="Z610" i="3"/>
  <c r="AA610" i="3"/>
  <c r="AB610" i="3"/>
  <c r="AE610" i="3"/>
  <c r="AF610" i="3"/>
  <c r="AG610" i="3"/>
  <c r="A611" i="3"/>
  <c r="B611" i="3"/>
  <c r="D611" i="3" s="1"/>
  <c r="C611" i="3"/>
  <c r="E611" i="3"/>
  <c r="F611" i="3"/>
  <c r="AC611" i="3" s="1"/>
  <c r="G611" i="3"/>
  <c r="H611" i="3"/>
  <c r="I611" i="3"/>
  <c r="J611" i="3"/>
  <c r="K611" i="3"/>
  <c r="M611" i="3"/>
  <c r="N611" i="3"/>
  <c r="L611" i="3" s="1"/>
  <c r="Q611" i="3"/>
  <c r="R611" i="3"/>
  <c r="S611" i="3"/>
  <c r="T611" i="3"/>
  <c r="U611" i="3"/>
  <c r="V611" i="3"/>
  <c r="W611" i="3"/>
  <c r="X611" i="3"/>
  <c r="Y611" i="3"/>
  <c r="Z611" i="3"/>
  <c r="AA611" i="3"/>
  <c r="AB611" i="3"/>
  <c r="AE611" i="3"/>
  <c r="AF611" i="3"/>
  <c r="AG611" i="3"/>
  <c r="A612" i="3"/>
  <c r="B612" i="3"/>
  <c r="D612" i="3" s="1"/>
  <c r="C612" i="3"/>
  <c r="E612" i="3"/>
  <c r="F612" i="3"/>
  <c r="AC612" i="3" s="1"/>
  <c r="G612" i="3"/>
  <c r="H612" i="3"/>
  <c r="I612" i="3"/>
  <c r="J612" i="3"/>
  <c r="K612" i="3"/>
  <c r="M612" i="3"/>
  <c r="N612" i="3"/>
  <c r="L612" i="3" s="1"/>
  <c r="Q612" i="3"/>
  <c r="R612" i="3"/>
  <c r="S612" i="3"/>
  <c r="T612" i="3"/>
  <c r="U612" i="3"/>
  <c r="V612" i="3"/>
  <c r="W612" i="3"/>
  <c r="X612" i="3"/>
  <c r="Y612" i="3"/>
  <c r="Z612" i="3"/>
  <c r="AA612" i="3"/>
  <c r="AB612" i="3"/>
  <c r="AE612" i="3"/>
  <c r="AF612" i="3"/>
  <c r="AG612" i="3"/>
  <c r="A613" i="3"/>
  <c r="B613" i="3"/>
  <c r="D613" i="3" s="1"/>
  <c r="C613" i="3"/>
  <c r="E613" i="3"/>
  <c r="F613" i="3"/>
  <c r="AC613" i="3" s="1"/>
  <c r="G613" i="3"/>
  <c r="H613" i="3"/>
  <c r="I613" i="3"/>
  <c r="J613" i="3"/>
  <c r="K613" i="3"/>
  <c r="M613" i="3"/>
  <c r="N613" i="3"/>
  <c r="L613" i="3" s="1"/>
  <c r="Q613" i="3"/>
  <c r="R613" i="3"/>
  <c r="S613" i="3"/>
  <c r="T613" i="3"/>
  <c r="U613" i="3"/>
  <c r="V613" i="3"/>
  <c r="W613" i="3"/>
  <c r="X613" i="3"/>
  <c r="Y613" i="3"/>
  <c r="Z613" i="3"/>
  <c r="AA613" i="3"/>
  <c r="AB613" i="3"/>
  <c r="AE613" i="3"/>
  <c r="AF613" i="3"/>
  <c r="AG613" i="3"/>
  <c r="A614" i="3"/>
  <c r="B614" i="3"/>
  <c r="D614" i="3" s="1"/>
  <c r="C614" i="3"/>
  <c r="E614" i="3"/>
  <c r="F614" i="3"/>
  <c r="AC614" i="3" s="1"/>
  <c r="G614" i="3"/>
  <c r="H614" i="3"/>
  <c r="I614" i="3"/>
  <c r="J614" i="3"/>
  <c r="K614" i="3"/>
  <c r="M614" i="3"/>
  <c r="N614" i="3"/>
  <c r="L614" i="3" s="1"/>
  <c r="Q614" i="3"/>
  <c r="R614" i="3"/>
  <c r="S614" i="3"/>
  <c r="T614" i="3"/>
  <c r="U614" i="3"/>
  <c r="V614" i="3"/>
  <c r="W614" i="3"/>
  <c r="X614" i="3"/>
  <c r="Y614" i="3"/>
  <c r="Z614" i="3"/>
  <c r="AA614" i="3"/>
  <c r="AB614" i="3"/>
  <c r="AE614" i="3"/>
  <c r="AF614" i="3"/>
  <c r="AG614" i="3"/>
  <c r="A615" i="3"/>
  <c r="B615" i="3"/>
  <c r="D615" i="3" s="1"/>
  <c r="C615" i="3"/>
  <c r="E615" i="3"/>
  <c r="F615" i="3"/>
  <c r="AC615" i="3" s="1"/>
  <c r="G615" i="3"/>
  <c r="H615" i="3"/>
  <c r="I615" i="3"/>
  <c r="J615" i="3"/>
  <c r="K615" i="3"/>
  <c r="M615" i="3"/>
  <c r="N615" i="3"/>
  <c r="L615" i="3" s="1"/>
  <c r="Q615" i="3"/>
  <c r="R615" i="3"/>
  <c r="S615" i="3"/>
  <c r="T615" i="3"/>
  <c r="U615" i="3"/>
  <c r="V615" i="3"/>
  <c r="W615" i="3"/>
  <c r="X615" i="3"/>
  <c r="Y615" i="3"/>
  <c r="Z615" i="3"/>
  <c r="AA615" i="3"/>
  <c r="AB615" i="3"/>
  <c r="AE615" i="3"/>
  <c r="AF615" i="3"/>
  <c r="AG615" i="3"/>
  <c r="A616" i="3"/>
  <c r="B616" i="3"/>
  <c r="D616" i="3" s="1"/>
  <c r="C616" i="3"/>
  <c r="E616" i="3"/>
  <c r="F616" i="3"/>
  <c r="AC616" i="3" s="1"/>
  <c r="G616" i="3"/>
  <c r="H616" i="3"/>
  <c r="I616" i="3"/>
  <c r="J616" i="3"/>
  <c r="K616" i="3"/>
  <c r="M616" i="3"/>
  <c r="N616" i="3"/>
  <c r="L616" i="3" s="1"/>
  <c r="Q616" i="3"/>
  <c r="R616" i="3"/>
  <c r="S616" i="3"/>
  <c r="T616" i="3"/>
  <c r="U616" i="3"/>
  <c r="V616" i="3"/>
  <c r="W616" i="3"/>
  <c r="X616" i="3"/>
  <c r="Y616" i="3"/>
  <c r="Z616" i="3"/>
  <c r="AA616" i="3"/>
  <c r="AB616" i="3"/>
  <c r="AE616" i="3"/>
  <c r="AF616" i="3"/>
  <c r="AG616" i="3"/>
  <c r="A617" i="3"/>
  <c r="B617" i="3"/>
  <c r="D617" i="3" s="1"/>
  <c r="C617" i="3"/>
  <c r="E617" i="3"/>
  <c r="F617" i="3"/>
  <c r="AC617" i="3" s="1"/>
  <c r="G617" i="3"/>
  <c r="H617" i="3"/>
  <c r="I617" i="3"/>
  <c r="J617" i="3"/>
  <c r="K617" i="3"/>
  <c r="M617" i="3"/>
  <c r="N617" i="3"/>
  <c r="L617" i="3" s="1"/>
  <c r="Q617" i="3"/>
  <c r="R617" i="3"/>
  <c r="S617" i="3"/>
  <c r="T617" i="3"/>
  <c r="U617" i="3"/>
  <c r="V617" i="3"/>
  <c r="W617" i="3"/>
  <c r="X617" i="3"/>
  <c r="Y617" i="3"/>
  <c r="Z617" i="3"/>
  <c r="AA617" i="3"/>
  <c r="AB617" i="3"/>
  <c r="AE617" i="3"/>
  <c r="AF617" i="3"/>
  <c r="AG617" i="3"/>
  <c r="A618" i="3"/>
  <c r="B618" i="3"/>
  <c r="D618" i="3" s="1"/>
  <c r="C618" i="3"/>
  <c r="E618" i="3"/>
  <c r="F618" i="3"/>
  <c r="AC618" i="3" s="1"/>
  <c r="G618" i="3"/>
  <c r="H618" i="3"/>
  <c r="I618" i="3"/>
  <c r="J618" i="3"/>
  <c r="K618" i="3"/>
  <c r="M618" i="3"/>
  <c r="N618" i="3"/>
  <c r="L618" i="3" s="1"/>
  <c r="Q618" i="3"/>
  <c r="R618" i="3"/>
  <c r="S618" i="3"/>
  <c r="T618" i="3"/>
  <c r="U618" i="3"/>
  <c r="V618" i="3"/>
  <c r="W618" i="3"/>
  <c r="X618" i="3"/>
  <c r="Y618" i="3"/>
  <c r="Z618" i="3"/>
  <c r="AA618" i="3"/>
  <c r="AB618" i="3"/>
  <c r="AE618" i="3"/>
  <c r="AF618" i="3"/>
  <c r="AG618" i="3"/>
  <c r="A619" i="3"/>
  <c r="B619" i="3"/>
  <c r="D619" i="3" s="1"/>
  <c r="C619" i="3"/>
  <c r="E619" i="3"/>
  <c r="F619" i="3"/>
  <c r="AC619" i="3" s="1"/>
  <c r="G619" i="3"/>
  <c r="H619" i="3"/>
  <c r="I619" i="3"/>
  <c r="J619" i="3"/>
  <c r="K619" i="3"/>
  <c r="M619" i="3"/>
  <c r="N619" i="3"/>
  <c r="L619" i="3" s="1"/>
  <c r="Q619" i="3"/>
  <c r="R619" i="3"/>
  <c r="S619" i="3"/>
  <c r="T619" i="3"/>
  <c r="U619" i="3"/>
  <c r="V619" i="3"/>
  <c r="W619" i="3"/>
  <c r="X619" i="3"/>
  <c r="Y619" i="3"/>
  <c r="Z619" i="3"/>
  <c r="AA619" i="3"/>
  <c r="AB619" i="3"/>
  <c r="AE619" i="3"/>
  <c r="AF619" i="3"/>
  <c r="AG619" i="3"/>
  <c r="A620" i="3"/>
  <c r="B620" i="3"/>
  <c r="D620" i="3" s="1"/>
  <c r="C620" i="3"/>
  <c r="E620" i="3"/>
  <c r="F620" i="3"/>
  <c r="AC620" i="3" s="1"/>
  <c r="G620" i="3"/>
  <c r="H620" i="3"/>
  <c r="I620" i="3"/>
  <c r="J620" i="3"/>
  <c r="K620" i="3"/>
  <c r="M620" i="3"/>
  <c r="N620" i="3"/>
  <c r="L620" i="3" s="1"/>
  <c r="Q620" i="3"/>
  <c r="R620" i="3"/>
  <c r="S620" i="3"/>
  <c r="T620" i="3"/>
  <c r="U620" i="3"/>
  <c r="V620" i="3"/>
  <c r="W620" i="3"/>
  <c r="X620" i="3"/>
  <c r="Y620" i="3"/>
  <c r="Z620" i="3"/>
  <c r="AA620" i="3"/>
  <c r="AB620" i="3"/>
  <c r="AE620" i="3"/>
  <c r="AF620" i="3"/>
  <c r="AG620" i="3"/>
  <c r="A621" i="3"/>
  <c r="B621" i="3"/>
  <c r="D621" i="3" s="1"/>
  <c r="C621" i="3"/>
  <c r="E621" i="3"/>
  <c r="F621" i="3"/>
  <c r="AC621" i="3" s="1"/>
  <c r="G621" i="3"/>
  <c r="H621" i="3"/>
  <c r="I621" i="3"/>
  <c r="J621" i="3"/>
  <c r="K621" i="3"/>
  <c r="M621" i="3"/>
  <c r="N621" i="3"/>
  <c r="L621" i="3" s="1"/>
  <c r="Q621" i="3"/>
  <c r="R621" i="3"/>
  <c r="S621" i="3"/>
  <c r="T621" i="3"/>
  <c r="U621" i="3"/>
  <c r="V621" i="3"/>
  <c r="W621" i="3"/>
  <c r="X621" i="3"/>
  <c r="Y621" i="3"/>
  <c r="Z621" i="3"/>
  <c r="AA621" i="3"/>
  <c r="AB621" i="3"/>
  <c r="AE621" i="3"/>
  <c r="AF621" i="3"/>
  <c r="AG621" i="3"/>
  <c r="A622" i="3"/>
  <c r="B622" i="3"/>
  <c r="D622" i="3" s="1"/>
  <c r="C622" i="3"/>
  <c r="E622" i="3"/>
  <c r="F622" i="3"/>
  <c r="AC622" i="3" s="1"/>
  <c r="G622" i="3"/>
  <c r="H622" i="3"/>
  <c r="I622" i="3"/>
  <c r="J622" i="3"/>
  <c r="K622" i="3"/>
  <c r="M622" i="3"/>
  <c r="N622" i="3"/>
  <c r="L622" i="3" s="1"/>
  <c r="Q622" i="3"/>
  <c r="R622" i="3"/>
  <c r="S622" i="3"/>
  <c r="T622" i="3"/>
  <c r="U622" i="3"/>
  <c r="V622" i="3"/>
  <c r="W622" i="3"/>
  <c r="X622" i="3"/>
  <c r="Y622" i="3"/>
  <c r="Z622" i="3"/>
  <c r="AA622" i="3"/>
  <c r="AB622" i="3"/>
  <c r="AE622" i="3"/>
  <c r="AF622" i="3"/>
  <c r="AG622" i="3"/>
  <c r="A623" i="3"/>
  <c r="B623" i="3"/>
  <c r="D623" i="3" s="1"/>
  <c r="C623" i="3"/>
  <c r="E623" i="3"/>
  <c r="F623" i="3"/>
  <c r="AC623" i="3" s="1"/>
  <c r="G623" i="3"/>
  <c r="H623" i="3"/>
  <c r="I623" i="3"/>
  <c r="J623" i="3"/>
  <c r="K623" i="3"/>
  <c r="M623" i="3"/>
  <c r="N623" i="3"/>
  <c r="L623" i="3" s="1"/>
  <c r="Q623" i="3"/>
  <c r="R623" i="3"/>
  <c r="S623" i="3"/>
  <c r="T623" i="3"/>
  <c r="U623" i="3"/>
  <c r="V623" i="3"/>
  <c r="W623" i="3"/>
  <c r="X623" i="3"/>
  <c r="Y623" i="3"/>
  <c r="Z623" i="3"/>
  <c r="AA623" i="3"/>
  <c r="AB623" i="3"/>
  <c r="AE623" i="3"/>
  <c r="AF623" i="3"/>
  <c r="AG623" i="3"/>
  <c r="A624" i="3"/>
  <c r="B624" i="3"/>
  <c r="D624" i="3" s="1"/>
  <c r="C624" i="3"/>
  <c r="E624" i="3"/>
  <c r="F624" i="3"/>
  <c r="AC624" i="3" s="1"/>
  <c r="G624" i="3"/>
  <c r="H624" i="3"/>
  <c r="I624" i="3"/>
  <c r="J624" i="3"/>
  <c r="K624" i="3"/>
  <c r="M624" i="3"/>
  <c r="N624" i="3"/>
  <c r="L624" i="3" s="1"/>
  <c r="Q624" i="3"/>
  <c r="R624" i="3"/>
  <c r="S624" i="3"/>
  <c r="T624" i="3"/>
  <c r="U624" i="3"/>
  <c r="V624" i="3"/>
  <c r="W624" i="3"/>
  <c r="X624" i="3"/>
  <c r="Y624" i="3"/>
  <c r="Z624" i="3"/>
  <c r="AA624" i="3"/>
  <c r="AB624" i="3"/>
  <c r="AE624" i="3"/>
  <c r="AF624" i="3"/>
  <c r="AG624" i="3"/>
  <c r="A625" i="3"/>
  <c r="B625" i="3"/>
  <c r="D625" i="3" s="1"/>
  <c r="C625" i="3"/>
  <c r="E625" i="3"/>
  <c r="F625" i="3"/>
  <c r="AC625" i="3" s="1"/>
  <c r="G625" i="3"/>
  <c r="H625" i="3"/>
  <c r="I625" i="3"/>
  <c r="J625" i="3"/>
  <c r="K625" i="3"/>
  <c r="M625" i="3"/>
  <c r="N625" i="3"/>
  <c r="L625" i="3" s="1"/>
  <c r="Q625" i="3"/>
  <c r="R625" i="3"/>
  <c r="S625" i="3"/>
  <c r="T625" i="3"/>
  <c r="U625" i="3"/>
  <c r="V625" i="3"/>
  <c r="W625" i="3"/>
  <c r="X625" i="3"/>
  <c r="Y625" i="3"/>
  <c r="Z625" i="3"/>
  <c r="AA625" i="3"/>
  <c r="AB625" i="3"/>
  <c r="AE625" i="3"/>
  <c r="AF625" i="3"/>
  <c r="AG625" i="3"/>
  <c r="A626" i="3"/>
  <c r="B626" i="3"/>
  <c r="D626" i="3" s="1"/>
  <c r="C626" i="3"/>
  <c r="E626" i="3"/>
  <c r="F626" i="3"/>
  <c r="AC626" i="3" s="1"/>
  <c r="G626" i="3"/>
  <c r="H626" i="3"/>
  <c r="I626" i="3"/>
  <c r="J626" i="3"/>
  <c r="K626" i="3"/>
  <c r="M626" i="3"/>
  <c r="N626" i="3"/>
  <c r="L626" i="3" s="1"/>
  <c r="Q626" i="3"/>
  <c r="R626" i="3"/>
  <c r="S626" i="3"/>
  <c r="T626" i="3"/>
  <c r="U626" i="3"/>
  <c r="V626" i="3"/>
  <c r="W626" i="3"/>
  <c r="X626" i="3"/>
  <c r="Y626" i="3"/>
  <c r="Z626" i="3"/>
  <c r="AA626" i="3"/>
  <c r="AB626" i="3"/>
  <c r="AE626" i="3"/>
  <c r="AF626" i="3"/>
  <c r="AG626" i="3"/>
  <c r="A627" i="3"/>
  <c r="B627" i="3"/>
  <c r="D627" i="3" s="1"/>
  <c r="C627" i="3"/>
  <c r="E627" i="3"/>
  <c r="F627" i="3"/>
  <c r="AC627" i="3" s="1"/>
  <c r="G627" i="3"/>
  <c r="H627" i="3"/>
  <c r="I627" i="3"/>
  <c r="J627" i="3"/>
  <c r="K627" i="3"/>
  <c r="M627" i="3"/>
  <c r="N627" i="3"/>
  <c r="L627" i="3" s="1"/>
  <c r="Q627" i="3"/>
  <c r="R627" i="3"/>
  <c r="S627" i="3"/>
  <c r="T627" i="3"/>
  <c r="U627" i="3"/>
  <c r="V627" i="3"/>
  <c r="W627" i="3"/>
  <c r="X627" i="3"/>
  <c r="Y627" i="3"/>
  <c r="Z627" i="3"/>
  <c r="AA627" i="3"/>
  <c r="AB627" i="3"/>
  <c r="AE627" i="3"/>
  <c r="AF627" i="3"/>
  <c r="AG627" i="3"/>
  <c r="A628" i="3"/>
  <c r="B628" i="3"/>
  <c r="D628" i="3" s="1"/>
  <c r="C628" i="3"/>
  <c r="E628" i="3"/>
  <c r="F628" i="3"/>
  <c r="AC628" i="3" s="1"/>
  <c r="G628" i="3"/>
  <c r="H628" i="3"/>
  <c r="I628" i="3"/>
  <c r="J628" i="3"/>
  <c r="K628" i="3"/>
  <c r="M628" i="3"/>
  <c r="N628" i="3"/>
  <c r="L628" i="3" s="1"/>
  <c r="Q628" i="3"/>
  <c r="R628" i="3"/>
  <c r="S628" i="3"/>
  <c r="T628" i="3"/>
  <c r="U628" i="3"/>
  <c r="V628" i="3"/>
  <c r="W628" i="3"/>
  <c r="X628" i="3"/>
  <c r="Y628" i="3"/>
  <c r="Z628" i="3"/>
  <c r="AA628" i="3"/>
  <c r="AB628" i="3"/>
  <c r="AE628" i="3"/>
  <c r="AF628" i="3"/>
  <c r="AG628" i="3"/>
  <c r="A629" i="3"/>
  <c r="B629" i="3"/>
  <c r="D629" i="3" s="1"/>
  <c r="C629" i="3"/>
  <c r="E629" i="3"/>
  <c r="F629" i="3"/>
  <c r="AC629" i="3" s="1"/>
  <c r="G629" i="3"/>
  <c r="H629" i="3"/>
  <c r="I629" i="3"/>
  <c r="J629" i="3"/>
  <c r="K629" i="3"/>
  <c r="M629" i="3"/>
  <c r="N629" i="3"/>
  <c r="L629" i="3" s="1"/>
  <c r="Q629" i="3"/>
  <c r="R629" i="3"/>
  <c r="S629" i="3"/>
  <c r="T629" i="3"/>
  <c r="U629" i="3"/>
  <c r="V629" i="3"/>
  <c r="W629" i="3"/>
  <c r="X629" i="3"/>
  <c r="Y629" i="3"/>
  <c r="Z629" i="3"/>
  <c r="AA629" i="3"/>
  <c r="AB629" i="3"/>
  <c r="AE629" i="3"/>
  <c r="AF629" i="3"/>
  <c r="AG629" i="3"/>
  <c r="A630" i="3"/>
  <c r="B630" i="3"/>
  <c r="D630" i="3" s="1"/>
  <c r="C630" i="3"/>
  <c r="E630" i="3"/>
  <c r="F630" i="3"/>
  <c r="AC630" i="3" s="1"/>
  <c r="G630" i="3"/>
  <c r="H630" i="3"/>
  <c r="I630" i="3"/>
  <c r="J630" i="3"/>
  <c r="K630" i="3"/>
  <c r="M630" i="3"/>
  <c r="N630" i="3"/>
  <c r="L630" i="3" s="1"/>
  <c r="Q630" i="3"/>
  <c r="R630" i="3"/>
  <c r="S630" i="3"/>
  <c r="T630" i="3"/>
  <c r="U630" i="3"/>
  <c r="V630" i="3"/>
  <c r="W630" i="3"/>
  <c r="X630" i="3"/>
  <c r="Y630" i="3"/>
  <c r="Z630" i="3"/>
  <c r="AA630" i="3"/>
  <c r="AB630" i="3"/>
  <c r="AE630" i="3"/>
  <c r="AF630" i="3"/>
  <c r="AG630" i="3"/>
  <c r="A631" i="3"/>
  <c r="B631" i="3"/>
  <c r="D631" i="3" s="1"/>
  <c r="C631" i="3"/>
  <c r="E631" i="3"/>
  <c r="F631" i="3"/>
  <c r="AC631" i="3" s="1"/>
  <c r="G631" i="3"/>
  <c r="H631" i="3"/>
  <c r="I631" i="3"/>
  <c r="J631" i="3"/>
  <c r="K631" i="3"/>
  <c r="M631" i="3"/>
  <c r="N631" i="3"/>
  <c r="L631" i="3" s="1"/>
  <c r="Q631" i="3"/>
  <c r="R631" i="3"/>
  <c r="S631" i="3"/>
  <c r="T631" i="3"/>
  <c r="U631" i="3"/>
  <c r="V631" i="3"/>
  <c r="W631" i="3"/>
  <c r="X631" i="3"/>
  <c r="Y631" i="3"/>
  <c r="Z631" i="3"/>
  <c r="AA631" i="3"/>
  <c r="AB631" i="3"/>
  <c r="AE631" i="3"/>
  <c r="AF631" i="3"/>
  <c r="AG631" i="3"/>
  <c r="A632" i="3"/>
  <c r="B632" i="3"/>
  <c r="D632" i="3" s="1"/>
  <c r="C632" i="3"/>
  <c r="E632" i="3"/>
  <c r="F632" i="3"/>
  <c r="AC632" i="3" s="1"/>
  <c r="G632" i="3"/>
  <c r="H632" i="3"/>
  <c r="I632" i="3"/>
  <c r="J632" i="3"/>
  <c r="K632" i="3"/>
  <c r="M632" i="3"/>
  <c r="N632" i="3"/>
  <c r="L632" i="3" s="1"/>
  <c r="Q632" i="3"/>
  <c r="R632" i="3"/>
  <c r="S632" i="3"/>
  <c r="T632" i="3"/>
  <c r="U632" i="3"/>
  <c r="V632" i="3"/>
  <c r="W632" i="3"/>
  <c r="X632" i="3"/>
  <c r="Y632" i="3"/>
  <c r="Z632" i="3"/>
  <c r="AA632" i="3"/>
  <c r="AB632" i="3"/>
  <c r="AE632" i="3"/>
  <c r="AF632" i="3"/>
  <c r="AG632" i="3"/>
  <c r="A633" i="3"/>
  <c r="B633" i="3"/>
  <c r="D633" i="3" s="1"/>
  <c r="C633" i="3"/>
  <c r="E633" i="3"/>
  <c r="F633" i="3"/>
  <c r="AC633" i="3" s="1"/>
  <c r="G633" i="3"/>
  <c r="H633" i="3"/>
  <c r="I633" i="3"/>
  <c r="J633" i="3"/>
  <c r="K633" i="3"/>
  <c r="M633" i="3"/>
  <c r="N633" i="3"/>
  <c r="L633" i="3" s="1"/>
  <c r="Q633" i="3"/>
  <c r="R633" i="3"/>
  <c r="S633" i="3"/>
  <c r="T633" i="3"/>
  <c r="U633" i="3"/>
  <c r="V633" i="3"/>
  <c r="W633" i="3"/>
  <c r="X633" i="3"/>
  <c r="Y633" i="3"/>
  <c r="Z633" i="3"/>
  <c r="AA633" i="3"/>
  <c r="AB633" i="3"/>
  <c r="AE633" i="3"/>
  <c r="AF633" i="3"/>
  <c r="AG633" i="3"/>
  <c r="A634" i="3"/>
  <c r="B634" i="3"/>
  <c r="D634" i="3" s="1"/>
  <c r="C634" i="3"/>
  <c r="E634" i="3"/>
  <c r="F634" i="3"/>
  <c r="AC634" i="3" s="1"/>
  <c r="G634" i="3"/>
  <c r="H634" i="3"/>
  <c r="I634" i="3"/>
  <c r="J634" i="3"/>
  <c r="K634" i="3"/>
  <c r="M634" i="3"/>
  <c r="N634" i="3"/>
  <c r="L634" i="3" s="1"/>
  <c r="Q634" i="3"/>
  <c r="R634" i="3"/>
  <c r="S634" i="3"/>
  <c r="T634" i="3"/>
  <c r="U634" i="3"/>
  <c r="V634" i="3"/>
  <c r="W634" i="3"/>
  <c r="X634" i="3"/>
  <c r="Y634" i="3"/>
  <c r="Z634" i="3"/>
  <c r="AA634" i="3"/>
  <c r="AB634" i="3"/>
  <c r="AE634" i="3"/>
  <c r="AF634" i="3"/>
  <c r="AG634" i="3"/>
  <c r="A635" i="3"/>
  <c r="B635" i="3"/>
  <c r="D635" i="3" s="1"/>
  <c r="C635" i="3"/>
  <c r="E635" i="3"/>
  <c r="F635" i="3"/>
  <c r="AC635" i="3" s="1"/>
  <c r="G635" i="3"/>
  <c r="H635" i="3"/>
  <c r="I635" i="3"/>
  <c r="J635" i="3"/>
  <c r="K635" i="3"/>
  <c r="M635" i="3"/>
  <c r="N635" i="3"/>
  <c r="L635" i="3" s="1"/>
  <c r="Q635" i="3"/>
  <c r="R635" i="3"/>
  <c r="S635" i="3"/>
  <c r="T635" i="3"/>
  <c r="U635" i="3"/>
  <c r="V635" i="3"/>
  <c r="W635" i="3"/>
  <c r="X635" i="3"/>
  <c r="Y635" i="3"/>
  <c r="Z635" i="3"/>
  <c r="AA635" i="3"/>
  <c r="AB635" i="3"/>
  <c r="AE635" i="3"/>
  <c r="AF635" i="3"/>
  <c r="AG635" i="3"/>
  <c r="A636" i="3"/>
  <c r="B636" i="3"/>
  <c r="D636" i="3" s="1"/>
  <c r="C636" i="3"/>
  <c r="E636" i="3"/>
  <c r="F636" i="3"/>
  <c r="AC636" i="3" s="1"/>
  <c r="G636" i="3"/>
  <c r="H636" i="3"/>
  <c r="I636" i="3"/>
  <c r="J636" i="3"/>
  <c r="K636" i="3"/>
  <c r="M636" i="3"/>
  <c r="N636" i="3"/>
  <c r="L636" i="3" s="1"/>
  <c r="Q636" i="3"/>
  <c r="R636" i="3"/>
  <c r="S636" i="3"/>
  <c r="T636" i="3"/>
  <c r="U636" i="3"/>
  <c r="V636" i="3"/>
  <c r="W636" i="3"/>
  <c r="X636" i="3"/>
  <c r="Y636" i="3"/>
  <c r="Z636" i="3"/>
  <c r="AA636" i="3"/>
  <c r="AB636" i="3"/>
  <c r="AE636" i="3"/>
  <c r="AF636" i="3"/>
  <c r="AG636" i="3"/>
  <c r="A637" i="3"/>
  <c r="B637" i="3"/>
  <c r="D637" i="3" s="1"/>
  <c r="C637" i="3"/>
  <c r="E637" i="3"/>
  <c r="F637" i="3"/>
  <c r="AC637" i="3" s="1"/>
  <c r="G637" i="3"/>
  <c r="H637" i="3"/>
  <c r="I637" i="3"/>
  <c r="J637" i="3"/>
  <c r="K637" i="3"/>
  <c r="M637" i="3"/>
  <c r="N637" i="3"/>
  <c r="L637" i="3" s="1"/>
  <c r="Q637" i="3"/>
  <c r="R637" i="3"/>
  <c r="S637" i="3"/>
  <c r="T637" i="3"/>
  <c r="U637" i="3"/>
  <c r="V637" i="3"/>
  <c r="W637" i="3"/>
  <c r="X637" i="3"/>
  <c r="Y637" i="3"/>
  <c r="Z637" i="3"/>
  <c r="AA637" i="3"/>
  <c r="AB637" i="3"/>
  <c r="AE637" i="3"/>
  <c r="AF637" i="3"/>
  <c r="AG637" i="3"/>
  <c r="A638" i="3"/>
  <c r="B638" i="3"/>
  <c r="D638" i="3" s="1"/>
  <c r="C638" i="3"/>
  <c r="E638" i="3"/>
  <c r="F638" i="3"/>
  <c r="AC638" i="3" s="1"/>
  <c r="G638" i="3"/>
  <c r="H638" i="3"/>
  <c r="I638" i="3"/>
  <c r="J638" i="3"/>
  <c r="K638" i="3"/>
  <c r="M638" i="3"/>
  <c r="N638" i="3"/>
  <c r="L638" i="3" s="1"/>
  <c r="Q638" i="3"/>
  <c r="R638" i="3"/>
  <c r="S638" i="3"/>
  <c r="T638" i="3"/>
  <c r="U638" i="3"/>
  <c r="V638" i="3"/>
  <c r="W638" i="3"/>
  <c r="X638" i="3"/>
  <c r="Y638" i="3"/>
  <c r="Z638" i="3"/>
  <c r="AA638" i="3"/>
  <c r="AB638" i="3"/>
  <c r="AE638" i="3"/>
  <c r="AF638" i="3"/>
  <c r="AG638" i="3"/>
  <c r="A639" i="3"/>
  <c r="B639" i="3"/>
  <c r="D639" i="3" s="1"/>
  <c r="C639" i="3"/>
  <c r="E639" i="3"/>
  <c r="F639" i="3"/>
  <c r="AC639" i="3" s="1"/>
  <c r="G639" i="3"/>
  <c r="H639" i="3"/>
  <c r="I639" i="3"/>
  <c r="J639" i="3"/>
  <c r="K639" i="3"/>
  <c r="M639" i="3"/>
  <c r="N639" i="3"/>
  <c r="L639" i="3" s="1"/>
  <c r="Q639" i="3"/>
  <c r="R639" i="3"/>
  <c r="S639" i="3"/>
  <c r="T639" i="3"/>
  <c r="U639" i="3"/>
  <c r="V639" i="3"/>
  <c r="W639" i="3"/>
  <c r="X639" i="3"/>
  <c r="Y639" i="3"/>
  <c r="Z639" i="3"/>
  <c r="AA639" i="3"/>
  <c r="AB639" i="3"/>
  <c r="AE639" i="3"/>
  <c r="AF639" i="3"/>
  <c r="AG639" i="3"/>
  <c r="A640" i="3"/>
  <c r="B640" i="3"/>
  <c r="D640" i="3" s="1"/>
  <c r="C640" i="3"/>
  <c r="E640" i="3"/>
  <c r="F640" i="3"/>
  <c r="AC640" i="3" s="1"/>
  <c r="G640" i="3"/>
  <c r="H640" i="3"/>
  <c r="I640" i="3"/>
  <c r="J640" i="3"/>
  <c r="K640" i="3"/>
  <c r="M640" i="3"/>
  <c r="N640" i="3"/>
  <c r="L640" i="3" s="1"/>
  <c r="Q640" i="3"/>
  <c r="R640" i="3"/>
  <c r="S640" i="3"/>
  <c r="T640" i="3"/>
  <c r="U640" i="3"/>
  <c r="V640" i="3"/>
  <c r="W640" i="3"/>
  <c r="X640" i="3"/>
  <c r="Y640" i="3"/>
  <c r="Z640" i="3"/>
  <c r="AA640" i="3"/>
  <c r="AB640" i="3"/>
  <c r="AE640" i="3"/>
  <c r="AF640" i="3"/>
  <c r="AG640" i="3"/>
  <c r="A641" i="3"/>
  <c r="B641" i="3"/>
  <c r="D641" i="3" s="1"/>
  <c r="C641" i="3"/>
  <c r="E641" i="3"/>
  <c r="F641" i="3"/>
  <c r="AC641" i="3" s="1"/>
  <c r="G641" i="3"/>
  <c r="H641" i="3"/>
  <c r="I641" i="3"/>
  <c r="J641" i="3"/>
  <c r="K641" i="3"/>
  <c r="M641" i="3"/>
  <c r="N641" i="3"/>
  <c r="L641" i="3" s="1"/>
  <c r="Q641" i="3"/>
  <c r="R641" i="3"/>
  <c r="S641" i="3"/>
  <c r="T641" i="3"/>
  <c r="U641" i="3"/>
  <c r="V641" i="3"/>
  <c r="W641" i="3"/>
  <c r="X641" i="3"/>
  <c r="Y641" i="3"/>
  <c r="Z641" i="3"/>
  <c r="AA641" i="3"/>
  <c r="AB641" i="3"/>
  <c r="AE641" i="3"/>
  <c r="AF641" i="3"/>
  <c r="AG641" i="3"/>
  <c r="A642" i="3"/>
  <c r="B642" i="3"/>
  <c r="D642" i="3" s="1"/>
  <c r="C642" i="3"/>
  <c r="E642" i="3"/>
  <c r="F642" i="3"/>
  <c r="AC642" i="3" s="1"/>
  <c r="G642" i="3"/>
  <c r="H642" i="3"/>
  <c r="I642" i="3"/>
  <c r="J642" i="3"/>
  <c r="K642" i="3"/>
  <c r="M642" i="3"/>
  <c r="N642" i="3"/>
  <c r="L642" i="3" s="1"/>
  <c r="Q642" i="3"/>
  <c r="R642" i="3"/>
  <c r="S642" i="3"/>
  <c r="T642" i="3"/>
  <c r="U642" i="3"/>
  <c r="V642" i="3"/>
  <c r="W642" i="3"/>
  <c r="X642" i="3"/>
  <c r="Y642" i="3"/>
  <c r="Z642" i="3"/>
  <c r="AA642" i="3"/>
  <c r="AB642" i="3"/>
  <c r="AE642" i="3"/>
  <c r="AF642" i="3"/>
  <c r="AG642" i="3"/>
  <c r="A643" i="3"/>
  <c r="B643" i="3"/>
  <c r="D643" i="3" s="1"/>
  <c r="C643" i="3"/>
  <c r="E643" i="3"/>
  <c r="F643" i="3"/>
  <c r="AC643" i="3" s="1"/>
  <c r="G643" i="3"/>
  <c r="H643" i="3"/>
  <c r="I643" i="3"/>
  <c r="J643" i="3"/>
  <c r="K643" i="3"/>
  <c r="M643" i="3"/>
  <c r="N643" i="3"/>
  <c r="L643" i="3" s="1"/>
  <c r="Q643" i="3"/>
  <c r="R643" i="3"/>
  <c r="S643" i="3"/>
  <c r="T643" i="3"/>
  <c r="U643" i="3"/>
  <c r="V643" i="3"/>
  <c r="W643" i="3"/>
  <c r="X643" i="3"/>
  <c r="Y643" i="3"/>
  <c r="Z643" i="3"/>
  <c r="AA643" i="3"/>
  <c r="AB643" i="3"/>
  <c r="AE643" i="3"/>
  <c r="AF643" i="3"/>
  <c r="AG643" i="3"/>
  <c r="A644" i="3"/>
  <c r="B644" i="3"/>
  <c r="D644" i="3" s="1"/>
  <c r="C644" i="3"/>
  <c r="E644" i="3"/>
  <c r="F644" i="3"/>
  <c r="AC644" i="3" s="1"/>
  <c r="G644" i="3"/>
  <c r="H644" i="3"/>
  <c r="I644" i="3"/>
  <c r="J644" i="3"/>
  <c r="K644" i="3"/>
  <c r="M644" i="3"/>
  <c r="N644" i="3"/>
  <c r="L644" i="3" s="1"/>
  <c r="Q644" i="3"/>
  <c r="R644" i="3"/>
  <c r="S644" i="3"/>
  <c r="T644" i="3"/>
  <c r="U644" i="3"/>
  <c r="V644" i="3"/>
  <c r="W644" i="3"/>
  <c r="X644" i="3"/>
  <c r="Y644" i="3"/>
  <c r="Z644" i="3"/>
  <c r="AA644" i="3"/>
  <c r="AB644" i="3"/>
  <c r="AE644" i="3"/>
  <c r="AF644" i="3"/>
  <c r="AG644" i="3"/>
  <c r="A645" i="3"/>
  <c r="B645" i="3"/>
  <c r="D645" i="3" s="1"/>
  <c r="C645" i="3"/>
  <c r="E645" i="3"/>
  <c r="F645" i="3"/>
  <c r="AC645" i="3" s="1"/>
  <c r="G645" i="3"/>
  <c r="H645" i="3"/>
  <c r="I645" i="3"/>
  <c r="J645" i="3"/>
  <c r="K645" i="3"/>
  <c r="M645" i="3"/>
  <c r="N645" i="3"/>
  <c r="L645" i="3" s="1"/>
  <c r="Q645" i="3"/>
  <c r="R645" i="3"/>
  <c r="S645" i="3"/>
  <c r="T645" i="3"/>
  <c r="U645" i="3"/>
  <c r="V645" i="3"/>
  <c r="W645" i="3"/>
  <c r="X645" i="3"/>
  <c r="Y645" i="3"/>
  <c r="Z645" i="3"/>
  <c r="AA645" i="3"/>
  <c r="AB645" i="3"/>
  <c r="AE645" i="3"/>
  <c r="AF645" i="3"/>
  <c r="AG645" i="3"/>
  <c r="A646" i="3"/>
  <c r="B646" i="3"/>
  <c r="D646" i="3" s="1"/>
  <c r="C646" i="3"/>
  <c r="E646" i="3"/>
  <c r="F646" i="3"/>
  <c r="AC646" i="3" s="1"/>
  <c r="G646" i="3"/>
  <c r="H646" i="3"/>
  <c r="I646" i="3"/>
  <c r="J646" i="3"/>
  <c r="K646" i="3"/>
  <c r="M646" i="3"/>
  <c r="N646" i="3"/>
  <c r="L646" i="3" s="1"/>
  <c r="Q646" i="3"/>
  <c r="R646" i="3"/>
  <c r="S646" i="3"/>
  <c r="T646" i="3"/>
  <c r="U646" i="3"/>
  <c r="V646" i="3"/>
  <c r="W646" i="3"/>
  <c r="X646" i="3"/>
  <c r="Y646" i="3"/>
  <c r="Z646" i="3"/>
  <c r="AA646" i="3"/>
  <c r="AB646" i="3"/>
  <c r="AE646" i="3"/>
  <c r="AF646" i="3"/>
  <c r="AG646" i="3"/>
  <c r="A647" i="3"/>
  <c r="B647" i="3"/>
  <c r="D647" i="3" s="1"/>
  <c r="C647" i="3"/>
  <c r="E647" i="3"/>
  <c r="F647" i="3"/>
  <c r="AC647" i="3" s="1"/>
  <c r="G647" i="3"/>
  <c r="H647" i="3"/>
  <c r="I647" i="3"/>
  <c r="J647" i="3"/>
  <c r="K647" i="3"/>
  <c r="M647" i="3"/>
  <c r="N647" i="3"/>
  <c r="L647" i="3" s="1"/>
  <c r="Q647" i="3"/>
  <c r="R647" i="3"/>
  <c r="S647" i="3"/>
  <c r="T647" i="3"/>
  <c r="U647" i="3"/>
  <c r="V647" i="3"/>
  <c r="W647" i="3"/>
  <c r="X647" i="3"/>
  <c r="Y647" i="3"/>
  <c r="Z647" i="3"/>
  <c r="AA647" i="3"/>
  <c r="AB647" i="3"/>
  <c r="AE647" i="3"/>
  <c r="AF647" i="3"/>
  <c r="AG647" i="3"/>
  <c r="A648" i="3"/>
  <c r="B648" i="3"/>
  <c r="D648" i="3" s="1"/>
  <c r="C648" i="3"/>
  <c r="E648" i="3"/>
  <c r="F648" i="3"/>
  <c r="AC648" i="3" s="1"/>
  <c r="G648" i="3"/>
  <c r="H648" i="3"/>
  <c r="I648" i="3"/>
  <c r="J648" i="3"/>
  <c r="K648" i="3"/>
  <c r="M648" i="3"/>
  <c r="N648" i="3"/>
  <c r="L648" i="3" s="1"/>
  <c r="Q648" i="3"/>
  <c r="R648" i="3"/>
  <c r="S648" i="3"/>
  <c r="T648" i="3"/>
  <c r="U648" i="3"/>
  <c r="V648" i="3"/>
  <c r="W648" i="3"/>
  <c r="X648" i="3"/>
  <c r="Y648" i="3"/>
  <c r="Z648" i="3"/>
  <c r="AA648" i="3"/>
  <c r="AB648" i="3"/>
  <c r="AE648" i="3"/>
  <c r="AF648" i="3"/>
  <c r="AG648" i="3"/>
  <c r="A649" i="3"/>
  <c r="B649" i="3"/>
  <c r="D649" i="3" s="1"/>
  <c r="C649" i="3"/>
  <c r="E649" i="3"/>
  <c r="F649" i="3"/>
  <c r="AC649" i="3" s="1"/>
  <c r="G649" i="3"/>
  <c r="H649" i="3"/>
  <c r="I649" i="3"/>
  <c r="J649" i="3"/>
  <c r="K649" i="3"/>
  <c r="M649" i="3"/>
  <c r="N649" i="3"/>
  <c r="L649" i="3" s="1"/>
  <c r="Q649" i="3"/>
  <c r="R649" i="3"/>
  <c r="S649" i="3"/>
  <c r="T649" i="3"/>
  <c r="U649" i="3"/>
  <c r="V649" i="3"/>
  <c r="W649" i="3"/>
  <c r="X649" i="3"/>
  <c r="Y649" i="3"/>
  <c r="Z649" i="3"/>
  <c r="AA649" i="3"/>
  <c r="AB649" i="3"/>
  <c r="AE649" i="3"/>
  <c r="AF649" i="3"/>
  <c r="AG649" i="3"/>
  <c r="A650" i="3"/>
  <c r="B650" i="3"/>
  <c r="D650" i="3" s="1"/>
  <c r="C650" i="3"/>
  <c r="E650" i="3"/>
  <c r="F650" i="3"/>
  <c r="AC650" i="3" s="1"/>
  <c r="G650" i="3"/>
  <c r="H650" i="3"/>
  <c r="I650" i="3"/>
  <c r="J650" i="3"/>
  <c r="K650" i="3"/>
  <c r="M650" i="3"/>
  <c r="N650" i="3"/>
  <c r="L650" i="3" s="1"/>
  <c r="Q650" i="3"/>
  <c r="R650" i="3"/>
  <c r="S650" i="3"/>
  <c r="T650" i="3"/>
  <c r="U650" i="3"/>
  <c r="V650" i="3"/>
  <c r="W650" i="3"/>
  <c r="X650" i="3"/>
  <c r="Y650" i="3"/>
  <c r="Z650" i="3"/>
  <c r="AA650" i="3"/>
  <c r="AB650" i="3"/>
  <c r="AE650" i="3"/>
  <c r="AF650" i="3"/>
  <c r="AG650" i="3"/>
  <c r="A651" i="3"/>
  <c r="B651" i="3"/>
  <c r="D651" i="3" s="1"/>
  <c r="C651" i="3"/>
  <c r="E651" i="3"/>
  <c r="F651" i="3"/>
  <c r="AC651" i="3" s="1"/>
  <c r="G651" i="3"/>
  <c r="H651" i="3"/>
  <c r="I651" i="3"/>
  <c r="J651" i="3"/>
  <c r="K651" i="3"/>
  <c r="M651" i="3"/>
  <c r="N651" i="3"/>
  <c r="L651" i="3" s="1"/>
  <c r="Q651" i="3"/>
  <c r="R651" i="3"/>
  <c r="S651" i="3"/>
  <c r="T651" i="3"/>
  <c r="U651" i="3"/>
  <c r="V651" i="3"/>
  <c r="W651" i="3"/>
  <c r="X651" i="3"/>
  <c r="Y651" i="3"/>
  <c r="Z651" i="3"/>
  <c r="AA651" i="3"/>
  <c r="AB651" i="3"/>
  <c r="AE651" i="3"/>
  <c r="AF651" i="3"/>
  <c r="AG651" i="3"/>
  <c r="A652" i="3"/>
  <c r="B652" i="3"/>
  <c r="D652" i="3" s="1"/>
  <c r="C652" i="3"/>
  <c r="E652" i="3"/>
  <c r="F652" i="3"/>
  <c r="AC652" i="3" s="1"/>
  <c r="G652" i="3"/>
  <c r="H652" i="3"/>
  <c r="I652" i="3"/>
  <c r="J652" i="3"/>
  <c r="K652" i="3"/>
  <c r="M652" i="3"/>
  <c r="N652" i="3"/>
  <c r="L652" i="3" s="1"/>
  <c r="Q652" i="3"/>
  <c r="R652" i="3"/>
  <c r="S652" i="3"/>
  <c r="T652" i="3"/>
  <c r="U652" i="3"/>
  <c r="V652" i="3"/>
  <c r="W652" i="3"/>
  <c r="X652" i="3"/>
  <c r="Y652" i="3"/>
  <c r="Z652" i="3"/>
  <c r="AA652" i="3"/>
  <c r="AB652" i="3"/>
  <c r="AE652" i="3"/>
  <c r="AF652" i="3"/>
  <c r="AG652" i="3"/>
  <c r="A653" i="3"/>
  <c r="B653" i="3"/>
  <c r="D653" i="3" s="1"/>
  <c r="C653" i="3"/>
  <c r="E653" i="3"/>
  <c r="F653" i="3"/>
  <c r="AC653" i="3" s="1"/>
  <c r="G653" i="3"/>
  <c r="H653" i="3"/>
  <c r="I653" i="3"/>
  <c r="J653" i="3"/>
  <c r="K653" i="3"/>
  <c r="M653" i="3"/>
  <c r="N653" i="3"/>
  <c r="L653" i="3" s="1"/>
  <c r="Q653" i="3"/>
  <c r="R653" i="3"/>
  <c r="S653" i="3"/>
  <c r="T653" i="3"/>
  <c r="U653" i="3"/>
  <c r="V653" i="3"/>
  <c r="W653" i="3"/>
  <c r="X653" i="3"/>
  <c r="Y653" i="3"/>
  <c r="Z653" i="3"/>
  <c r="AA653" i="3"/>
  <c r="AB653" i="3"/>
  <c r="AE653" i="3"/>
  <c r="AF653" i="3"/>
  <c r="AG653" i="3"/>
  <c r="A654" i="3"/>
  <c r="B654" i="3"/>
  <c r="D654" i="3" s="1"/>
  <c r="C654" i="3"/>
  <c r="E654" i="3"/>
  <c r="F654" i="3"/>
  <c r="AC654" i="3" s="1"/>
  <c r="G654" i="3"/>
  <c r="H654" i="3"/>
  <c r="I654" i="3"/>
  <c r="J654" i="3"/>
  <c r="K654" i="3"/>
  <c r="M654" i="3"/>
  <c r="N654" i="3"/>
  <c r="L654" i="3" s="1"/>
  <c r="Q654" i="3"/>
  <c r="R654" i="3"/>
  <c r="S654" i="3"/>
  <c r="T654" i="3"/>
  <c r="U654" i="3"/>
  <c r="V654" i="3"/>
  <c r="W654" i="3"/>
  <c r="X654" i="3"/>
  <c r="Y654" i="3"/>
  <c r="Z654" i="3"/>
  <c r="AA654" i="3"/>
  <c r="AB654" i="3"/>
  <c r="AE654" i="3"/>
  <c r="AF654" i="3"/>
  <c r="AG654" i="3"/>
  <c r="A655" i="3"/>
  <c r="B655" i="3"/>
  <c r="D655" i="3" s="1"/>
  <c r="C655" i="3"/>
  <c r="E655" i="3"/>
  <c r="F655" i="3"/>
  <c r="AC655" i="3" s="1"/>
  <c r="G655" i="3"/>
  <c r="H655" i="3"/>
  <c r="I655" i="3"/>
  <c r="J655" i="3"/>
  <c r="K655" i="3"/>
  <c r="M655" i="3"/>
  <c r="N655" i="3"/>
  <c r="L655" i="3" s="1"/>
  <c r="Q655" i="3"/>
  <c r="R655" i="3"/>
  <c r="S655" i="3"/>
  <c r="T655" i="3"/>
  <c r="U655" i="3"/>
  <c r="V655" i="3"/>
  <c r="W655" i="3"/>
  <c r="X655" i="3"/>
  <c r="Y655" i="3"/>
  <c r="Z655" i="3"/>
  <c r="AA655" i="3"/>
  <c r="AB655" i="3"/>
  <c r="AE655" i="3"/>
  <c r="AF655" i="3"/>
  <c r="AG655" i="3"/>
  <c r="A656" i="3"/>
  <c r="B656" i="3"/>
  <c r="D656" i="3" s="1"/>
  <c r="C656" i="3"/>
  <c r="E656" i="3"/>
  <c r="F656" i="3"/>
  <c r="AC656" i="3" s="1"/>
  <c r="G656" i="3"/>
  <c r="H656" i="3"/>
  <c r="I656" i="3"/>
  <c r="J656" i="3"/>
  <c r="K656" i="3"/>
  <c r="M656" i="3"/>
  <c r="N656" i="3"/>
  <c r="L656" i="3" s="1"/>
  <c r="Q656" i="3"/>
  <c r="R656" i="3"/>
  <c r="S656" i="3"/>
  <c r="T656" i="3"/>
  <c r="U656" i="3"/>
  <c r="V656" i="3"/>
  <c r="W656" i="3"/>
  <c r="X656" i="3"/>
  <c r="Y656" i="3"/>
  <c r="Z656" i="3"/>
  <c r="AA656" i="3"/>
  <c r="AB656" i="3"/>
  <c r="AE656" i="3"/>
  <c r="AF656" i="3"/>
  <c r="AG656" i="3"/>
  <c r="A657" i="3"/>
  <c r="B657" i="3"/>
  <c r="D657" i="3" s="1"/>
  <c r="C657" i="3"/>
  <c r="E657" i="3"/>
  <c r="F657" i="3"/>
  <c r="AC657" i="3" s="1"/>
  <c r="G657" i="3"/>
  <c r="H657" i="3"/>
  <c r="I657" i="3"/>
  <c r="J657" i="3"/>
  <c r="K657" i="3"/>
  <c r="M657" i="3"/>
  <c r="N657" i="3"/>
  <c r="L657" i="3" s="1"/>
  <c r="Q657" i="3"/>
  <c r="R657" i="3"/>
  <c r="S657" i="3"/>
  <c r="T657" i="3"/>
  <c r="U657" i="3"/>
  <c r="V657" i="3"/>
  <c r="W657" i="3"/>
  <c r="X657" i="3"/>
  <c r="Y657" i="3"/>
  <c r="Z657" i="3"/>
  <c r="AA657" i="3"/>
  <c r="AB657" i="3"/>
  <c r="AE657" i="3"/>
  <c r="AF657" i="3"/>
  <c r="AG657" i="3"/>
  <c r="A658" i="3"/>
  <c r="B658" i="3"/>
  <c r="D658" i="3" s="1"/>
  <c r="C658" i="3"/>
  <c r="E658" i="3"/>
  <c r="F658" i="3"/>
  <c r="AC658" i="3" s="1"/>
  <c r="G658" i="3"/>
  <c r="H658" i="3"/>
  <c r="I658" i="3"/>
  <c r="J658" i="3"/>
  <c r="K658" i="3"/>
  <c r="M658" i="3"/>
  <c r="N658" i="3"/>
  <c r="L658" i="3" s="1"/>
  <c r="Q658" i="3"/>
  <c r="R658" i="3"/>
  <c r="S658" i="3"/>
  <c r="T658" i="3"/>
  <c r="U658" i="3"/>
  <c r="V658" i="3"/>
  <c r="W658" i="3"/>
  <c r="X658" i="3"/>
  <c r="Y658" i="3"/>
  <c r="Z658" i="3"/>
  <c r="AA658" i="3"/>
  <c r="AB658" i="3"/>
  <c r="AE658" i="3"/>
  <c r="AF658" i="3"/>
  <c r="AG658" i="3"/>
  <c r="A659" i="3"/>
  <c r="B659" i="3"/>
  <c r="D659" i="3" s="1"/>
  <c r="C659" i="3"/>
  <c r="E659" i="3"/>
  <c r="F659" i="3"/>
  <c r="AC659" i="3" s="1"/>
  <c r="G659" i="3"/>
  <c r="H659" i="3"/>
  <c r="I659" i="3"/>
  <c r="J659" i="3"/>
  <c r="K659" i="3"/>
  <c r="M659" i="3"/>
  <c r="N659" i="3"/>
  <c r="L659" i="3" s="1"/>
  <c r="Q659" i="3"/>
  <c r="R659" i="3"/>
  <c r="S659" i="3"/>
  <c r="T659" i="3"/>
  <c r="U659" i="3"/>
  <c r="V659" i="3"/>
  <c r="W659" i="3"/>
  <c r="X659" i="3"/>
  <c r="Y659" i="3"/>
  <c r="Z659" i="3"/>
  <c r="AA659" i="3"/>
  <c r="AB659" i="3"/>
  <c r="AE659" i="3"/>
  <c r="AF659" i="3"/>
  <c r="AG659" i="3"/>
  <c r="A660" i="3"/>
  <c r="B660" i="3"/>
  <c r="D660" i="3" s="1"/>
  <c r="C660" i="3"/>
  <c r="E660" i="3"/>
  <c r="F660" i="3"/>
  <c r="AC660" i="3" s="1"/>
  <c r="G660" i="3"/>
  <c r="H660" i="3"/>
  <c r="I660" i="3"/>
  <c r="J660" i="3"/>
  <c r="K660" i="3"/>
  <c r="M660" i="3"/>
  <c r="N660" i="3"/>
  <c r="L660" i="3" s="1"/>
  <c r="Q660" i="3"/>
  <c r="R660" i="3"/>
  <c r="S660" i="3"/>
  <c r="T660" i="3"/>
  <c r="U660" i="3"/>
  <c r="V660" i="3"/>
  <c r="W660" i="3"/>
  <c r="X660" i="3"/>
  <c r="Y660" i="3"/>
  <c r="Z660" i="3"/>
  <c r="AA660" i="3"/>
  <c r="AB660" i="3"/>
  <c r="AE660" i="3"/>
  <c r="AF660" i="3"/>
  <c r="AG660" i="3"/>
  <c r="A661" i="3"/>
  <c r="B661" i="3"/>
  <c r="D661" i="3" s="1"/>
  <c r="C661" i="3"/>
  <c r="E661" i="3"/>
  <c r="F661" i="3"/>
  <c r="AC661" i="3" s="1"/>
  <c r="G661" i="3"/>
  <c r="H661" i="3"/>
  <c r="I661" i="3"/>
  <c r="J661" i="3"/>
  <c r="K661" i="3"/>
  <c r="M661" i="3"/>
  <c r="N661" i="3"/>
  <c r="L661" i="3" s="1"/>
  <c r="Q661" i="3"/>
  <c r="R661" i="3"/>
  <c r="S661" i="3"/>
  <c r="T661" i="3"/>
  <c r="U661" i="3"/>
  <c r="V661" i="3"/>
  <c r="W661" i="3"/>
  <c r="X661" i="3"/>
  <c r="Y661" i="3"/>
  <c r="Z661" i="3"/>
  <c r="AA661" i="3"/>
  <c r="AB661" i="3"/>
  <c r="AE661" i="3"/>
  <c r="AF661" i="3"/>
  <c r="AG661" i="3"/>
  <c r="A662" i="3"/>
  <c r="B662" i="3"/>
  <c r="D662" i="3" s="1"/>
  <c r="C662" i="3"/>
  <c r="E662" i="3"/>
  <c r="F662" i="3"/>
  <c r="AC662" i="3" s="1"/>
  <c r="G662" i="3"/>
  <c r="H662" i="3"/>
  <c r="I662" i="3"/>
  <c r="J662" i="3"/>
  <c r="K662" i="3"/>
  <c r="M662" i="3"/>
  <c r="N662" i="3"/>
  <c r="L662" i="3" s="1"/>
  <c r="Q662" i="3"/>
  <c r="R662" i="3"/>
  <c r="S662" i="3"/>
  <c r="T662" i="3"/>
  <c r="U662" i="3"/>
  <c r="V662" i="3"/>
  <c r="W662" i="3"/>
  <c r="X662" i="3"/>
  <c r="Y662" i="3"/>
  <c r="Z662" i="3"/>
  <c r="AA662" i="3"/>
  <c r="AB662" i="3"/>
  <c r="AE662" i="3"/>
  <c r="AF662" i="3"/>
  <c r="AG662" i="3"/>
  <c r="A663" i="3"/>
  <c r="B663" i="3"/>
  <c r="D663" i="3" s="1"/>
  <c r="C663" i="3"/>
  <c r="E663" i="3"/>
  <c r="F663" i="3"/>
  <c r="AC663" i="3" s="1"/>
  <c r="G663" i="3"/>
  <c r="H663" i="3"/>
  <c r="I663" i="3"/>
  <c r="J663" i="3"/>
  <c r="K663" i="3"/>
  <c r="M663" i="3"/>
  <c r="N663" i="3"/>
  <c r="L663" i="3" s="1"/>
  <c r="Q663" i="3"/>
  <c r="R663" i="3"/>
  <c r="S663" i="3"/>
  <c r="T663" i="3"/>
  <c r="U663" i="3"/>
  <c r="V663" i="3"/>
  <c r="W663" i="3"/>
  <c r="X663" i="3"/>
  <c r="Y663" i="3"/>
  <c r="Z663" i="3"/>
  <c r="AA663" i="3"/>
  <c r="AB663" i="3"/>
  <c r="AE663" i="3"/>
  <c r="AF663" i="3"/>
  <c r="AG663" i="3"/>
  <c r="A664" i="3"/>
  <c r="B664" i="3"/>
  <c r="D664" i="3" s="1"/>
  <c r="C664" i="3"/>
  <c r="E664" i="3"/>
  <c r="F664" i="3"/>
  <c r="AC664" i="3" s="1"/>
  <c r="G664" i="3"/>
  <c r="H664" i="3"/>
  <c r="I664" i="3"/>
  <c r="J664" i="3"/>
  <c r="K664" i="3"/>
  <c r="M664" i="3"/>
  <c r="N664" i="3"/>
  <c r="L664" i="3" s="1"/>
  <c r="Q664" i="3"/>
  <c r="R664" i="3"/>
  <c r="S664" i="3"/>
  <c r="T664" i="3"/>
  <c r="U664" i="3"/>
  <c r="V664" i="3"/>
  <c r="W664" i="3"/>
  <c r="X664" i="3"/>
  <c r="Y664" i="3"/>
  <c r="Z664" i="3"/>
  <c r="AA664" i="3"/>
  <c r="AB664" i="3"/>
  <c r="AE664" i="3"/>
  <c r="AF664" i="3"/>
  <c r="AG664" i="3"/>
  <c r="A665" i="3"/>
  <c r="B665" i="3"/>
  <c r="D665" i="3" s="1"/>
  <c r="C665" i="3"/>
  <c r="E665" i="3"/>
  <c r="F665" i="3"/>
  <c r="AC665" i="3" s="1"/>
  <c r="G665" i="3"/>
  <c r="H665" i="3"/>
  <c r="I665" i="3"/>
  <c r="J665" i="3"/>
  <c r="K665" i="3"/>
  <c r="M665" i="3"/>
  <c r="N665" i="3"/>
  <c r="L665" i="3" s="1"/>
  <c r="Q665" i="3"/>
  <c r="R665" i="3"/>
  <c r="S665" i="3"/>
  <c r="T665" i="3"/>
  <c r="U665" i="3"/>
  <c r="V665" i="3"/>
  <c r="W665" i="3"/>
  <c r="X665" i="3"/>
  <c r="Y665" i="3"/>
  <c r="Z665" i="3"/>
  <c r="AA665" i="3"/>
  <c r="AB665" i="3"/>
  <c r="AE665" i="3"/>
  <c r="AF665" i="3"/>
  <c r="AG665" i="3"/>
  <c r="A666" i="3"/>
  <c r="B666" i="3"/>
  <c r="D666" i="3" s="1"/>
  <c r="C666" i="3"/>
  <c r="E666" i="3"/>
  <c r="F666" i="3"/>
  <c r="AC666" i="3" s="1"/>
  <c r="G666" i="3"/>
  <c r="H666" i="3"/>
  <c r="I666" i="3"/>
  <c r="J666" i="3"/>
  <c r="K666" i="3"/>
  <c r="M666" i="3"/>
  <c r="N666" i="3"/>
  <c r="L666" i="3" s="1"/>
  <c r="Q666" i="3"/>
  <c r="R666" i="3"/>
  <c r="S666" i="3"/>
  <c r="T666" i="3"/>
  <c r="U666" i="3"/>
  <c r="V666" i="3"/>
  <c r="W666" i="3"/>
  <c r="X666" i="3"/>
  <c r="Y666" i="3"/>
  <c r="Z666" i="3"/>
  <c r="AA666" i="3"/>
  <c r="AB666" i="3"/>
  <c r="AE666" i="3"/>
  <c r="AF666" i="3"/>
  <c r="AG666" i="3"/>
  <c r="A667" i="3"/>
  <c r="B667" i="3"/>
  <c r="D667" i="3" s="1"/>
  <c r="C667" i="3"/>
  <c r="E667" i="3"/>
  <c r="F667" i="3"/>
  <c r="AC667" i="3" s="1"/>
  <c r="G667" i="3"/>
  <c r="H667" i="3"/>
  <c r="I667" i="3"/>
  <c r="J667" i="3"/>
  <c r="K667" i="3"/>
  <c r="M667" i="3"/>
  <c r="N667" i="3"/>
  <c r="L667" i="3" s="1"/>
  <c r="Q667" i="3"/>
  <c r="R667" i="3"/>
  <c r="S667" i="3"/>
  <c r="T667" i="3"/>
  <c r="U667" i="3"/>
  <c r="V667" i="3"/>
  <c r="W667" i="3"/>
  <c r="X667" i="3"/>
  <c r="Y667" i="3"/>
  <c r="Z667" i="3"/>
  <c r="AA667" i="3"/>
  <c r="AB667" i="3"/>
  <c r="AE667" i="3"/>
  <c r="AF667" i="3"/>
  <c r="AG667" i="3"/>
  <c r="A668" i="3"/>
  <c r="B668" i="3"/>
  <c r="D668" i="3" s="1"/>
  <c r="C668" i="3"/>
  <c r="E668" i="3"/>
  <c r="F668" i="3"/>
  <c r="AC668" i="3" s="1"/>
  <c r="G668" i="3"/>
  <c r="H668" i="3"/>
  <c r="I668" i="3"/>
  <c r="J668" i="3"/>
  <c r="K668" i="3"/>
  <c r="M668" i="3"/>
  <c r="N668" i="3"/>
  <c r="L668" i="3" s="1"/>
  <c r="Q668" i="3"/>
  <c r="R668" i="3"/>
  <c r="S668" i="3"/>
  <c r="T668" i="3"/>
  <c r="U668" i="3"/>
  <c r="V668" i="3"/>
  <c r="W668" i="3"/>
  <c r="X668" i="3"/>
  <c r="Y668" i="3"/>
  <c r="Z668" i="3"/>
  <c r="AA668" i="3"/>
  <c r="AB668" i="3"/>
  <c r="AE668" i="3"/>
  <c r="AF668" i="3"/>
  <c r="AG668" i="3"/>
  <c r="A669" i="3"/>
  <c r="B669" i="3"/>
  <c r="D669" i="3" s="1"/>
  <c r="C669" i="3"/>
  <c r="E669" i="3"/>
  <c r="F669" i="3"/>
  <c r="AC669" i="3" s="1"/>
  <c r="G669" i="3"/>
  <c r="H669" i="3"/>
  <c r="I669" i="3"/>
  <c r="J669" i="3"/>
  <c r="K669" i="3"/>
  <c r="M669" i="3"/>
  <c r="N669" i="3"/>
  <c r="L669" i="3" s="1"/>
  <c r="Q669" i="3"/>
  <c r="R669" i="3"/>
  <c r="S669" i="3"/>
  <c r="T669" i="3"/>
  <c r="U669" i="3"/>
  <c r="V669" i="3"/>
  <c r="W669" i="3"/>
  <c r="X669" i="3"/>
  <c r="Y669" i="3"/>
  <c r="Z669" i="3"/>
  <c r="AA669" i="3"/>
  <c r="AB669" i="3"/>
  <c r="AE669" i="3"/>
  <c r="AF669" i="3"/>
  <c r="AG669" i="3"/>
  <c r="A670" i="3"/>
  <c r="B670" i="3"/>
  <c r="D670" i="3" s="1"/>
  <c r="C670" i="3"/>
  <c r="E670" i="3"/>
  <c r="F670" i="3"/>
  <c r="AC670" i="3" s="1"/>
  <c r="G670" i="3"/>
  <c r="H670" i="3"/>
  <c r="I670" i="3"/>
  <c r="J670" i="3"/>
  <c r="K670" i="3"/>
  <c r="M670" i="3"/>
  <c r="N670" i="3"/>
  <c r="L670" i="3" s="1"/>
  <c r="Q670" i="3"/>
  <c r="R670" i="3"/>
  <c r="S670" i="3"/>
  <c r="T670" i="3"/>
  <c r="U670" i="3"/>
  <c r="V670" i="3"/>
  <c r="W670" i="3"/>
  <c r="X670" i="3"/>
  <c r="Y670" i="3"/>
  <c r="Z670" i="3"/>
  <c r="AA670" i="3"/>
  <c r="AB670" i="3"/>
  <c r="AE670" i="3"/>
  <c r="AF670" i="3"/>
  <c r="AG670" i="3"/>
  <c r="A671" i="3"/>
  <c r="B671" i="3"/>
  <c r="D671" i="3" s="1"/>
  <c r="C671" i="3"/>
  <c r="E671" i="3"/>
  <c r="F671" i="3"/>
  <c r="AC671" i="3" s="1"/>
  <c r="G671" i="3"/>
  <c r="H671" i="3"/>
  <c r="I671" i="3"/>
  <c r="J671" i="3"/>
  <c r="K671" i="3"/>
  <c r="M671" i="3"/>
  <c r="N671" i="3"/>
  <c r="L671" i="3" s="1"/>
  <c r="Q671" i="3"/>
  <c r="R671" i="3"/>
  <c r="S671" i="3"/>
  <c r="T671" i="3"/>
  <c r="U671" i="3"/>
  <c r="V671" i="3"/>
  <c r="W671" i="3"/>
  <c r="X671" i="3"/>
  <c r="Y671" i="3"/>
  <c r="Z671" i="3"/>
  <c r="AA671" i="3"/>
  <c r="AB671" i="3"/>
  <c r="AE671" i="3"/>
  <c r="AF671" i="3"/>
  <c r="AG671" i="3"/>
  <c r="A672" i="3"/>
  <c r="B672" i="3"/>
  <c r="D672" i="3" s="1"/>
  <c r="C672" i="3"/>
  <c r="E672" i="3"/>
  <c r="F672" i="3"/>
  <c r="AC672" i="3" s="1"/>
  <c r="G672" i="3"/>
  <c r="H672" i="3"/>
  <c r="I672" i="3"/>
  <c r="J672" i="3"/>
  <c r="K672" i="3"/>
  <c r="M672" i="3"/>
  <c r="N672" i="3"/>
  <c r="L672" i="3" s="1"/>
  <c r="Q672" i="3"/>
  <c r="R672" i="3"/>
  <c r="S672" i="3"/>
  <c r="T672" i="3"/>
  <c r="U672" i="3"/>
  <c r="V672" i="3"/>
  <c r="W672" i="3"/>
  <c r="X672" i="3"/>
  <c r="Y672" i="3"/>
  <c r="Z672" i="3"/>
  <c r="AA672" i="3"/>
  <c r="AB672" i="3"/>
  <c r="AE672" i="3"/>
  <c r="AF672" i="3"/>
  <c r="AG672" i="3"/>
  <c r="A673" i="3"/>
  <c r="B673" i="3"/>
  <c r="D673" i="3" s="1"/>
  <c r="C673" i="3"/>
  <c r="E673" i="3"/>
  <c r="F673" i="3"/>
  <c r="AC673" i="3" s="1"/>
  <c r="G673" i="3"/>
  <c r="H673" i="3"/>
  <c r="I673" i="3"/>
  <c r="J673" i="3"/>
  <c r="K673" i="3"/>
  <c r="M673" i="3"/>
  <c r="N673" i="3"/>
  <c r="L673" i="3" s="1"/>
  <c r="Q673" i="3"/>
  <c r="R673" i="3"/>
  <c r="S673" i="3"/>
  <c r="T673" i="3"/>
  <c r="U673" i="3"/>
  <c r="V673" i="3"/>
  <c r="W673" i="3"/>
  <c r="X673" i="3"/>
  <c r="Y673" i="3"/>
  <c r="Z673" i="3"/>
  <c r="AA673" i="3"/>
  <c r="AB673" i="3"/>
  <c r="AE673" i="3"/>
  <c r="AF673" i="3"/>
  <c r="AG673" i="3"/>
  <c r="A674" i="3"/>
  <c r="B674" i="3"/>
  <c r="D674" i="3" s="1"/>
  <c r="C674" i="3"/>
  <c r="E674" i="3"/>
  <c r="F674" i="3"/>
  <c r="AC674" i="3" s="1"/>
  <c r="G674" i="3"/>
  <c r="H674" i="3"/>
  <c r="I674" i="3"/>
  <c r="J674" i="3"/>
  <c r="K674" i="3"/>
  <c r="M674" i="3"/>
  <c r="N674" i="3"/>
  <c r="L674" i="3" s="1"/>
  <c r="Q674" i="3"/>
  <c r="R674" i="3"/>
  <c r="S674" i="3"/>
  <c r="T674" i="3"/>
  <c r="U674" i="3"/>
  <c r="V674" i="3"/>
  <c r="W674" i="3"/>
  <c r="X674" i="3"/>
  <c r="Y674" i="3"/>
  <c r="Z674" i="3"/>
  <c r="AA674" i="3"/>
  <c r="AB674" i="3"/>
  <c r="AE674" i="3"/>
  <c r="AF674" i="3"/>
  <c r="AG674" i="3"/>
  <c r="A675" i="3"/>
  <c r="B675" i="3"/>
  <c r="D675" i="3" s="1"/>
  <c r="C675" i="3"/>
  <c r="E675" i="3"/>
  <c r="F675" i="3"/>
  <c r="AC675" i="3" s="1"/>
  <c r="G675" i="3"/>
  <c r="H675" i="3"/>
  <c r="I675" i="3"/>
  <c r="J675" i="3"/>
  <c r="K675" i="3"/>
  <c r="M675" i="3"/>
  <c r="N675" i="3"/>
  <c r="L675" i="3" s="1"/>
  <c r="Q675" i="3"/>
  <c r="R675" i="3"/>
  <c r="S675" i="3"/>
  <c r="T675" i="3"/>
  <c r="U675" i="3"/>
  <c r="V675" i="3"/>
  <c r="W675" i="3"/>
  <c r="X675" i="3"/>
  <c r="Y675" i="3"/>
  <c r="Z675" i="3"/>
  <c r="AA675" i="3"/>
  <c r="AB675" i="3"/>
  <c r="AE675" i="3"/>
  <c r="AF675" i="3"/>
  <c r="AG675" i="3"/>
  <c r="A676" i="3"/>
  <c r="B676" i="3"/>
  <c r="D676" i="3" s="1"/>
  <c r="C676" i="3"/>
  <c r="E676" i="3"/>
  <c r="F676" i="3"/>
  <c r="AC676" i="3" s="1"/>
  <c r="G676" i="3"/>
  <c r="H676" i="3"/>
  <c r="I676" i="3"/>
  <c r="J676" i="3"/>
  <c r="K676" i="3"/>
  <c r="M676" i="3"/>
  <c r="N676" i="3"/>
  <c r="L676" i="3" s="1"/>
  <c r="Q676" i="3"/>
  <c r="R676" i="3"/>
  <c r="S676" i="3"/>
  <c r="T676" i="3"/>
  <c r="U676" i="3"/>
  <c r="V676" i="3"/>
  <c r="W676" i="3"/>
  <c r="X676" i="3"/>
  <c r="Y676" i="3"/>
  <c r="Z676" i="3"/>
  <c r="AA676" i="3"/>
  <c r="AB676" i="3"/>
  <c r="AE676" i="3"/>
  <c r="AF676" i="3"/>
  <c r="AG676" i="3"/>
  <c r="A677" i="3"/>
  <c r="B677" i="3"/>
  <c r="D677" i="3" s="1"/>
  <c r="C677" i="3"/>
  <c r="E677" i="3"/>
  <c r="F677" i="3"/>
  <c r="AC677" i="3" s="1"/>
  <c r="G677" i="3"/>
  <c r="H677" i="3"/>
  <c r="I677" i="3"/>
  <c r="J677" i="3"/>
  <c r="K677" i="3"/>
  <c r="M677" i="3"/>
  <c r="N677" i="3"/>
  <c r="L677" i="3" s="1"/>
  <c r="Q677" i="3"/>
  <c r="R677" i="3"/>
  <c r="S677" i="3"/>
  <c r="T677" i="3"/>
  <c r="U677" i="3"/>
  <c r="V677" i="3"/>
  <c r="W677" i="3"/>
  <c r="X677" i="3"/>
  <c r="Y677" i="3"/>
  <c r="Z677" i="3"/>
  <c r="AA677" i="3"/>
  <c r="AB677" i="3"/>
  <c r="AE677" i="3"/>
  <c r="AF677" i="3"/>
  <c r="AG677" i="3"/>
  <c r="A678" i="3"/>
  <c r="B678" i="3"/>
  <c r="D678" i="3" s="1"/>
  <c r="C678" i="3"/>
  <c r="E678" i="3"/>
  <c r="F678" i="3"/>
  <c r="AC678" i="3" s="1"/>
  <c r="G678" i="3"/>
  <c r="H678" i="3"/>
  <c r="I678" i="3"/>
  <c r="J678" i="3"/>
  <c r="K678" i="3"/>
  <c r="M678" i="3"/>
  <c r="N678" i="3"/>
  <c r="L678" i="3" s="1"/>
  <c r="Q678" i="3"/>
  <c r="R678" i="3"/>
  <c r="S678" i="3"/>
  <c r="T678" i="3"/>
  <c r="U678" i="3"/>
  <c r="V678" i="3"/>
  <c r="W678" i="3"/>
  <c r="X678" i="3"/>
  <c r="Y678" i="3"/>
  <c r="Z678" i="3"/>
  <c r="AA678" i="3"/>
  <c r="AB678" i="3"/>
  <c r="AE678" i="3"/>
  <c r="AF678" i="3"/>
  <c r="AG678" i="3"/>
  <c r="A679" i="3"/>
  <c r="B679" i="3"/>
  <c r="D679" i="3" s="1"/>
  <c r="C679" i="3"/>
  <c r="E679" i="3"/>
  <c r="F679" i="3"/>
  <c r="AC679" i="3" s="1"/>
  <c r="G679" i="3"/>
  <c r="H679" i="3"/>
  <c r="I679" i="3"/>
  <c r="J679" i="3"/>
  <c r="K679" i="3"/>
  <c r="M679" i="3"/>
  <c r="N679" i="3"/>
  <c r="L679" i="3" s="1"/>
  <c r="Q679" i="3"/>
  <c r="R679" i="3"/>
  <c r="S679" i="3"/>
  <c r="T679" i="3"/>
  <c r="U679" i="3"/>
  <c r="V679" i="3"/>
  <c r="W679" i="3"/>
  <c r="X679" i="3"/>
  <c r="Y679" i="3"/>
  <c r="Z679" i="3"/>
  <c r="AA679" i="3"/>
  <c r="AB679" i="3"/>
  <c r="AE679" i="3"/>
  <c r="AF679" i="3"/>
  <c r="AG679" i="3"/>
  <c r="A680" i="3"/>
  <c r="B680" i="3"/>
  <c r="D680" i="3" s="1"/>
  <c r="C680" i="3"/>
  <c r="E680" i="3"/>
  <c r="F680" i="3"/>
  <c r="AC680" i="3" s="1"/>
  <c r="G680" i="3"/>
  <c r="H680" i="3"/>
  <c r="I680" i="3"/>
  <c r="J680" i="3"/>
  <c r="K680" i="3"/>
  <c r="M680" i="3"/>
  <c r="N680" i="3"/>
  <c r="L680" i="3" s="1"/>
  <c r="Q680" i="3"/>
  <c r="R680" i="3"/>
  <c r="S680" i="3"/>
  <c r="T680" i="3"/>
  <c r="U680" i="3"/>
  <c r="V680" i="3"/>
  <c r="W680" i="3"/>
  <c r="X680" i="3"/>
  <c r="Y680" i="3"/>
  <c r="Z680" i="3"/>
  <c r="AA680" i="3"/>
  <c r="AB680" i="3"/>
  <c r="AE680" i="3"/>
  <c r="AF680" i="3"/>
  <c r="AG680" i="3"/>
  <c r="A681" i="3"/>
  <c r="B681" i="3"/>
  <c r="D681" i="3" s="1"/>
  <c r="C681" i="3"/>
  <c r="E681" i="3"/>
  <c r="F681" i="3"/>
  <c r="AC681" i="3" s="1"/>
  <c r="G681" i="3"/>
  <c r="H681" i="3"/>
  <c r="I681" i="3"/>
  <c r="J681" i="3"/>
  <c r="K681" i="3"/>
  <c r="M681" i="3"/>
  <c r="N681" i="3"/>
  <c r="L681" i="3" s="1"/>
  <c r="Q681" i="3"/>
  <c r="R681" i="3"/>
  <c r="S681" i="3"/>
  <c r="T681" i="3"/>
  <c r="U681" i="3"/>
  <c r="V681" i="3"/>
  <c r="W681" i="3"/>
  <c r="X681" i="3"/>
  <c r="Y681" i="3"/>
  <c r="Z681" i="3"/>
  <c r="AA681" i="3"/>
  <c r="AB681" i="3"/>
  <c r="AE681" i="3"/>
  <c r="AF681" i="3"/>
  <c r="AG681" i="3"/>
  <c r="A682" i="3"/>
  <c r="B682" i="3"/>
  <c r="D682" i="3" s="1"/>
  <c r="C682" i="3"/>
  <c r="E682" i="3"/>
  <c r="F682" i="3"/>
  <c r="AC682" i="3" s="1"/>
  <c r="G682" i="3"/>
  <c r="H682" i="3"/>
  <c r="I682" i="3"/>
  <c r="J682" i="3"/>
  <c r="K682" i="3"/>
  <c r="M682" i="3"/>
  <c r="N682" i="3"/>
  <c r="L682" i="3" s="1"/>
  <c r="Q682" i="3"/>
  <c r="R682" i="3"/>
  <c r="S682" i="3"/>
  <c r="T682" i="3"/>
  <c r="U682" i="3"/>
  <c r="V682" i="3"/>
  <c r="W682" i="3"/>
  <c r="X682" i="3"/>
  <c r="Y682" i="3"/>
  <c r="Z682" i="3"/>
  <c r="AA682" i="3"/>
  <c r="AB682" i="3"/>
  <c r="AE682" i="3"/>
  <c r="AF682" i="3"/>
  <c r="AG682" i="3"/>
  <c r="A683" i="3"/>
  <c r="B683" i="3"/>
  <c r="D683" i="3" s="1"/>
  <c r="C683" i="3"/>
  <c r="E683" i="3"/>
  <c r="F683" i="3"/>
  <c r="AC683" i="3" s="1"/>
  <c r="G683" i="3"/>
  <c r="H683" i="3"/>
  <c r="I683" i="3"/>
  <c r="J683" i="3"/>
  <c r="K683" i="3"/>
  <c r="M683" i="3"/>
  <c r="N683" i="3"/>
  <c r="L683" i="3" s="1"/>
  <c r="Q683" i="3"/>
  <c r="R683" i="3"/>
  <c r="S683" i="3"/>
  <c r="T683" i="3"/>
  <c r="U683" i="3"/>
  <c r="V683" i="3"/>
  <c r="W683" i="3"/>
  <c r="X683" i="3"/>
  <c r="Y683" i="3"/>
  <c r="Z683" i="3"/>
  <c r="AA683" i="3"/>
  <c r="AB683" i="3"/>
  <c r="AE683" i="3"/>
  <c r="AF683" i="3"/>
  <c r="AG683" i="3"/>
  <c r="A684" i="3"/>
  <c r="B684" i="3"/>
  <c r="D684" i="3" s="1"/>
  <c r="C684" i="3"/>
  <c r="E684" i="3"/>
  <c r="F684" i="3"/>
  <c r="AC684" i="3" s="1"/>
  <c r="G684" i="3"/>
  <c r="H684" i="3"/>
  <c r="I684" i="3"/>
  <c r="J684" i="3"/>
  <c r="K684" i="3"/>
  <c r="M684" i="3"/>
  <c r="N684" i="3"/>
  <c r="L684" i="3" s="1"/>
  <c r="Q684" i="3"/>
  <c r="R684" i="3"/>
  <c r="S684" i="3"/>
  <c r="T684" i="3"/>
  <c r="U684" i="3"/>
  <c r="V684" i="3"/>
  <c r="W684" i="3"/>
  <c r="X684" i="3"/>
  <c r="Y684" i="3"/>
  <c r="Z684" i="3"/>
  <c r="AA684" i="3"/>
  <c r="AB684" i="3"/>
  <c r="AE684" i="3"/>
  <c r="AF684" i="3"/>
  <c r="AG684" i="3"/>
  <c r="A685" i="3"/>
  <c r="B685" i="3"/>
  <c r="D685" i="3" s="1"/>
  <c r="C685" i="3"/>
  <c r="E685" i="3"/>
  <c r="F685" i="3"/>
  <c r="AC685" i="3" s="1"/>
  <c r="G685" i="3"/>
  <c r="H685" i="3"/>
  <c r="I685" i="3"/>
  <c r="J685" i="3"/>
  <c r="K685" i="3"/>
  <c r="M685" i="3"/>
  <c r="N685" i="3"/>
  <c r="L685" i="3" s="1"/>
  <c r="Q685" i="3"/>
  <c r="R685" i="3"/>
  <c r="S685" i="3"/>
  <c r="T685" i="3"/>
  <c r="U685" i="3"/>
  <c r="V685" i="3"/>
  <c r="W685" i="3"/>
  <c r="X685" i="3"/>
  <c r="Y685" i="3"/>
  <c r="Z685" i="3"/>
  <c r="AA685" i="3"/>
  <c r="AB685" i="3"/>
  <c r="AE685" i="3"/>
  <c r="AF685" i="3"/>
  <c r="AG685" i="3"/>
  <c r="A686" i="3"/>
  <c r="B686" i="3"/>
  <c r="D686" i="3" s="1"/>
  <c r="C686" i="3"/>
  <c r="E686" i="3"/>
  <c r="F686" i="3"/>
  <c r="AC686" i="3" s="1"/>
  <c r="G686" i="3"/>
  <c r="H686" i="3"/>
  <c r="I686" i="3"/>
  <c r="J686" i="3"/>
  <c r="K686" i="3"/>
  <c r="M686" i="3"/>
  <c r="N686" i="3"/>
  <c r="L686" i="3" s="1"/>
  <c r="Q686" i="3"/>
  <c r="R686" i="3"/>
  <c r="S686" i="3"/>
  <c r="T686" i="3"/>
  <c r="U686" i="3"/>
  <c r="V686" i="3"/>
  <c r="W686" i="3"/>
  <c r="X686" i="3"/>
  <c r="Y686" i="3"/>
  <c r="Z686" i="3"/>
  <c r="AA686" i="3"/>
  <c r="AB686" i="3"/>
  <c r="AE686" i="3"/>
  <c r="AF686" i="3"/>
  <c r="AG686" i="3"/>
  <c r="A687" i="3"/>
  <c r="B687" i="3"/>
  <c r="D687" i="3" s="1"/>
  <c r="C687" i="3"/>
  <c r="E687" i="3"/>
  <c r="F687" i="3"/>
  <c r="AC687" i="3" s="1"/>
  <c r="G687" i="3"/>
  <c r="H687" i="3"/>
  <c r="I687" i="3"/>
  <c r="J687" i="3"/>
  <c r="K687" i="3"/>
  <c r="M687" i="3"/>
  <c r="N687" i="3"/>
  <c r="L687" i="3" s="1"/>
  <c r="Q687" i="3"/>
  <c r="R687" i="3"/>
  <c r="S687" i="3"/>
  <c r="T687" i="3"/>
  <c r="U687" i="3"/>
  <c r="V687" i="3"/>
  <c r="W687" i="3"/>
  <c r="X687" i="3"/>
  <c r="Y687" i="3"/>
  <c r="Z687" i="3"/>
  <c r="AA687" i="3"/>
  <c r="AB687" i="3"/>
  <c r="AE687" i="3"/>
  <c r="AF687" i="3"/>
  <c r="AG687" i="3"/>
  <c r="A688" i="3"/>
  <c r="B688" i="3"/>
  <c r="D688" i="3" s="1"/>
  <c r="C688" i="3"/>
  <c r="E688" i="3"/>
  <c r="F688" i="3"/>
  <c r="AC688" i="3" s="1"/>
  <c r="G688" i="3"/>
  <c r="H688" i="3"/>
  <c r="I688" i="3"/>
  <c r="J688" i="3"/>
  <c r="K688" i="3"/>
  <c r="M688" i="3"/>
  <c r="N688" i="3"/>
  <c r="L688" i="3" s="1"/>
  <c r="Q688" i="3"/>
  <c r="R688" i="3"/>
  <c r="S688" i="3"/>
  <c r="T688" i="3"/>
  <c r="U688" i="3"/>
  <c r="V688" i="3"/>
  <c r="W688" i="3"/>
  <c r="X688" i="3"/>
  <c r="Y688" i="3"/>
  <c r="Z688" i="3"/>
  <c r="AA688" i="3"/>
  <c r="AB688" i="3"/>
  <c r="AE688" i="3"/>
  <c r="AF688" i="3"/>
  <c r="AG688" i="3"/>
  <c r="A689" i="3"/>
  <c r="B689" i="3"/>
  <c r="D689" i="3" s="1"/>
  <c r="C689" i="3"/>
  <c r="E689" i="3"/>
  <c r="F689" i="3"/>
  <c r="AC689" i="3" s="1"/>
  <c r="G689" i="3"/>
  <c r="H689" i="3"/>
  <c r="I689" i="3"/>
  <c r="J689" i="3"/>
  <c r="K689" i="3"/>
  <c r="M689" i="3"/>
  <c r="N689" i="3"/>
  <c r="L689" i="3" s="1"/>
  <c r="Q689" i="3"/>
  <c r="R689" i="3"/>
  <c r="S689" i="3"/>
  <c r="T689" i="3"/>
  <c r="U689" i="3"/>
  <c r="V689" i="3"/>
  <c r="W689" i="3"/>
  <c r="X689" i="3"/>
  <c r="Y689" i="3"/>
  <c r="Z689" i="3"/>
  <c r="AA689" i="3"/>
  <c r="AB689" i="3"/>
  <c r="AE689" i="3"/>
  <c r="AF689" i="3"/>
  <c r="AG689" i="3"/>
  <c r="A690" i="3"/>
  <c r="B690" i="3"/>
  <c r="D690" i="3" s="1"/>
  <c r="C690" i="3"/>
  <c r="E690" i="3"/>
  <c r="F690" i="3"/>
  <c r="AC690" i="3" s="1"/>
  <c r="G690" i="3"/>
  <c r="H690" i="3"/>
  <c r="I690" i="3"/>
  <c r="J690" i="3"/>
  <c r="K690" i="3"/>
  <c r="M690" i="3"/>
  <c r="N690" i="3"/>
  <c r="L690" i="3" s="1"/>
  <c r="Q690" i="3"/>
  <c r="R690" i="3"/>
  <c r="S690" i="3"/>
  <c r="T690" i="3"/>
  <c r="U690" i="3"/>
  <c r="V690" i="3"/>
  <c r="W690" i="3"/>
  <c r="X690" i="3"/>
  <c r="Y690" i="3"/>
  <c r="Z690" i="3"/>
  <c r="AA690" i="3"/>
  <c r="AB690" i="3"/>
  <c r="AE690" i="3"/>
  <c r="AF690" i="3"/>
  <c r="AG690" i="3"/>
  <c r="A691" i="3"/>
  <c r="B691" i="3"/>
  <c r="D691" i="3" s="1"/>
  <c r="C691" i="3"/>
  <c r="E691" i="3"/>
  <c r="F691" i="3"/>
  <c r="AC691" i="3" s="1"/>
  <c r="G691" i="3"/>
  <c r="H691" i="3"/>
  <c r="I691" i="3"/>
  <c r="J691" i="3"/>
  <c r="K691" i="3"/>
  <c r="M691" i="3"/>
  <c r="N691" i="3"/>
  <c r="L691" i="3" s="1"/>
  <c r="Q691" i="3"/>
  <c r="R691" i="3"/>
  <c r="S691" i="3"/>
  <c r="T691" i="3"/>
  <c r="U691" i="3"/>
  <c r="V691" i="3"/>
  <c r="W691" i="3"/>
  <c r="X691" i="3"/>
  <c r="Y691" i="3"/>
  <c r="Z691" i="3"/>
  <c r="AA691" i="3"/>
  <c r="AB691" i="3"/>
  <c r="AE691" i="3"/>
  <c r="AF691" i="3"/>
  <c r="AG691" i="3"/>
  <c r="A692" i="3"/>
  <c r="B692" i="3"/>
  <c r="D692" i="3" s="1"/>
  <c r="C692" i="3"/>
  <c r="E692" i="3"/>
  <c r="F692" i="3"/>
  <c r="AC692" i="3" s="1"/>
  <c r="G692" i="3"/>
  <c r="H692" i="3"/>
  <c r="I692" i="3"/>
  <c r="J692" i="3"/>
  <c r="K692" i="3"/>
  <c r="M692" i="3"/>
  <c r="N692" i="3"/>
  <c r="L692" i="3" s="1"/>
  <c r="Q692" i="3"/>
  <c r="R692" i="3"/>
  <c r="S692" i="3"/>
  <c r="T692" i="3"/>
  <c r="U692" i="3"/>
  <c r="V692" i="3"/>
  <c r="W692" i="3"/>
  <c r="X692" i="3"/>
  <c r="Y692" i="3"/>
  <c r="Z692" i="3"/>
  <c r="AA692" i="3"/>
  <c r="AB692" i="3"/>
  <c r="AE692" i="3"/>
  <c r="AF692" i="3"/>
  <c r="AG692" i="3"/>
  <c r="A693" i="3"/>
  <c r="B693" i="3"/>
  <c r="D693" i="3" s="1"/>
  <c r="C693" i="3"/>
  <c r="E693" i="3"/>
  <c r="F693" i="3"/>
  <c r="AC693" i="3" s="1"/>
  <c r="G693" i="3"/>
  <c r="H693" i="3"/>
  <c r="I693" i="3"/>
  <c r="J693" i="3"/>
  <c r="K693" i="3"/>
  <c r="M693" i="3"/>
  <c r="N693" i="3"/>
  <c r="L693" i="3" s="1"/>
  <c r="Q693" i="3"/>
  <c r="R693" i="3"/>
  <c r="S693" i="3"/>
  <c r="T693" i="3"/>
  <c r="U693" i="3"/>
  <c r="V693" i="3"/>
  <c r="W693" i="3"/>
  <c r="X693" i="3"/>
  <c r="Y693" i="3"/>
  <c r="Z693" i="3"/>
  <c r="AA693" i="3"/>
  <c r="AB693" i="3"/>
  <c r="AE693" i="3"/>
  <c r="AF693" i="3"/>
  <c r="AG693" i="3"/>
  <c r="A694" i="3"/>
  <c r="B694" i="3"/>
  <c r="D694" i="3" s="1"/>
  <c r="C694" i="3"/>
  <c r="E694" i="3"/>
  <c r="F694" i="3"/>
  <c r="AC694" i="3" s="1"/>
  <c r="G694" i="3"/>
  <c r="H694" i="3"/>
  <c r="I694" i="3"/>
  <c r="J694" i="3"/>
  <c r="K694" i="3"/>
  <c r="M694" i="3"/>
  <c r="N694" i="3"/>
  <c r="L694" i="3" s="1"/>
  <c r="Q694" i="3"/>
  <c r="R694" i="3"/>
  <c r="S694" i="3"/>
  <c r="T694" i="3"/>
  <c r="U694" i="3"/>
  <c r="V694" i="3"/>
  <c r="W694" i="3"/>
  <c r="X694" i="3"/>
  <c r="Y694" i="3"/>
  <c r="Z694" i="3"/>
  <c r="AA694" i="3"/>
  <c r="AB694" i="3"/>
  <c r="AE694" i="3"/>
  <c r="AF694" i="3"/>
  <c r="AG694" i="3"/>
  <c r="A695" i="3"/>
  <c r="B695" i="3"/>
  <c r="D695" i="3" s="1"/>
  <c r="C695" i="3"/>
  <c r="E695" i="3"/>
  <c r="F695" i="3"/>
  <c r="AC695" i="3" s="1"/>
  <c r="G695" i="3"/>
  <c r="H695" i="3"/>
  <c r="I695" i="3"/>
  <c r="J695" i="3"/>
  <c r="K695" i="3"/>
  <c r="M695" i="3"/>
  <c r="N695" i="3"/>
  <c r="L695" i="3" s="1"/>
  <c r="Q695" i="3"/>
  <c r="R695" i="3"/>
  <c r="S695" i="3"/>
  <c r="T695" i="3"/>
  <c r="U695" i="3"/>
  <c r="V695" i="3"/>
  <c r="W695" i="3"/>
  <c r="X695" i="3"/>
  <c r="Y695" i="3"/>
  <c r="Z695" i="3"/>
  <c r="AA695" i="3"/>
  <c r="AB695" i="3"/>
  <c r="AE695" i="3"/>
  <c r="AF695" i="3"/>
  <c r="AG695" i="3"/>
  <c r="A696" i="3"/>
  <c r="B696" i="3"/>
  <c r="D696" i="3" s="1"/>
  <c r="C696" i="3"/>
  <c r="E696" i="3"/>
  <c r="F696" i="3"/>
  <c r="AC696" i="3" s="1"/>
  <c r="G696" i="3"/>
  <c r="H696" i="3"/>
  <c r="I696" i="3"/>
  <c r="J696" i="3"/>
  <c r="K696" i="3"/>
  <c r="M696" i="3"/>
  <c r="N696" i="3"/>
  <c r="L696" i="3" s="1"/>
  <c r="Q696" i="3"/>
  <c r="R696" i="3"/>
  <c r="S696" i="3"/>
  <c r="T696" i="3"/>
  <c r="U696" i="3"/>
  <c r="V696" i="3"/>
  <c r="W696" i="3"/>
  <c r="X696" i="3"/>
  <c r="Y696" i="3"/>
  <c r="Z696" i="3"/>
  <c r="AA696" i="3"/>
  <c r="AB696" i="3"/>
  <c r="AE696" i="3"/>
  <c r="AF696" i="3"/>
  <c r="AG696" i="3"/>
  <c r="A697" i="3"/>
  <c r="B697" i="3"/>
  <c r="D697" i="3" s="1"/>
  <c r="C697" i="3"/>
  <c r="E697" i="3"/>
  <c r="F697" i="3"/>
  <c r="AC697" i="3" s="1"/>
  <c r="G697" i="3"/>
  <c r="H697" i="3"/>
  <c r="I697" i="3"/>
  <c r="J697" i="3"/>
  <c r="K697" i="3"/>
  <c r="M697" i="3"/>
  <c r="N697" i="3"/>
  <c r="L697" i="3" s="1"/>
  <c r="Q697" i="3"/>
  <c r="R697" i="3"/>
  <c r="S697" i="3"/>
  <c r="T697" i="3"/>
  <c r="U697" i="3"/>
  <c r="V697" i="3"/>
  <c r="W697" i="3"/>
  <c r="X697" i="3"/>
  <c r="Y697" i="3"/>
  <c r="Z697" i="3"/>
  <c r="AA697" i="3"/>
  <c r="AB697" i="3"/>
  <c r="AE697" i="3"/>
  <c r="AF697" i="3"/>
  <c r="AG697" i="3"/>
  <c r="A698" i="3"/>
  <c r="B698" i="3"/>
  <c r="D698" i="3" s="1"/>
  <c r="C698" i="3"/>
  <c r="E698" i="3"/>
  <c r="F698" i="3"/>
  <c r="AC698" i="3" s="1"/>
  <c r="G698" i="3"/>
  <c r="H698" i="3"/>
  <c r="I698" i="3"/>
  <c r="J698" i="3"/>
  <c r="K698" i="3"/>
  <c r="M698" i="3"/>
  <c r="N698" i="3"/>
  <c r="L698" i="3" s="1"/>
  <c r="Q698" i="3"/>
  <c r="R698" i="3"/>
  <c r="S698" i="3"/>
  <c r="T698" i="3"/>
  <c r="U698" i="3"/>
  <c r="V698" i="3"/>
  <c r="W698" i="3"/>
  <c r="X698" i="3"/>
  <c r="Y698" i="3"/>
  <c r="Z698" i="3"/>
  <c r="AA698" i="3"/>
  <c r="AB698" i="3"/>
  <c r="AE698" i="3"/>
  <c r="AF698" i="3"/>
  <c r="AG698" i="3"/>
  <c r="A699" i="3"/>
  <c r="B699" i="3"/>
  <c r="D699" i="3" s="1"/>
  <c r="C699" i="3"/>
  <c r="E699" i="3"/>
  <c r="F699" i="3"/>
  <c r="AC699" i="3" s="1"/>
  <c r="G699" i="3"/>
  <c r="H699" i="3"/>
  <c r="I699" i="3"/>
  <c r="J699" i="3"/>
  <c r="K699" i="3"/>
  <c r="M699" i="3"/>
  <c r="N699" i="3"/>
  <c r="L699" i="3" s="1"/>
  <c r="Q699" i="3"/>
  <c r="R699" i="3"/>
  <c r="S699" i="3"/>
  <c r="T699" i="3"/>
  <c r="U699" i="3"/>
  <c r="V699" i="3"/>
  <c r="W699" i="3"/>
  <c r="X699" i="3"/>
  <c r="Y699" i="3"/>
  <c r="Z699" i="3"/>
  <c r="AA699" i="3"/>
  <c r="AB699" i="3"/>
  <c r="AE699" i="3"/>
  <c r="AF699" i="3"/>
  <c r="AG699" i="3"/>
  <c r="A700" i="3"/>
  <c r="B700" i="3"/>
  <c r="D700" i="3" s="1"/>
  <c r="C700" i="3"/>
  <c r="E700" i="3"/>
  <c r="F700" i="3"/>
  <c r="AC700" i="3" s="1"/>
  <c r="G700" i="3"/>
  <c r="H700" i="3"/>
  <c r="I700" i="3"/>
  <c r="J700" i="3"/>
  <c r="K700" i="3"/>
  <c r="M700" i="3"/>
  <c r="N700" i="3"/>
  <c r="L700" i="3" s="1"/>
  <c r="Q700" i="3"/>
  <c r="R700" i="3"/>
  <c r="S700" i="3"/>
  <c r="T700" i="3"/>
  <c r="U700" i="3"/>
  <c r="V700" i="3"/>
  <c r="W700" i="3"/>
  <c r="X700" i="3"/>
  <c r="Y700" i="3"/>
  <c r="Z700" i="3"/>
  <c r="AA700" i="3"/>
  <c r="AB700" i="3"/>
  <c r="AE700" i="3"/>
  <c r="AF700" i="3"/>
  <c r="AG700" i="3"/>
  <c r="A701" i="3"/>
  <c r="B701" i="3"/>
  <c r="D701" i="3" s="1"/>
  <c r="C701" i="3"/>
  <c r="E701" i="3"/>
  <c r="F701" i="3"/>
  <c r="AC701" i="3" s="1"/>
  <c r="G701" i="3"/>
  <c r="H701" i="3"/>
  <c r="I701" i="3"/>
  <c r="J701" i="3"/>
  <c r="K701" i="3"/>
  <c r="M701" i="3"/>
  <c r="N701" i="3"/>
  <c r="L701" i="3" s="1"/>
  <c r="Q701" i="3"/>
  <c r="R701" i="3"/>
  <c r="S701" i="3"/>
  <c r="T701" i="3"/>
  <c r="U701" i="3"/>
  <c r="V701" i="3"/>
  <c r="W701" i="3"/>
  <c r="X701" i="3"/>
  <c r="Y701" i="3"/>
  <c r="Z701" i="3"/>
  <c r="AA701" i="3"/>
  <c r="AB701" i="3"/>
  <c r="AE701" i="3"/>
  <c r="AF701" i="3"/>
  <c r="AG701" i="3"/>
  <c r="A702" i="3"/>
  <c r="B702" i="3"/>
  <c r="D702" i="3" s="1"/>
  <c r="C702" i="3"/>
  <c r="E702" i="3"/>
  <c r="F702" i="3"/>
  <c r="AC702" i="3" s="1"/>
  <c r="G702" i="3"/>
  <c r="H702" i="3"/>
  <c r="I702" i="3"/>
  <c r="J702" i="3"/>
  <c r="K702" i="3"/>
  <c r="M702" i="3"/>
  <c r="N702" i="3"/>
  <c r="L702" i="3" s="1"/>
  <c r="Q702" i="3"/>
  <c r="R702" i="3"/>
  <c r="S702" i="3"/>
  <c r="T702" i="3"/>
  <c r="U702" i="3"/>
  <c r="V702" i="3"/>
  <c r="W702" i="3"/>
  <c r="X702" i="3"/>
  <c r="Y702" i="3"/>
  <c r="Z702" i="3"/>
  <c r="AA702" i="3"/>
  <c r="AB702" i="3"/>
  <c r="AE702" i="3"/>
  <c r="AF702" i="3"/>
  <c r="AG702" i="3"/>
  <c r="A703" i="3"/>
  <c r="B703" i="3"/>
  <c r="D703" i="3" s="1"/>
  <c r="C703" i="3"/>
  <c r="E703" i="3"/>
  <c r="F703" i="3"/>
  <c r="AC703" i="3" s="1"/>
  <c r="G703" i="3"/>
  <c r="H703" i="3"/>
  <c r="I703" i="3"/>
  <c r="J703" i="3"/>
  <c r="K703" i="3"/>
  <c r="M703" i="3"/>
  <c r="N703" i="3"/>
  <c r="L703" i="3" s="1"/>
  <c r="Q703" i="3"/>
  <c r="R703" i="3"/>
  <c r="S703" i="3"/>
  <c r="T703" i="3"/>
  <c r="U703" i="3"/>
  <c r="V703" i="3"/>
  <c r="W703" i="3"/>
  <c r="X703" i="3"/>
  <c r="Y703" i="3"/>
  <c r="Z703" i="3"/>
  <c r="AA703" i="3"/>
  <c r="AB703" i="3"/>
  <c r="AE703" i="3"/>
  <c r="AF703" i="3"/>
  <c r="AG703" i="3"/>
  <c r="A704" i="3"/>
  <c r="B704" i="3"/>
  <c r="D704" i="3" s="1"/>
  <c r="C704" i="3"/>
  <c r="E704" i="3"/>
  <c r="F704" i="3"/>
  <c r="AC704" i="3" s="1"/>
  <c r="G704" i="3"/>
  <c r="H704" i="3"/>
  <c r="I704" i="3"/>
  <c r="J704" i="3"/>
  <c r="K704" i="3"/>
  <c r="M704" i="3"/>
  <c r="N704" i="3"/>
  <c r="L704" i="3" s="1"/>
  <c r="Q704" i="3"/>
  <c r="R704" i="3"/>
  <c r="S704" i="3"/>
  <c r="T704" i="3"/>
  <c r="U704" i="3"/>
  <c r="V704" i="3"/>
  <c r="W704" i="3"/>
  <c r="X704" i="3"/>
  <c r="Y704" i="3"/>
  <c r="Z704" i="3"/>
  <c r="AA704" i="3"/>
  <c r="AB704" i="3"/>
  <c r="AE704" i="3"/>
  <c r="AF704" i="3"/>
  <c r="AG704" i="3"/>
  <c r="A705" i="3"/>
  <c r="B705" i="3"/>
  <c r="D705" i="3" s="1"/>
  <c r="C705" i="3"/>
  <c r="E705" i="3"/>
  <c r="F705" i="3"/>
  <c r="AC705" i="3" s="1"/>
  <c r="G705" i="3"/>
  <c r="H705" i="3"/>
  <c r="I705" i="3"/>
  <c r="J705" i="3"/>
  <c r="K705" i="3"/>
  <c r="M705" i="3"/>
  <c r="N705" i="3"/>
  <c r="L705" i="3" s="1"/>
  <c r="Q705" i="3"/>
  <c r="R705" i="3"/>
  <c r="S705" i="3"/>
  <c r="T705" i="3"/>
  <c r="U705" i="3"/>
  <c r="V705" i="3"/>
  <c r="W705" i="3"/>
  <c r="X705" i="3"/>
  <c r="Y705" i="3"/>
  <c r="Z705" i="3"/>
  <c r="AA705" i="3"/>
  <c r="AB705" i="3"/>
  <c r="AE705" i="3"/>
  <c r="AF705" i="3"/>
  <c r="AG705" i="3"/>
  <c r="A706" i="3"/>
  <c r="B706" i="3"/>
  <c r="D706" i="3" s="1"/>
  <c r="C706" i="3"/>
  <c r="E706" i="3"/>
  <c r="F706" i="3"/>
  <c r="AC706" i="3" s="1"/>
  <c r="G706" i="3"/>
  <c r="H706" i="3"/>
  <c r="I706" i="3"/>
  <c r="J706" i="3"/>
  <c r="K706" i="3"/>
  <c r="M706" i="3"/>
  <c r="N706" i="3"/>
  <c r="L706" i="3" s="1"/>
  <c r="Q706" i="3"/>
  <c r="R706" i="3"/>
  <c r="S706" i="3"/>
  <c r="T706" i="3"/>
  <c r="U706" i="3"/>
  <c r="V706" i="3"/>
  <c r="W706" i="3"/>
  <c r="X706" i="3"/>
  <c r="Y706" i="3"/>
  <c r="Z706" i="3"/>
  <c r="AA706" i="3"/>
  <c r="AB706" i="3"/>
  <c r="AE706" i="3"/>
  <c r="AF706" i="3"/>
  <c r="AG706" i="3"/>
  <c r="A707" i="3"/>
  <c r="B707" i="3"/>
  <c r="D707" i="3" s="1"/>
  <c r="C707" i="3"/>
  <c r="E707" i="3"/>
  <c r="F707" i="3"/>
  <c r="AC707" i="3" s="1"/>
  <c r="G707" i="3"/>
  <c r="H707" i="3"/>
  <c r="I707" i="3"/>
  <c r="J707" i="3"/>
  <c r="K707" i="3"/>
  <c r="M707" i="3"/>
  <c r="N707" i="3"/>
  <c r="L707" i="3" s="1"/>
  <c r="Q707" i="3"/>
  <c r="R707" i="3"/>
  <c r="S707" i="3"/>
  <c r="T707" i="3"/>
  <c r="U707" i="3"/>
  <c r="V707" i="3"/>
  <c r="W707" i="3"/>
  <c r="X707" i="3"/>
  <c r="Y707" i="3"/>
  <c r="Z707" i="3"/>
  <c r="AA707" i="3"/>
  <c r="AB707" i="3"/>
  <c r="AE707" i="3"/>
  <c r="AF707" i="3"/>
  <c r="AG707" i="3"/>
  <c r="A708" i="3"/>
  <c r="B708" i="3"/>
  <c r="D708" i="3" s="1"/>
  <c r="C708" i="3"/>
  <c r="E708" i="3"/>
  <c r="F708" i="3"/>
  <c r="AC708" i="3" s="1"/>
  <c r="G708" i="3"/>
  <c r="H708" i="3"/>
  <c r="I708" i="3"/>
  <c r="J708" i="3"/>
  <c r="K708" i="3"/>
  <c r="M708" i="3"/>
  <c r="N708" i="3"/>
  <c r="L708" i="3" s="1"/>
  <c r="Q708" i="3"/>
  <c r="R708" i="3"/>
  <c r="S708" i="3"/>
  <c r="T708" i="3"/>
  <c r="U708" i="3"/>
  <c r="V708" i="3"/>
  <c r="W708" i="3"/>
  <c r="X708" i="3"/>
  <c r="Y708" i="3"/>
  <c r="Z708" i="3"/>
  <c r="AA708" i="3"/>
  <c r="AB708" i="3"/>
  <c r="AE708" i="3"/>
  <c r="AF708" i="3"/>
  <c r="AG708" i="3"/>
  <c r="A709" i="3"/>
  <c r="B709" i="3"/>
  <c r="D709" i="3" s="1"/>
  <c r="C709" i="3"/>
  <c r="E709" i="3"/>
  <c r="F709" i="3"/>
  <c r="AC709" i="3" s="1"/>
  <c r="G709" i="3"/>
  <c r="H709" i="3"/>
  <c r="I709" i="3"/>
  <c r="J709" i="3"/>
  <c r="K709" i="3"/>
  <c r="M709" i="3"/>
  <c r="N709" i="3"/>
  <c r="L709" i="3" s="1"/>
  <c r="Q709" i="3"/>
  <c r="R709" i="3"/>
  <c r="S709" i="3"/>
  <c r="T709" i="3"/>
  <c r="U709" i="3"/>
  <c r="V709" i="3"/>
  <c r="W709" i="3"/>
  <c r="X709" i="3"/>
  <c r="Y709" i="3"/>
  <c r="Z709" i="3"/>
  <c r="AA709" i="3"/>
  <c r="AB709" i="3"/>
  <c r="AE709" i="3"/>
  <c r="AF709" i="3"/>
  <c r="AG709" i="3"/>
  <c r="A710" i="3"/>
  <c r="B710" i="3"/>
  <c r="D710" i="3" s="1"/>
  <c r="C710" i="3"/>
  <c r="E710" i="3"/>
  <c r="F710" i="3"/>
  <c r="AC710" i="3" s="1"/>
  <c r="G710" i="3"/>
  <c r="H710" i="3"/>
  <c r="I710" i="3"/>
  <c r="J710" i="3"/>
  <c r="K710" i="3"/>
  <c r="M710" i="3"/>
  <c r="N710" i="3"/>
  <c r="L710" i="3" s="1"/>
  <c r="Q710" i="3"/>
  <c r="R710" i="3"/>
  <c r="S710" i="3"/>
  <c r="T710" i="3"/>
  <c r="U710" i="3"/>
  <c r="V710" i="3"/>
  <c r="W710" i="3"/>
  <c r="X710" i="3"/>
  <c r="Y710" i="3"/>
  <c r="Z710" i="3"/>
  <c r="AA710" i="3"/>
  <c r="AB710" i="3"/>
  <c r="AE710" i="3"/>
  <c r="AF710" i="3"/>
  <c r="AG710" i="3"/>
  <c r="A711" i="3"/>
  <c r="B711" i="3"/>
  <c r="D711" i="3" s="1"/>
  <c r="C711" i="3"/>
  <c r="E711" i="3"/>
  <c r="F711" i="3"/>
  <c r="AC711" i="3" s="1"/>
  <c r="G711" i="3"/>
  <c r="H711" i="3"/>
  <c r="I711" i="3"/>
  <c r="J711" i="3"/>
  <c r="K711" i="3"/>
  <c r="M711" i="3"/>
  <c r="N711" i="3"/>
  <c r="L711" i="3" s="1"/>
  <c r="Q711" i="3"/>
  <c r="R711" i="3"/>
  <c r="S711" i="3"/>
  <c r="T711" i="3"/>
  <c r="U711" i="3"/>
  <c r="V711" i="3"/>
  <c r="W711" i="3"/>
  <c r="X711" i="3"/>
  <c r="Y711" i="3"/>
  <c r="Z711" i="3"/>
  <c r="AA711" i="3"/>
  <c r="AB711" i="3"/>
  <c r="AE711" i="3"/>
  <c r="AF711" i="3"/>
  <c r="AG711" i="3"/>
  <c r="A712" i="3"/>
  <c r="B712" i="3"/>
  <c r="D712" i="3" s="1"/>
  <c r="C712" i="3"/>
  <c r="E712" i="3"/>
  <c r="F712" i="3"/>
  <c r="AC712" i="3" s="1"/>
  <c r="G712" i="3"/>
  <c r="H712" i="3"/>
  <c r="I712" i="3"/>
  <c r="J712" i="3"/>
  <c r="K712" i="3"/>
  <c r="M712" i="3"/>
  <c r="N712" i="3"/>
  <c r="L712" i="3" s="1"/>
  <c r="Q712" i="3"/>
  <c r="R712" i="3"/>
  <c r="S712" i="3"/>
  <c r="T712" i="3"/>
  <c r="U712" i="3"/>
  <c r="V712" i="3"/>
  <c r="W712" i="3"/>
  <c r="X712" i="3"/>
  <c r="Y712" i="3"/>
  <c r="Z712" i="3"/>
  <c r="AA712" i="3"/>
  <c r="AB712" i="3"/>
  <c r="AE712" i="3"/>
  <c r="AF712" i="3"/>
  <c r="AG712" i="3"/>
  <c r="A713" i="3"/>
  <c r="B713" i="3"/>
  <c r="D713" i="3" s="1"/>
  <c r="C713" i="3"/>
  <c r="E713" i="3"/>
  <c r="F713" i="3"/>
  <c r="AC713" i="3" s="1"/>
  <c r="G713" i="3"/>
  <c r="H713" i="3"/>
  <c r="I713" i="3"/>
  <c r="J713" i="3"/>
  <c r="K713" i="3"/>
  <c r="M713" i="3"/>
  <c r="N713" i="3"/>
  <c r="L713" i="3" s="1"/>
  <c r="Q713" i="3"/>
  <c r="R713" i="3"/>
  <c r="S713" i="3"/>
  <c r="T713" i="3"/>
  <c r="U713" i="3"/>
  <c r="V713" i="3"/>
  <c r="W713" i="3"/>
  <c r="X713" i="3"/>
  <c r="Y713" i="3"/>
  <c r="Z713" i="3"/>
  <c r="AA713" i="3"/>
  <c r="AB713" i="3"/>
  <c r="AE713" i="3"/>
  <c r="AF713" i="3"/>
  <c r="AG713" i="3"/>
  <c r="A714" i="3"/>
  <c r="B714" i="3"/>
  <c r="D714" i="3" s="1"/>
  <c r="C714" i="3"/>
  <c r="E714" i="3"/>
  <c r="F714" i="3"/>
  <c r="AC714" i="3" s="1"/>
  <c r="G714" i="3"/>
  <c r="H714" i="3"/>
  <c r="I714" i="3"/>
  <c r="J714" i="3"/>
  <c r="K714" i="3"/>
  <c r="M714" i="3"/>
  <c r="N714" i="3"/>
  <c r="L714" i="3" s="1"/>
  <c r="Q714" i="3"/>
  <c r="R714" i="3"/>
  <c r="S714" i="3"/>
  <c r="T714" i="3"/>
  <c r="U714" i="3"/>
  <c r="V714" i="3"/>
  <c r="W714" i="3"/>
  <c r="X714" i="3"/>
  <c r="Y714" i="3"/>
  <c r="Z714" i="3"/>
  <c r="AA714" i="3"/>
  <c r="AB714" i="3"/>
  <c r="AE714" i="3"/>
  <c r="AF714" i="3"/>
  <c r="AG714" i="3"/>
  <c r="A715" i="3"/>
  <c r="B715" i="3"/>
  <c r="D715" i="3" s="1"/>
  <c r="C715" i="3"/>
  <c r="E715" i="3"/>
  <c r="F715" i="3"/>
  <c r="AC715" i="3" s="1"/>
  <c r="G715" i="3"/>
  <c r="H715" i="3"/>
  <c r="I715" i="3"/>
  <c r="J715" i="3"/>
  <c r="K715" i="3"/>
  <c r="M715" i="3"/>
  <c r="N715" i="3"/>
  <c r="L715" i="3" s="1"/>
  <c r="Q715" i="3"/>
  <c r="R715" i="3"/>
  <c r="S715" i="3"/>
  <c r="T715" i="3"/>
  <c r="U715" i="3"/>
  <c r="V715" i="3"/>
  <c r="W715" i="3"/>
  <c r="X715" i="3"/>
  <c r="Y715" i="3"/>
  <c r="Z715" i="3"/>
  <c r="AA715" i="3"/>
  <c r="AB715" i="3"/>
  <c r="AE715" i="3"/>
  <c r="AF715" i="3"/>
  <c r="AG715" i="3"/>
  <c r="A716" i="3"/>
  <c r="B716" i="3"/>
  <c r="D716" i="3" s="1"/>
  <c r="C716" i="3"/>
  <c r="E716" i="3"/>
  <c r="F716" i="3"/>
  <c r="AC716" i="3" s="1"/>
  <c r="G716" i="3"/>
  <c r="H716" i="3"/>
  <c r="I716" i="3"/>
  <c r="J716" i="3"/>
  <c r="K716" i="3"/>
  <c r="M716" i="3"/>
  <c r="N716" i="3"/>
  <c r="L716" i="3" s="1"/>
  <c r="Q716" i="3"/>
  <c r="R716" i="3"/>
  <c r="S716" i="3"/>
  <c r="T716" i="3"/>
  <c r="U716" i="3"/>
  <c r="V716" i="3"/>
  <c r="W716" i="3"/>
  <c r="X716" i="3"/>
  <c r="Y716" i="3"/>
  <c r="Z716" i="3"/>
  <c r="AA716" i="3"/>
  <c r="AB716" i="3"/>
  <c r="AE716" i="3"/>
  <c r="AF716" i="3"/>
  <c r="AG716" i="3"/>
  <c r="A717" i="3"/>
  <c r="B717" i="3"/>
  <c r="D717" i="3" s="1"/>
  <c r="C717" i="3"/>
  <c r="E717" i="3"/>
  <c r="F717" i="3"/>
  <c r="AC717" i="3" s="1"/>
  <c r="G717" i="3"/>
  <c r="H717" i="3"/>
  <c r="I717" i="3"/>
  <c r="J717" i="3"/>
  <c r="K717" i="3"/>
  <c r="M717" i="3"/>
  <c r="N717" i="3"/>
  <c r="L717" i="3" s="1"/>
  <c r="Q717" i="3"/>
  <c r="R717" i="3"/>
  <c r="S717" i="3"/>
  <c r="T717" i="3"/>
  <c r="U717" i="3"/>
  <c r="V717" i="3"/>
  <c r="W717" i="3"/>
  <c r="X717" i="3"/>
  <c r="Y717" i="3"/>
  <c r="Z717" i="3"/>
  <c r="AA717" i="3"/>
  <c r="AB717" i="3"/>
  <c r="AE717" i="3"/>
  <c r="AF717" i="3"/>
  <c r="AG717" i="3"/>
  <c r="A718" i="3"/>
  <c r="B718" i="3"/>
  <c r="D718" i="3" s="1"/>
  <c r="C718" i="3"/>
  <c r="E718" i="3"/>
  <c r="F718" i="3"/>
  <c r="AC718" i="3" s="1"/>
  <c r="G718" i="3"/>
  <c r="H718" i="3"/>
  <c r="I718" i="3"/>
  <c r="J718" i="3"/>
  <c r="K718" i="3"/>
  <c r="M718" i="3"/>
  <c r="N718" i="3"/>
  <c r="L718" i="3" s="1"/>
  <c r="Q718" i="3"/>
  <c r="R718" i="3"/>
  <c r="S718" i="3"/>
  <c r="T718" i="3"/>
  <c r="U718" i="3"/>
  <c r="V718" i="3"/>
  <c r="W718" i="3"/>
  <c r="X718" i="3"/>
  <c r="Y718" i="3"/>
  <c r="Z718" i="3"/>
  <c r="AA718" i="3"/>
  <c r="AB718" i="3"/>
  <c r="AE718" i="3"/>
  <c r="AF718" i="3"/>
  <c r="AG718" i="3"/>
  <c r="A719" i="3"/>
  <c r="B719" i="3"/>
  <c r="D719" i="3" s="1"/>
  <c r="C719" i="3"/>
  <c r="E719" i="3"/>
  <c r="F719" i="3"/>
  <c r="AC719" i="3" s="1"/>
  <c r="G719" i="3"/>
  <c r="H719" i="3"/>
  <c r="I719" i="3"/>
  <c r="J719" i="3"/>
  <c r="K719" i="3"/>
  <c r="M719" i="3"/>
  <c r="N719" i="3"/>
  <c r="L719" i="3" s="1"/>
  <c r="Q719" i="3"/>
  <c r="R719" i="3"/>
  <c r="S719" i="3"/>
  <c r="T719" i="3"/>
  <c r="U719" i="3"/>
  <c r="V719" i="3"/>
  <c r="W719" i="3"/>
  <c r="X719" i="3"/>
  <c r="Y719" i="3"/>
  <c r="Z719" i="3"/>
  <c r="AA719" i="3"/>
  <c r="AB719" i="3"/>
  <c r="AE719" i="3"/>
  <c r="AF719" i="3"/>
  <c r="AG719" i="3"/>
  <c r="A720" i="3"/>
  <c r="B720" i="3"/>
  <c r="D720" i="3" s="1"/>
  <c r="C720" i="3"/>
  <c r="E720" i="3"/>
  <c r="F720" i="3"/>
  <c r="AC720" i="3" s="1"/>
  <c r="G720" i="3"/>
  <c r="H720" i="3"/>
  <c r="I720" i="3"/>
  <c r="J720" i="3"/>
  <c r="K720" i="3"/>
  <c r="M720" i="3"/>
  <c r="N720" i="3"/>
  <c r="L720" i="3" s="1"/>
  <c r="Q720" i="3"/>
  <c r="R720" i="3"/>
  <c r="S720" i="3"/>
  <c r="T720" i="3"/>
  <c r="U720" i="3"/>
  <c r="V720" i="3"/>
  <c r="W720" i="3"/>
  <c r="X720" i="3"/>
  <c r="Y720" i="3"/>
  <c r="Z720" i="3"/>
  <c r="AA720" i="3"/>
  <c r="AB720" i="3"/>
  <c r="AE720" i="3"/>
  <c r="AF720" i="3"/>
  <c r="AG720" i="3"/>
  <c r="A721" i="3"/>
  <c r="B721" i="3"/>
  <c r="D721" i="3" s="1"/>
  <c r="C721" i="3"/>
  <c r="E721" i="3"/>
  <c r="F721" i="3"/>
  <c r="AC721" i="3" s="1"/>
  <c r="G721" i="3"/>
  <c r="H721" i="3"/>
  <c r="I721" i="3"/>
  <c r="J721" i="3"/>
  <c r="K721" i="3"/>
  <c r="M721" i="3"/>
  <c r="N721" i="3"/>
  <c r="L721" i="3" s="1"/>
  <c r="Q721" i="3"/>
  <c r="R721" i="3"/>
  <c r="S721" i="3"/>
  <c r="T721" i="3"/>
  <c r="U721" i="3"/>
  <c r="V721" i="3"/>
  <c r="W721" i="3"/>
  <c r="X721" i="3"/>
  <c r="Y721" i="3"/>
  <c r="Z721" i="3"/>
  <c r="AA721" i="3"/>
  <c r="AB721" i="3"/>
  <c r="AE721" i="3"/>
  <c r="AF721" i="3"/>
  <c r="AG721" i="3"/>
  <c r="A722" i="3"/>
  <c r="B722" i="3"/>
  <c r="D722" i="3" s="1"/>
  <c r="C722" i="3"/>
  <c r="E722" i="3"/>
  <c r="F722" i="3"/>
  <c r="AC722" i="3" s="1"/>
  <c r="G722" i="3"/>
  <c r="H722" i="3"/>
  <c r="I722" i="3"/>
  <c r="J722" i="3"/>
  <c r="K722" i="3"/>
  <c r="M722" i="3"/>
  <c r="N722" i="3"/>
  <c r="L722" i="3" s="1"/>
  <c r="Q722" i="3"/>
  <c r="R722" i="3"/>
  <c r="S722" i="3"/>
  <c r="T722" i="3"/>
  <c r="U722" i="3"/>
  <c r="V722" i="3"/>
  <c r="W722" i="3"/>
  <c r="X722" i="3"/>
  <c r="Y722" i="3"/>
  <c r="Z722" i="3"/>
  <c r="AA722" i="3"/>
  <c r="AB722" i="3"/>
  <c r="AE722" i="3"/>
  <c r="AF722" i="3"/>
  <c r="AG722" i="3"/>
  <c r="A723" i="3"/>
  <c r="B723" i="3"/>
  <c r="D723" i="3" s="1"/>
  <c r="C723" i="3"/>
  <c r="E723" i="3"/>
  <c r="F723" i="3"/>
  <c r="AC723" i="3" s="1"/>
  <c r="G723" i="3"/>
  <c r="H723" i="3"/>
  <c r="I723" i="3"/>
  <c r="J723" i="3"/>
  <c r="K723" i="3"/>
  <c r="M723" i="3"/>
  <c r="N723" i="3"/>
  <c r="L723" i="3" s="1"/>
  <c r="Q723" i="3"/>
  <c r="R723" i="3"/>
  <c r="S723" i="3"/>
  <c r="T723" i="3"/>
  <c r="U723" i="3"/>
  <c r="V723" i="3"/>
  <c r="W723" i="3"/>
  <c r="X723" i="3"/>
  <c r="Y723" i="3"/>
  <c r="Z723" i="3"/>
  <c r="AA723" i="3"/>
  <c r="AB723" i="3"/>
  <c r="AE723" i="3"/>
  <c r="AF723" i="3"/>
  <c r="AG723" i="3"/>
  <c r="A724" i="3"/>
  <c r="B724" i="3"/>
  <c r="D724" i="3" s="1"/>
  <c r="C724" i="3"/>
  <c r="E724" i="3"/>
  <c r="F724" i="3"/>
  <c r="AC724" i="3" s="1"/>
  <c r="G724" i="3"/>
  <c r="H724" i="3"/>
  <c r="I724" i="3"/>
  <c r="J724" i="3"/>
  <c r="K724" i="3"/>
  <c r="M724" i="3"/>
  <c r="N724" i="3"/>
  <c r="L724" i="3" s="1"/>
  <c r="Q724" i="3"/>
  <c r="R724" i="3"/>
  <c r="S724" i="3"/>
  <c r="T724" i="3"/>
  <c r="U724" i="3"/>
  <c r="V724" i="3"/>
  <c r="W724" i="3"/>
  <c r="X724" i="3"/>
  <c r="Y724" i="3"/>
  <c r="Z724" i="3"/>
  <c r="AA724" i="3"/>
  <c r="AB724" i="3"/>
  <c r="AE724" i="3"/>
  <c r="AF724" i="3"/>
  <c r="AG724" i="3"/>
  <c r="A725" i="3"/>
  <c r="B725" i="3"/>
  <c r="D725" i="3" s="1"/>
  <c r="C725" i="3"/>
  <c r="E725" i="3"/>
  <c r="F725" i="3"/>
  <c r="AC725" i="3" s="1"/>
  <c r="G725" i="3"/>
  <c r="H725" i="3"/>
  <c r="I725" i="3"/>
  <c r="J725" i="3"/>
  <c r="K725" i="3"/>
  <c r="M725" i="3"/>
  <c r="N725" i="3"/>
  <c r="L725" i="3" s="1"/>
  <c r="Q725" i="3"/>
  <c r="R725" i="3"/>
  <c r="S725" i="3"/>
  <c r="T725" i="3"/>
  <c r="U725" i="3"/>
  <c r="V725" i="3"/>
  <c r="W725" i="3"/>
  <c r="X725" i="3"/>
  <c r="Y725" i="3"/>
  <c r="Z725" i="3"/>
  <c r="AA725" i="3"/>
  <c r="AB725" i="3"/>
  <c r="AE725" i="3"/>
  <c r="AF725" i="3"/>
  <c r="AG725" i="3"/>
  <c r="A726" i="3"/>
  <c r="B726" i="3"/>
  <c r="D726" i="3" s="1"/>
  <c r="C726" i="3"/>
  <c r="E726" i="3"/>
  <c r="F726" i="3"/>
  <c r="AC726" i="3" s="1"/>
  <c r="G726" i="3"/>
  <c r="H726" i="3"/>
  <c r="I726" i="3"/>
  <c r="J726" i="3"/>
  <c r="K726" i="3"/>
  <c r="M726" i="3"/>
  <c r="N726" i="3"/>
  <c r="L726" i="3" s="1"/>
  <c r="Q726" i="3"/>
  <c r="R726" i="3"/>
  <c r="S726" i="3"/>
  <c r="T726" i="3"/>
  <c r="U726" i="3"/>
  <c r="V726" i="3"/>
  <c r="W726" i="3"/>
  <c r="X726" i="3"/>
  <c r="Y726" i="3"/>
  <c r="Z726" i="3"/>
  <c r="AA726" i="3"/>
  <c r="AB726" i="3"/>
  <c r="AE726" i="3"/>
  <c r="AF726" i="3"/>
  <c r="AG726" i="3"/>
  <c r="A727" i="3"/>
  <c r="B727" i="3"/>
  <c r="D727" i="3" s="1"/>
  <c r="C727" i="3"/>
  <c r="E727" i="3"/>
  <c r="F727" i="3"/>
  <c r="AC727" i="3" s="1"/>
  <c r="G727" i="3"/>
  <c r="H727" i="3"/>
  <c r="I727" i="3"/>
  <c r="J727" i="3"/>
  <c r="K727" i="3"/>
  <c r="M727" i="3"/>
  <c r="N727" i="3"/>
  <c r="L727" i="3" s="1"/>
  <c r="Q727" i="3"/>
  <c r="R727" i="3"/>
  <c r="S727" i="3"/>
  <c r="T727" i="3"/>
  <c r="U727" i="3"/>
  <c r="V727" i="3"/>
  <c r="W727" i="3"/>
  <c r="X727" i="3"/>
  <c r="Y727" i="3"/>
  <c r="Z727" i="3"/>
  <c r="AA727" i="3"/>
  <c r="AB727" i="3"/>
  <c r="AE727" i="3"/>
  <c r="AF727" i="3"/>
  <c r="AG727" i="3"/>
  <c r="A728" i="3"/>
  <c r="B728" i="3"/>
  <c r="D728" i="3" s="1"/>
  <c r="C728" i="3"/>
  <c r="E728" i="3"/>
  <c r="F728" i="3"/>
  <c r="AC728" i="3" s="1"/>
  <c r="G728" i="3"/>
  <c r="H728" i="3"/>
  <c r="I728" i="3"/>
  <c r="J728" i="3"/>
  <c r="K728" i="3"/>
  <c r="M728" i="3"/>
  <c r="N728" i="3"/>
  <c r="L728" i="3" s="1"/>
  <c r="Q728" i="3"/>
  <c r="R728" i="3"/>
  <c r="S728" i="3"/>
  <c r="T728" i="3"/>
  <c r="U728" i="3"/>
  <c r="V728" i="3"/>
  <c r="W728" i="3"/>
  <c r="X728" i="3"/>
  <c r="Y728" i="3"/>
  <c r="Z728" i="3"/>
  <c r="AA728" i="3"/>
  <c r="AB728" i="3"/>
  <c r="AE728" i="3"/>
  <c r="AF728" i="3"/>
  <c r="AG728" i="3"/>
  <c r="A729" i="3"/>
  <c r="B729" i="3"/>
  <c r="D729" i="3" s="1"/>
  <c r="C729" i="3"/>
  <c r="E729" i="3"/>
  <c r="F729" i="3"/>
  <c r="AC729" i="3" s="1"/>
  <c r="G729" i="3"/>
  <c r="H729" i="3"/>
  <c r="I729" i="3"/>
  <c r="J729" i="3"/>
  <c r="K729" i="3"/>
  <c r="M729" i="3"/>
  <c r="N729" i="3"/>
  <c r="L729" i="3" s="1"/>
  <c r="Q729" i="3"/>
  <c r="R729" i="3"/>
  <c r="S729" i="3"/>
  <c r="T729" i="3"/>
  <c r="U729" i="3"/>
  <c r="V729" i="3"/>
  <c r="W729" i="3"/>
  <c r="X729" i="3"/>
  <c r="Y729" i="3"/>
  <c r="Z729" i="3"/>
  <c r="AA729" i="3"/>
  <c r="AB729" i="3"/>
  <c r="AE729" i="3"/>
  <c r="AF729" i="3"/>
  <c r="AG729" i="3"/>
  <c r="A730" i="3"/>
  <c r="B730" i="3"/>
  <c r="D730" i="3" s="1"/>
  <c r="C730" i="3"/>
  <c r="E730" i="3"/>
  <c r="F730" i="3"/>
  <c r="AC730" i="3" s="1"/>
  <c r="G730" i="3"/>
  <c r="H730" i="3"/>
  <c r="I730" i="3"/>
  <c r="J730" i="3"/>
  <c r="K730" i="3"/>
  <c r="M730" i="3"/>
  <c r="N730" i="3"/>
  <c r="L730" i="3" s="1"/>
  <c r="Q730" i="3"/>
  <c r="R730" i="3"/>
  <c r="S730" i="3"/>
  <c r="T730" i="3"/>
  <c r="U730" i="3"/>
  <c r="V730" i="3"/>
  <c r="W730" i="3"/>
  <c r="X730" i="3"/>
  <c r="Y730" i="3"/>
  <c r="Z730" i="3"/>
  <c r="AA730" i="3"/>
  <c r="AB730" i="3"/>
  <c r="AE730" i="3"/>
  <c r="AF730" i="3"/>
  <c r="AG730" i="3"/>
  <c r="A731" i="3"/>
  <c r="B731" i="3"/>
  <c r="D731" i="3" s="1"/>
  <c r="C731" i="3"/>
  <c r="E731" i="3"/>
  <c r="F731" i="3"/>
  <c r="AC731" i="3" s="1"/>
  <c r="G731" i="3"/>
  <c r="H731" i="3"/>
  <c r="I731" i="3"/>
  <c r="J731" i="3"/>
  <c r="K731" i="3"/>
  <c r="M731" i="3"/>
  <c r="N731" i="3"/>
  <c r="L731" i="3" s="1"/>
  <c r="Q731" i="3"/>
  <c r="R731" i="3"/>
  <c r="S731" i="3"/>
  <c r="T731" i="3"/>
  <c r="U731" i="3"/>
  <c r="V731" i="3"/>
  <c r="W731" i="3"/>
  <c r="X731" i="3"/>
  <c r="Y731" i="3"/>
  <c r="Z731" i="3"/>
  <c r="AA731" i="3"/>
  <c r="AB731" i="3"/>
  <c r="AE731" i="3"/>
  <c r="AF731" i="3"/>
  <c r="AG731" i="3"/>
  <c r="A732" i="3"/>
  <c r="B732" i="3"/>
  <c r="D732" i="3" s="1"/>
  <c r="C732" i="3"/>
  <c r="E732" i="3"/>
  <c r="F732" i="3"/>
  <c r="AC732" i="3" s="1"/>
  <c r="G732" i="3"/>
  <c r="H732" i="3"/>
  <c r="I732" i="3"/>
  <c r="J732" i="3"/>
  <c r="K732" i="3"/>
  <c r="M732" i="3"/>
  <c r="N732" i="3"/>
  <c r="L732" i="3" s="1"/>
  <c r="Q732" i="3"/>
  <c r="R732" i="3"/>
  <c r="S732" i="3"/>
  <c r="T732" i="3"/>
  <c r="U732" i="3"/>
  <c r="V732" i="3"/>
  <c r="W732" i="3"/>
  <c r="X732" i="3"/>
  <c r="Y732" i="3"/>
  <c r="Z732" i="3"/>
  <c r="AA732" i="3"/>
  <c r="AB732" i="3"/>
  <c r="AE732" i="3"/>
  <c r="AF732" i="3"/>
  <c r="AG732" i="3"/>
  <c r="A733" i="3"/>
  <c r="B733" i="3"/>
  <c r="D733" i="3" s="1"/>
  <c r="C733" i="3"/>
  <c r="E733" i="3"/>
  <c r="F733" i="3"/>
  <c r="AC733" i="3" s="1"/>
  <c r="G733" i="3"/>
  <c r="H733" i="3"/>
  <c r="I733" i="3"/>
  <c r="J733" i="3"/>
  <c r="K733" i="3"/>
  <c r="M733" i="3"/>
  <c r="N733" i="3"/>
  <c r="L733" i="3" s="1"/>
  <c r="Q733" i="3"/>
  <c r="R733" i="3"/>
  <c r="S733" i="3"/>
  <c r="T733" i="3"/>
  <c r="U733" i="3"/>
  <c r="V733" i="3"/>
  <c r="W733" i="3"/>
  <c r="X733" i="3"/>
  <c r="Y733" i="3"/>
  <c r="Z733" i="3"/>
  <c r="AA733" i="3"/>
  <c r="AB733" i="3"/>
  <c r="AE733" i="3"/>
  <c r="AF733" i="3"/>
  <c r="AG733" i="3"/>
  <c r="A734" i="3"/>
  <c r="B734" i="3"/>
  <c r="D734" i="3" s="1"/>
  <c r="C734" i="3"/>
  <c r="E734" i="3"/>
  <c r="F734" i="3"/>
  <c r="AC734" i="3" s="1"/>
  <c r="G734" i="3"/>
  <c r="H734" i="3"/>
  <c r="I734" i="3"/>
  <c r="J734" i="3"/>
  <c r="K734" i="3"/>
  <c r="M734" i="3"/>
  <c r="N734" i="3"/>
  <c r="L734" i="3" s="1"/>
  <c r="Q734" i="3"/>
  <c r="R734" i="3"/>
  <c r="S734" i="3"/>
  <c r="T734" i="3"/>
  <c r="U734" i="3"/>
  <c r="V734" i="3"/>
  <c r="W734" i="3"/>
  <c r="X734" i="3"/>
  <c r="Y734" i="3"/>
  <c r="Z734" i="3"/>
  <c r="AA734" i="3"/>
  <c r="AB734" i="3"/>
  <c r="AE734" i="3"/>
  <c r="AF734" i="3"/>
  <c r="AG734" i="3"/>
  <c r="A735" i="3"/>
  <c r="B735" i="3"/>
  <c r="D735" i="3" s="1"/>
  <c r="C735" i="3"/>
  <c r="E735" i="3"/>
  <c r="F735" i="3"/>
  <c r="AC735" i="3" s="1"/>
  <c r="G735" i="3"/>
  <c r="H735" i="3"/>
  <c r="I735" i="3"/>
  <c r="J735" i="3"/>
  <c r="K735" i="3"/>
  <c r="M735" i="3"/>
  <c r="N735" i="3"/>
  <c r="L735" i="3" s="1"/>
  <c r="Q735" i="3"/>
  <c r="R735" i="3"/>
  <c r="S735" i="3"/>
  <c r="T735" i="3"/>
  <c r="U735" i="3"/>
  <c r="V735" i="3"/>
  <c r="W735" i="3"/>
  <c r="X735" i="3"/>
  <c r="Y735" i="3"/>
  <c r="Z735" i="3"/>
  <c r="AA735" i="3"/>
  <c r="AB735" i="3"/>
  <c r="AE735" i="3"/>
  <c r="AF735" i="3"/>
  <c r="AG735" i="3"/>
  <c r="A736" i="3"/>
  <c r="B736" i="3"/>
  <c r="D736" i="3" s="1"/>
  <c r="C736" i="3"/>
  <c r="E736" i="3"/>
  <c r="F736" i="3"/>
  <c r="AC736" i="3" s="1"/>
  <c r="G736" i="3"/>
  <c r="H736" i="3"/>
  <c r="I736" i="3"/>
  <c r="J736" i="3"/>
  <c r="K736" i="3"/>
  <c r="M736" i="3"/>
  <c r="N736" i="3"/>
  <c r="L736" i="3" s="1"/>
  <c r="Q736" i="3"/>
  <c r="R736" i="3"/>
  <c r="S736" i="3"/>
  <c r="T736" i="3"/>
  <c r="U736" i="3"/>
  <c r="V736" i="3"/>
  <c r="W736" i="3"/>
  <c r="X736" i="3"/>
  <c r="Y736" i="3"/>
  <c r="Z736" i="3"/>
  <c r="AA736" i="3"/>
  <c r="AB736" i="3"/>
  <c r="AE736" i="3"/>
  <c r="AF736" i="3"/>
  <c r="AG736" i="3"/>
  <c r="A737" i="3"/>
  <c r="B737" i="3"/>
  <c r="D737" i="3" s="1"/>
  <c r="C737" i="3"/>
  <c r="E737" i="3"/>
  <c r="F737" i="3"/>
  <c r="AC737" i="3" s="1"/>
  <c r="G737" i="3"/>
  <c r="H737" i="3"/>
  <c r="I737" i="3"/>
  <c r="J737" i="3"/>
  <c r="K737" i="3"/>
  <c r="M737" i="3"/>
  <c r="N737" i="3"/>
  <c r="L737" i="3" s="1"/>
  <c r="Q737" i="3"/>
  <c r="R737" i="3"/>
  <c r="S737" i="3"/>
  <c r="T737" i="3"/>
  <c r="U737" i="3"/>
  <c r="V737" i="3"/>
  <c r="W737" i="3"/>
  <c r="X737" i="3"/>
  <c r="Y737" i="3"/>
  <c r="Z737" i="3"/>
  <c r="AA737" i="3"/>
  <c r="AB737" i="3"/>
  <c r="AE737" i="3"/>
  <c r="AF737" i="3"/>
  <c r="AG737" i="3"/>
  <c r="A738" i="3"/>
  <c r="B738" i="3"/>
  <c r="D738" i="3" s="1"/>
  <c r="C738" i="3"/>
  <c r="E738" i="3"/>
  <c r="F738" i="3"/>
  <c r="AC738" i="3" s="1"/>
  <c r="G738" i="3"/>
  <c r="H738" i="3"/>
  <c r="I738" i="3"/>
  <c r="J738" i="3"/>
  <c r="K738" i="3"/>
  <c r="M738" i="3"/>
  <c r="N738" i="3"/>
  <c r="L738" i="3" s="1"/>
  <c r="Q738" i="3"/>
  <c r="R738" i="3"/>
  <c r="S738" i="3"/>
  <c r="T738" i="3"/>
  <c r="U738" i="3"/>
  <c r="V738" i="3"/>
  <c r="W738" i="3"/>
  <c r="X738" i="3"/>
  <c r="Y738" i="3"/>
  <c r="Z738" i="3"/>
  <c r="AA738" i="3"/>
  <c r="AB738" i="3"/>
  <c r="AE738" i="3"/>
  <c r="AF738" i="3"/>
  <c r="AG738" i="3"/>
  <c r="A739" i="3"/>
  <c r="B739" i="3"/>
  <c r="D739" i="3" s="1"/>
  <c r="C739" i="3"/>
  <c r="E739" i="3"/>
  <c r="F739" i="3"/>
  <c r="AC739" i="3" s="1"/>
  <c r="G739" i="3"/>
  <c r="H739" i="3"/>
  <c r="I739" i="3"/>
  <c r="J739" i="3"/>
  <c r="K739" i="3"/>
  <c r="M739" i="3"/>
  <c r="N739" i="3"/>
  <c r="L739" i="3" s="1"/>
  <c r="Q739" i="3"/>
  <c r="R739" i="3"/>
  <c r="S739" i="3"/>
  <c r="T739" i="3"/>
  <c r="U739" i="3"/>
  <c r="V739" i="3"/>
  <c r="W739" i="3"/>
  <c r="X739" i="3"/>
  <c r="Y739" i="3"/>
  <c r="Z739" i="3"/>
  <c r="AA739" i="3"/>
  <c r="AB739" i="3"/>
  <c r="AE739" i="3"/>
  <c r="AF739" i="3"/>
  <c r="AG739" i="3"/>
  <c r="A740" i="3"/>
  <c r="B740" i="3"/>
  <c r="D740" i="3" s="1"/>
  <c r="C740" i="3"/>
  <c r="E740" i="3"/>
  <c r="F740" i="3"/>
  <c r="AC740" i="3" s="1"/>
  <c r="G740" i="3"/>
  <c r="H740" i="3"/>
  <c r="I740" i="3"/>
  <c r="J740" i="3"/>
  <c r="K740" i="3"/>
  <c r="M740" i="3"/>
  <c r="N740" i="3"/>
  <c r="L740" i="3" s="1"/>
  <c r="Q740" i="3"/>
  <c r="R740" i="3"/>
  <c r="S740" i="3"/>
  <c r="T740" i="3"/>
  <c r="U740" i="3"/>
  <c r="V740" i="3"/>
  <c r="W740" i="3"/>
  <c r="X740" i="3"/>
  <c r="Y740" i="3"/>
  <c r="Z740" i="3"/>
  <c r="AA740" i="3"/>
  <c r="AB740" i="3"/>
  <c r="AE740" i="3"/>
  <c r="AF740" i="3"/>
  <c r="AG740" i="3"/>
  <c r="A741" i="3"/>
  <c r="B741" i="3"/>
  <c r="D741" i="3" s="1"/>
  <c r="C741" i="3"/>
  <c r="E741" i="3"/>
  <c r="F741" i="3"/>
  <c r="AC741" i="3" s="1"/>
  <c r="G741" i="3"/>
  <c r="H741" i="3"/>
  <c r="I741" i="3"/>
  <c r="J741" i="3"/>
  <c r="K741" i="3"/>
  <c r="M741" i="3"/>
  <c r="N741" i="3"/>
  <c r="L741" i="3" s="1"/>
  <c r="Q741" i="3"/>
  <c r="R741" i="3"/>
  <c r="S741" i="3"/>
  <c r="T741" i="3"/>
  <c r="U741" i="3"/>
  <c r="V741" i="3"/>
  <c r="W741" i="3"/>
  <c r="X741" i="3"/>
  <c r="Y741" i="3"/>
  <c r="Z741" i="3"/>
  <c r="AA741" i="3"/>
  <c r="AB741" i="3"/>
  <c r="AE741" i="3"/>
  <c r="AF741" i="3"/>
  <c r="AG741" i="3"/>
  <c r="A742" i="3"/>
  <c r="B742" i="3"/>
  <c r="D742" i="3" s="1"/>
  <c r="C742" i="3"/>
  <c r="E742" i="3"/>
  <c r="F742" i="3"/>
  <c r="AC742" i="3" s="1"/>
  <c r="G742" i="3"/>
  <c r="H742" i="3"/>
  <c r="I742" i="3"/>
  <c r="J742" i="3"/>
  <c r="K742" i="3"/>
  <c r="M742" i="3"/>
  <c r="N742" i="3"/>
  <c r="L742" i="3" s="1"/>
  <c r="Q742" i="3"/>
  <c r="R742" i="3"/>
  <c r="S742" i="3"/>
  <c r="T742" i="3"/>
  <c r="U742" i="3"/>
  <c r="V742" i="3"/>
  <c r="W742" i="3"/>
  <c r="X742" i="3"/>
  <c r="Y742" i="3"/>
  <c r="Z742" i="3"/>
  <c r="AA742" i="3"/>
  <c r="AB742" i="3"/>
  <c r="AE742" i="3"/>
  <c r="AF742" i="3"/>
  <c r="AG742" i="3"/>
  <c r="A743" i="3"/>
  <c r="B743" i="3"/>
  <c r="D743" i="3" s="1"/>
  <c r="C743" i="3"/>
  <c r="E743" i="3"/>
  <c r="F743" i="3"/>
  <c r="AC743" i="3" s="1"/>
  <c r="G743" i="3"/>
  <c r="H743" i="3"/>
  <c r="I743" i="3"/>
  <c r="J743" i="3"/>
  <c r="K743" i="3"/>
  <c r="M743" i="3"/>
  <c r="N743" i="3"/>
  <c r="L743" i="3" s="1"/>
  <c r="Q743" i="3"/>
  <c r="R743" i="3"/>
  <c r="S743" i="3"/>
  <c r="T743" i="3"/>
  <c r="U743" i="3"/>
  <c r="V743" i="3"/>
  <c r="W743" i="3"/>
  <c r="X743" i="3"/>
  <c r="Y743" i="3"/>
  <c r="Z743" i="3"/>
  <c r="AA743" i="3"/>
  <c r="AB743" i="3"/>
  <c r="AE743" i="3"/>
  <c r="AF743" i="3"/>
  <c r="AG743" i="3"/>
  <c r="A744" i="3"/>
  <c r="B744" i="3"/>
  <c r="D744" i="3" s="1"/>
  <c r="C744" i="3"/>
  <c r="E744" i="3"/>
  <c r="F744" i="3"/>
  <c r="AC744" i="3" s="1"/>
  <c r="G744" i="3"/>
  <c r="H744" i="3"/>
  <c r="I744" i="3"/>
  <c r="J744" i="3"/>
  <c r="K744" i="3"/>
  <c r="M744" i="3"/>
  <c r="N744" i="3"/>
  <c r="L744" i="3" s="1"/>
  <c r="Q744" i="3"/>
  <c r="R744" i="3"/>
  <c r="S744" i="3"/>
  <c r="T744" i="3"/>
  <c r="U744" i="3"/>
  <c r="V744" i="3"/>
  <c r="W744" i="3"/>
  <c r="X744" i="3"/>
  <c r="Y744" i="3"/>
  <c r="Z744" i="3"/>
  <c r="AA744" i="3"/>
  <c r="AB744" i="3"/>
  <c r="AE744" i="3"/>
  <c r="AF744" i="3"/>
  <c r="AG744" i="3"/>
  <c r="A745" i="3"/>
  <c r="B745" i="3"/>
  <c r="D745" i="3" s="1"/>
  <c r="C745" i="3"/>
  <c r="E745" i="3"/>
  <c r="F745" i="3"/>
  <c r="AC745" i="3" s="1"/>
  <c r="G745" i="3"/>
  <c r="H745" i="3"/>
  <c r="I745" i="3"/>
  <c r="J745" i="3"/>
  <c r="K745" i="3"/>
  <c r="M745" i="3"/>
  <c r="N745" i="3"/>
  <c r="L745" i="3" s="1"/>
  <c r="Q745" i="3"/>
  <c r="R745" i="3"/>
  <c r="S745" i="3"/>
  <c r="T745" i="3"/>
  <c r="U745" i="3"/>
  <c r="V745" i="3"/>
  <c r="W745" i="3"/>
  <c r="X745" i="3"/>
  <c r="Y745" i="3"/>
  <c r="Z745" i="3"/>
  <c r="AA745" i="3"/>
  <c r="AB745" i="3"/>
  <c r="AE745" i="3"/>
  <c r="AF745" i="3"/>
  <c r="AG745" i="3"/>
  <c r="A746" i="3"/>
  <c r="B746" i="3"/>
  <c r="D746" i="3" s="1"/>
  <c r="C746" i="3"/>
  <c r="E746" i="3"/>
  <c r="F746" i="3"/>
  <c r="AC746" i="3" s="1"/>
  <c r="G746" i="3"/>
  <c r="H746" i="3"/>
  <c r="I746" i="3"/>
  <c r="J746" i="3"/>
  <c r="K746" i="3"/>
  <c r="M746" i="3"/>
  <c r="N746" i="3"/>
  <c r="L746" i="3" s="1"/>
  <c r="Q746" i="3"/>
  <c r="R746" i="3"/>
  <c r="S746" i="3"/>
  <c r="T746" i="3"/>
  <c r="U746" i="3"/>
  <c r="V746" i="3"/>
  <c r="W746" i="3"/>
  <c r="X746" i="3"/>
  <c r="Y746" i="3"/>
  <c r="Z746" i="3"/>
  <c r="AA746" i="3"/>
  <c r="AB746" i="3"/>
  <c r="AE746" i="3"/>
  <c r="AF746" i="3"/>
  <c r="AG746" i="3"/>
  <c r="A747" i="3"/>
  <c r="B747" i="3"/>
  <c r="D747" i="3" s="1"/>
  <c r="C747" i="3"/>
  <c r="E747" i="3"/>
  <c r="F747" i="3"/>
  <c r="AC747" i="3" s="1"/>
  <c r="G747" i="3"/>
  <c r="H747" i="3"/>
  <c r="I747" i="3"/>
  <c r="J747" i="3"/>
  <c r="K747" i="3"/>
  <c r="M747" i="3"/>
  <c r="N747" i="3"/>
  <c r="L747" i="3" s="1"/>
  <c r="Q747" i="3"/>
  <c r="R747" i="3"/>
  <c r="S747" i="3"/>
  <c r="T747" i="3"/>
  <c r="U747" i="3"/>
  <c r="V747" i="3"/>
  <c r="W747" i="3"/>
  <c r="X747" i="3"/>
  <c r="Y747" i="3"/>
  <c r="Z747" i="3"/>
  <c r="AA747" i="3"/>
  <c r="AB747" i="3"/>
  <c r="AE747" i="3"/>
  <c r="AF747" i="3"/>
  <c r="AG747" i="3"/>
  <c r="A748" i="3"/>
  <c r="B748" i="3"/>
  <c r="D748" i="3" s="1"/>
  <c r="C748" i="3"/>
  <c r="E748" i="3"/>
  <c r="F748" i="3"/>
  <c r="AC748" i="3" s="1"/>
  <c r="G748" i="3"/>
  <c r="H748" i="3"/>
  <c r="I748" i="3"/>
  <c r="J748" i="3"/>
  <c r="K748" i="3"/>
  <c r="M748" i="3"/>
  <c r="N748" i="3"/>
  <c r="L748" i="3" s="1"/>
  <c r="Q748" i="3"/>
  <c r="R748" i="3"/>
  <c r="S748" i="3"/>
  <c r="T748" i="3"/>
  <c r="U748" i="3"/>
  <c r="V748" i="3"/>
  <c r="W748" i="3"/>
  <c r="X748" i="3"/>
  <c r="Y748" i="3"/>
  <c r="Z748" i="3"/>
  <c r="AA748" i="3"/>
  <c r="AB748" i="3"/>
  <c r="AE748" i="3"/>
  <c r="AF748" i="3"/>
  <c r="AG748" i="3"/>
  <c r="A749" i="3"/>
  <c r="B749" i="3"/>
  <c r="D749" i="3" s="1"/>
  <c r="C749" i="3"/>
  <c r="E749" i="3"/>
  <c r="F749" i="3"/>
  <c r="AC749" i="3" s="1"/>
  <c r="G749" i="3"/>
  <c r="H749" i="3"/>
  <c r="I749" i="3"/>
  <c r="J749" i="3"/>
  <c r="K749" i="3"/>
  <c r="M749" i="3"/>
  <c r="N749" i="3"/>
  <c r="L749" i="3" s="1"/>
  <c r="Q749" i="3"/>
  <c r="R749" i="3"/>
  <c r="S749" i="3"/>
  <c r="T749" i="3"/>
  <c r="U749" i="3"/>
  <c r="V749" i="3"/>
  <c r="W749" i="3"/>
  <c r="X749" i="3"/>
  <c r="Y749" i="3"/>
  <c r="Z749" i="3"/>
  <c r="AA749" i="3"/>
  <c r="AB749" i="3"/>
  <c r="AE749" i="3"/>
  <c r="AF749" i="3"/>
  <c r="AG749" i="3"/>
  <c r="A750" i="3"/>
  <c r="B750" i="3"/>
  <c r="D750" i="3" s="1"/>
  <c r="C750" i="3"/>
  <c r="E750" i="3"/>
  <c r="F750" i="3"/>
  <c r="AC750" i="3" s="1"/>
  <c r="G750" i="3"/>
  <c r="H750" i="3"/>
  <c r="I750" i="3"/>
  <c r="J750" i="3"/>
  <c r="K750" i="3"/>
  <c r="M750" i="3"/>
  <c r="N750" i="3"/>
  <c r="L750" i="3" s="1"/>
  <c r="Q750" i="3"/>
  <c r="R750" i="3"/>
  <c r="S750" i="3"/>
  <c r="T750" i="3"/>
  <c r="U750" i="3"/>
  <c r="V750" i="3"/>
  <c r="W750" i="3"/>
  <c r="X750" i="3"/>
  <c r="Y750" i="3"/>
  <c r="Z750" i="3"/>
  <c r="AA750" i="3"/>
  <c r="AB750" i="3"/>
  <c r="AE750" i="3"/>
  <c r="AF750" i="3"/>
  <c r="AG750" i="3"/>
  <c r="A751" i="3"/>
  <c r="B751" i="3"/>
  <c r="D751" i="3" s="1"/>
  <c r="C751" i="3"/>
  <c r="E751" i="3"/>
  <c r="F751" i="3"/>
  <c r="AC751" i="3" s="1"/>
  <c r="G751" i="3"/>
  <c r="H751" i="3"/>
  <c r="I751" i="3"/>
  <c r="J751" i="3"/>
  <c r="K751" i="3"/>
  <c r="M751" i="3"/>
  <c r="N751" i="3"/>
  <c r="L751" i="3" s="1"/>
  <c r="Q751" i="3"/>
  <c r="R751" i="3"/>
  <c r="S751" i="3"/>
  <c r="T751" i="3"/>
  <c r="U751" i="3"/>
  <c r="V751" i="3"/>
  <c r="W751" i="3"/>
  <c r="X751" i="3"/>
  <c r="Y751" i="3"/>
  <c r="Z751" i="3"/>
  <c r="AA751" i="3"/>
  <c r="AB751" i="3"/>
  <c r="AE751" i="3"/>
  <c r="AF751" i="3"/>
  <c r="AG751" i="3"/>
  <c r="A752" i="3"/>
  <c r="B752" i="3"/>
  <c r="D752" i="3" s="1"/>
  <c r="C752" i="3"/>
  <c r="E752" i="3"/>
  <c r="F752" i="3"/>
  <c r="AC752" i="3" s="1"/>
  <c r="G752" i="3"/>
  <c r="H752" i="3"/>
  <c r="I752" i="3"/>
  <c r="J752" i="3"/>
  <c r="K752" i="3"/>
  <c r="M752" i="3"/>
  <c r="N752" i="3"/>
  <c r="L752" i="3" s="1"/>
  <c r="Q752" i="3"/>
  <c r="R752" i="3"/>
  <c r="S752" i="3"/>
  <c r="T752" i="3"/>
  <c r="U752" i="3"/>
  <c r="V752" i="3"/>
  <c r="W752" i="3"/>
  <c r="X752" i="3"/>
  <c r="Y752" i="3"/>
  <c r="Z752" i="3"/>
  <c r="AA752" i="3"/>
  <c r="AB752" i="3"/>
  <c r="AE752" i="3"/>
  <c r="AF752" i="3"/>
  <c r="AG752" i="3"/>
  <c r="A753" i="3"/>
  <c r="B753" i="3"/>
  <c r="D753" i="3" s="1"/>
  <c r="C753" i="3"/>
  <c r="E753" i="3"/>
  <c r="F753" i="3"/>
  <c r="AC753" i="3" s="1"/>
  <c r="G753" i="3"/>
  <c r="H753" i="3"/>
  <c r="I753" i="3"/>
  <c r="J753" i="3"/>
  <c r="K753" i="3"/>
  <c r="M753" i="3"/>
  <c r="N753" i="3"/>
  <c r="L753" i="3" s="1"/>
  <c r="Q753" i="3"/>
  <c r="R753" i="3"/>
  <c r="S753" i="3"/>
  <c r="T753" i="3"/>
  <c r="U753" i="3"/>
  <c r="V753" i="3"/>
  <c r="W753" i="3"/>
  <c r="X753" i="3"/>
  <c r="Y753" i="3"/>
  <c r="Z753" i="3"/>
  <c r="AA753" i="3"/>
  <c r="AB753" i="3"/>
  <c r="AE753" i="3"/>
  <c r="AF753" i="3"/>
  <c r="AG753" i="3"/>
  <c r="A754" i="3"/>
  <c r="B754" i="3"/>
  <c r="D754" i="3" s="1"/>
  <c r="C754" i="3"/>
  <c r="E754" i="3"/>
  <c r="F754" i="3"/>
  <c r="AC754" i="3" s="1"/>
  <c r="G754" i="3"/>
  <c r="H754" i="3"/>
  <c r="I754" i="3"/>
  <c r="J754" i="3"/>
  <c r="K754" i="3"/>
  <c r="M754" i="3"/>
  <c r="N754" i="3"/>
  <c r="L754" i="3" s="1"/>
  <c r="Q754" i="3"/>
  <c r="R754" i="3"/>
  <c r="S754" i="3"/>
  <c r="T754" i="3"/>
  <c r="U754" i="3"/>
  <c r="V754" i="3"/>
  <c r="W754" i="3"/>
  <c r="X754" i="3"/>
  <c r="Y754" i="3"/>
  <c r="Z754" i="3"/>
  <c r="AA754" i="3"/>
  <c r="AB754" i="3"/>
  <c r="AE754" i="3"/>
  <c r="AF754" i="3"/>
  <c r="AG754" i="3"/>
  <c r="A755" i="3"/>
  <c r="B755" i="3"/>
  <c r="D755" i="3" s="1"/>
  <c r="C755" i="3"/>
  <c r="E755" i="3"/>
  <c r="F755" i="3"/>
  <c r="AC755" i="3" s="1"/>
  <c r="G755" i="3"/>
  <c r="H755" i="3"/>
  <c r="I755" i="3"/>
  <c r="J755" i="3"/>
  <c r="K755" i="3"/>
  <c r="M755" i="3"/>
  <c r="N755" i="3"/>
  <c r="L755" i="3" s="1"/>
  <c r="Q755" i="3"/>
  <c r="R755" i="3"/>
  <c r="S755" i="3"/>
  <c r="T755" i="3"/>
  <c r="U755" i="3"/>
  <c r="V755" i="3"/>
  <c r="W755" i="3"/>
  <c r="X755" i="3"/>
  <c r="Y755" i="3"/>
  <c r="Z755" i="3"/>
  <c r="AA755" i="3"/>
  <c r="AB755" i="3"/>
  <c r="AE755" i="3"/>
  <c r="AF755" i="3"/>
  <c r="AG755" i="3"/>
  <c r="A756" i="3"/>
  <c r="B756" i="3"/>
  <c r="D756" i="3" s="1"/>
  <c r="C756" i="3"/>
  <c r="E756" i="3"/>
  <c r="F756" i="3"/>
  <c r="AC756" i="3" s="1"/>
  <c r="G756" i="3"/>
  <c r="H756" i="3"/>
  <c r="I756" i="3"/>
  <c r="J756" i="3"/>
  <c r="K756" i="3"/>
  <c r="M756" i="3"/>
  <c r="N756" i="3"/>
  <c r="L756" i="3" s="1"/>
  <c r="Q756" i="3"/>
  <c r="R756" i="3"/>
  <c r="S756" i="3"/>
  <c r="T756" i="3"/>
  <c r="U756" i="3"/>
  <c r="V756" i="3"/>
  <c r="W756" i="3"/>
  <c r="X756" i="3"/>
  <c r="Y756" i="3"/>
  <c r="Z756" i="3"/>
  <c r="AA756" i="3"/>
  <c r="AB756" i="3"/>
  <c r="AE756" i="3"/>
  <c r="AF756" i="3"/>
  <c r="AG756" i="3"/>
  <c r="A757" i="3"/>
  <c r="B757" i="3"/>
  <c r="D757" i="3" s="1"/>
  <c r="C757" i="3"/>
  <c r="E757" i="3"/>
  <c r="F757" i="3"/>
  <c r="AC757" i="3" s="1"/>
  <c r="G757" i="3"/>
  <c r="H757" i="3"/>
  <c r="I757" i="3"/>
  <c r="J757" i="3"/>
  <c r="K757" i="3"/>
  <c r="M757" i="3"/>
  <c r="N757" i="3"/>
  <c r="L757" i="3" s="1"/>
  <c r="Q757" i="3"/>
  <c r="R757" i="3"/>
  <c r="S757" i="3"/>
  <c r="T757" i="3"/>
  <c r="U757" i="3"/>
  <c r="V757" i="3"/>
  <c r="W757" i="3"/>
  <c r="X757" i="3"/>
  <c r="Y757" i="3"/>
  <c r="Z757" i="3"/>
  <c r="AA757" i="3"/>
  <c r="AB757" i="3"/>
  <c r="AE757" i="3"/>
  <c r="AF757" i="3"/>
  <c r="AG757" i="3"/>
  <c r="A758" i="3"/>
  <c r="B758" i="3"/>
  <c r="D758" i="3" s="1"/>
  <c r="C758" i="3"/>
  <c r="E758" i="3"/>
  <c r="F758" i="3"/>
  <c r="AC758" i="3" s="1"/>
  <c r="G758" i="3"/>
  <c r="H758" i="3"/>
  <c r="I758" i="3"/>
  <c r="J758" i="3"/>
  <c r="K758" i="3"/>
  <c r="M758" i="3"/>
  <c r="N758" i="3"/>
  <c r="L758" i="3" s="1"/>
  <c r="Q758" i="3"/>
  <c r="R758" i="3"/>
  <c r="S758" i="3"/>
  <c r="T758" i="3"/>
  <c r="U758" i="3"/>
  <c r="V758" i="3"/>
  <c r="W758" i="3"/>
  <c r="X758" i="3"/>
  <c r="Y758" i="3"/>
  <c r="Z758" i="3"/>
  <c r="AA758" i="3"/>
  <c r="AB758" i="3"/>
  <c r="AE758" i="3"/>
  <c r="AF758" i="3"/>
  <c r="AG758" i="3"/>
  <c r="A759" i="3"/>
  <c r="B759" i="3"/>
  <c r="D759" i="3" s="1"/>
  <c r="C759" i="3"/>
  <c r="E759" i="3"/>
  <c r="F759" i="3"/>
  <c r="AC759" i="3" s="1"/>
  <c r="G759" i="3"/>
  <c r="H759" i="3"/>
  <c r="I759" i="3"/>
  <c r="J759" i="3"/>
  <c r="K759" i="3"/>
  <c r="M759" i="3"/>
  <c r="N759" i="3"/>
  <c r="L759" i="3" s="1"/>
  <c r="Q759" i="3"/>
  <c r="R759" i="3"/>
  <c r="S759" i="3"/>
  <c r="T759" i="3"/>
  <c r="U759" i="3"/>
  <c r="V759" i="3"/>
  <c r="W759" i="3"/>
  <c r="X759" i="3"/>
  <c r="Y759" i="3"/>
  <c r="Z759" i="3"/>
  <c r="AA759" i="3"/>
  <c r="AB759" i="3"/>
  <c r="AE759" i="3"/>
  <c r="AF759" i="3"/>
  <c r="AG759" i="3"/>
  <c r="A760" i="3"/>
  <c r="B760" i="3"/>
  <c r="D760" i="3" s="1"/>
  <c r="C760" i="3"/>
  <c r="E760" i="3"/>
  <c r="F760" i="3"/>
  <c r="AC760" i="3" s="1"/>
  <c r="G760" i="3"/>
  <c r="H760" i="3"/>
  <c r="I760" i="3"/>
  <c r="J760" i="3"/>
  <c r="K760" i="3"/>
  <c r="M760" i="3"/>
  <c r="N760" i="3"/>
  <c r="L760" i="3" s="1"/>
  <c r="Q760" i="3"/>
  <c r="R760" i="3"/>
  <c r="S760" i="3"/>
  <c r="T760" i="3"/>
  <c r="U760" i="3"/>
  <c r="V760" i="3"/>
  <c r="W760" i="3"/>
  <c r="X760" i="3"/>
  <c r="Y760" i="3"/>
  <c r="Z760" i="3"/>
  <c r="AA760" i="3"/>
  <c r="AB760" i="3"/>
  <c r="AE760" i="3"/>
  <c r="AF760" i="3"/>
  <c r="AG760" i="3"/>
  <c r="A761" i="3"/>
  <c r="B761" i="3"/>
  <c r="D761" i="3" s="1"/>
  <c r="C761" i="3"/>
  <c r="E761" i="3"/>
  <c r="F761" i="3"/>
  <c r="AC761" i="3" s="1"/>
  <c r="G761" i="3"/>
  <c r="H761" i="3"/>
  <c r="I761" i="3"/>
  <c r="J761" i="3"/>
  <c r="K761" i="3"/>
  <c r="M761" i="3"/>
  <c r="N761" i="3"/>
  <c r="L761" i="3" s="1"/>
  <c r="Q761" i="3"/>
  <c r="R761" i="3"/>
  <c r="S761" i="3"/>
  <c r="T761" i="3"/>
  <c r="U761" i="3"/>
  <c r="V761" i="3"/>
  <c r="W761" i="3"/>
  <c r="X761" i="3"/>
  <c r="Y761" i="3"/>
  <c r="Z761" i="3"/>
  <c r="AA761" i="3"/>
  <c r="AB761" i="3"/>
  <c r="AE761" i="3"/>
  <c r="AF761" i="3"/>
  <c r="AG761" i="3"/>
  <c r="A762" i="3"/>
  <c r="B762" i="3"/>
  <c r="D762" i="3" s="1"/>
  <c r="C762" i="3"/>
  <c r="E762" i="3"/>
  <c r="F762" i="3"/>
  <c r="AC762" i="3" s="1"/>
  <c r="G762" i="3"/>
  <c r="H762" i="3"/>
  <c r="I762" i="3"/>
  <c r="J762" i="3"/>
  <c r="K762" i="3"/>
  <c r="M762" i="3"/>
  <c r="N762" i="3"/>
  <c r="L762" i="3" s="1"/>
  <c r="Q762" i="3"/>
  <c r="R762" i="3"/>
  <c r="S762" i="3"/>
  <c r="T762" i="3"/>
  <c r="U762" i="3"/>
  <c r="V762" i="3"/>
  <c r="W762" i="3"/>
  <c r="X762" i="3"/>
  <c r="Y762" i="3"/>
  <c r="Z762" i="3"/>
  <c r="AA762" i="3"/>
  <c r="AB762" i="3"/>
  <c r="AE762" i="3"/>
  <c r="AF762" i="3"/>
  <c r="AG762" i="3"/>
  <c r="A763" i="3"/>
  <c r="B763" i="3"/>
  <c r="D763" i="3" s="1"/>
  <c r="C763" i="3"/>
  <c r="E763" i="3"/>
  <c r="F763" i="3"/>
  <c r="AC763" i="3" s="1"/>
  <c r="G763" i="3"/>
  <c r="H763" i="3"/>
  <c r="I763" i="3"/>
  <c r="J763" i="3"/>
  <c r="K763" i="3"/>
  <c r="M763" i="3"/>
  <c r="N763" i="3"/>
  <c r="L763" i="3" s="1"/>
  <c r="Q763" i="3"/>
  <c r="R763" i="3"/>
  <c r="S763" i="3"/>
  <c r="T763" i="3"/>
  <c r="U763" i="3"/>
  <c r="V763" i="3"/>
  <c r="W763" i="3"/>
  <c r="X763" i="3"/>
  <c r="Y763" i="3"/>
  <c r="Z763" i="3"/>
  <c r="AA763" i="3"/>
  <c r="AB763" i="3"/>
  <c r="AE763" i="3"/>
  <c r="AF763" i="3"/>
  <c r="AG763" i="3"/>
  <c r="A764" i="3"/>
  <c r="B764" i="3"/>
  <c r="D764" i="3" s="1"/>
  <c r="C764" i="3"/>
  <c r="E764" i="3"/>
  <c r="F764" i="3"/>
  <c r="AC764" i="3" s="1"/>
  <c r="G764" i="3"/>
  <c r="H764" i="3"/>
  <c r="I764" i="3"/>
  <c r="J764" i="3"/>
  <c r="K764" i="3"/>
  <c r="M764" i="3"/>
  <c r="N764" i="3"/>
  <c r="L764" i="3" s="1"/>
  <c r="Q764" i="3"/>
  <c r="R764" i="3"/>
  <c r="S764" i="3"/>
  <c r="T764" i="3"/>
  <c r="U764" i="3"/>
  <c r="V764" i="3"/>
  <c r="W764" i="3"/>
  <c r="X764" i="3"/>
  <c r="Y764" i="3"/>
  <c r="Z764" i="3"/>
  <c r="AA764" i="3"/>
  <c r="AB764" i="3"/>
  <c r="AE764" i="3"/>
  <c r="AF764" i="3"/>
  <c r="AG764" i="3"/>
  <c r="A765" i="3"/>
  <c r="B765" i="3"/>
  <c r="D765" i="3" s="1"/>
  <c r="C765" i="3"/>
  <c r="E765" i="3"/>
  <c r="F765" i="3"/>
  <c r="AC765" i="3" s="1"/>
  <c r="G765" i="3"/>
  <c r="H765" i="3"/>
  <c r="I765" i="3"/>
  <c r="J765" i="3"/>
  <c r="K765" i="3"/>
  <c r="M765" i="3"/>
  <c r="N765" i="3"/>
  <c r="L765" i="3" s="1"/>
  <c r="Q765" i="3"/>
  <c r="R765" i="3"/>
  <c r="S765" i="3"/>
  <c r="T765" i="3"/>
  <c r="U765" i="3"/>
  <c r="V765" i="3"/>
  <c r="W765" i="3"/>
  <c r="X765" i="3"/>
  <c r="Y765" i="3"/>
  <c r="Z765" i="3"/>
  <c r="AA765" i="3"/>
  <c r="AB765" i="3"/>
  <c r="AE765" i="3"/>
  <c r="AF765" i="3"/>
  <c r="AG765" i="3"/>
  <c r="A766" i="3"/>
  <c r="B766" i="3"/>
  <c r="D766" i="3" s="1"/>
  <c r="C766" i="3"/>
  <c r="E766" i="3"/>
  <c r="F766" i="3"/>
  <c r="AC766" i="3" s="1"/>
  <c r="G766" i="3"/>
  <c r="H766" i="3"/>
  <c r="I766" i="3"/>
  <c r="J766" i="3"/>
  <c r="K766" i="3"/>
  <c r="M766" i="3"/>
  <c r="N766" i="3"/>
  <c r="L766" i="3" s="1"/>
  <c r="Q766" i="3"/>
  <c r="R766" i="3"/>
  <c r="S766" i="3"/>
  <c r="T766" i="3"/>
  <c r="U766" i="3"/>
  <c r="V766" i="3"/>
  <c r="W766" i="3"/>
  <c r="X766" i="3"/>
  <c r="Y766" i="3"/>
  <c r="Z766" i="3"/>
  <c r="AA766" i="3"/>
  <c r="AB766" i="3"/>
  <c r="AE766" i="3"/>
  <c r="AF766" i="3"/>
  <c r="AG766" i="3"/>
  <c r="A767" i="3"/>
  <c r="B767" i="3"/>
  <c r="D767" i="3" s="1"/>
  <c r="C767" i="3"/>
  <c r="E767" i="3"/>
  <c r="F767" i="3"/>
  <c r="AC767" i="3" s="1"/>
  <c r="G767" i="3"/>
  <c r="H767" i="3"/>
  <c r="I767" i="3"/>
  <c r="J767" i="3"/>
  <c r="K767" i="3"/>
  <c r="M767" i="3"/>
  <c r="N767" i="3"/>
  <c r="L767" i="3" s="1"/>
  <c r="Q767" i="3"/>
  <c r="R767" i="3"/>
  <c r="S767" i="3"/>
  <c r="T767" i="3"/>
  <c r="U767" i="3"/>
  <c r="V767" i="3"/>
  <c r="W767" i="3"/>
  <c r="X767" i="3"/>
  <c r="Y767" i="3"/>
  <c r="Z767" i="3"/>
  <c r="AA767" i="3"/>
  <c r="AB767" i="3"/>
  <c r="AE767" i="3"/>
  <c r="AF767" i="3"/>
  <c r="AG767" i="3"/>
  <c r="A768" i="3"/>
  <c r="B768" i="3"/>
  <c r="D768" i="3" s="1"/>
  <c r="C768" i="3"/>
  <c r="E768" i="3"/>
  <c r="F768" i="3"/>
  <c r="AC768" i="3" s="1"/>
  <c r="G768" i="3"/>
  <c r="H768" i="3"/>
  <c r="I768" i="3"/>
  <c r="J768" i="3"/>
  <c r="K768" i="3"/>
  <c r="M768" i="3"/>
  <c r="N768" i="3"/>
  <c r="L768" i="3" s="1"/>
  <c r="Q768" i="3"/>
  <c r="R768" i="3"/>
  <c r="S768" i="3"/>
  <c r="T768" i="3"/>
  <c r="U768" i="3"/>
  <c r="V768" i="3"/>
  <c r="W768" i="3"/>
  <c r="X768" i="3"/>
  <c r="Y768" i="3"/>
  <c r="Z768" i="3"/>
  <c r="AA768" i="3"/>
  <c r="AB768" i="3"/>
  <c r="AE768" i="3"/>
  <c r="AF768" i="3"/>
  <c r="AG768" i="3"/>
  <c r="A769" i="3"/>
  <c r="B769" i="3"/>
  <c r="D769" i="3" s="1"/>
  <c r="C769" i="3"/>
  <c r="E769" i="3"/>
  <c r="F769" i="3"/>
  <c r="AC769" i="3" s="1"/>
  <c r="G769" i="3"/>
  <c r="H769" i="3"/>
  <c r="I769" i="3"/>
  <c r="J769" i="3"/>
  <c r="K769" i="3"/>
  <c r="M769" i="3"/>
  <c r="N769" i="3"/>
  <c r="L769" i="3" s="1"/>
  <c r="Q769" i="3"/>
  <c r="R769" i="3"/>
  <c r="S769" i="3"/>
  <c r="T769" i="3"/>
  <c r="U769" i="3"/>
  <c r="V769" i="3"/>
  <c r="W769" i="3"/>
  <c r="X769" i="3"/>
  <c r="Y769" i="3"/>
  <c r="Z769" i="3"/>
  <c r="AA769" i="3"/>
  <c r="AB769" i="3"/>
  <c r="AE769" i="3"/>
  <c r="AF769" i="3"/>
  <c r="AG769" i="3"/>
  <c r="A770" i="3"/>
  <c r="B770" i="3"/>
  <c r="D770" i="3" s="1"/>
  <c r="C770" i="3"/>
  <c r="E770" i="3"/>
  <c r="F770" i="3"/>
  <c r="AC770" i="3" s="1"/>
  <c r="G770" i="3"/>
  <c r="H770" i="3"/>
  <c r="I770" i="3"/>
  <c r="J770" i="3"/>
  <c r="K770" i="3"/>
  <c r="M770" i="3"/>
  <c r="N770" i="3"/>
  <c r="L770" i="3" s="1"/>
  <c r="Q770" i="3"/>
  <c r="R770" i="3"/>
  <c r="S770" i="3"/>
  <c r="T770" i="3"/>
  <c r="U770" i="3"/>
  <c r="V770" i="3"/>
  <c r="W770" i="3"/>
  <c r="X770" i="3"/>
  <c r="Y770" i="3"/>
  <c r="Z770" i="3"/>
  <c r="AA770" i="3"/>
  <c r="AB770" i="3"/>
  <c r="AE770" i="3"/>
  <c r="AF770" i="3"/>
  <c r="AG770" i="3"/>
  <c r="A771" i="3"/>
  <c r="B771" i="3"/>
  <c r="D771" i="3" s="1"/>
  <c r="C771" i="3"/>
  <c r="E771" i="3"/>
  <c r="F771" i="3"/>
  <c r="AC771" i="3" s="1"/>
  <c r="G771" i="3"/>
  <c r="H771" i="3"/>
  <c r="I771" i="3"/>
  <c r="J771" i="3"/>
  <c r="K771" i="3"/>
  <c r="M771" i="3"/>
  <c r="N771" i="3"/>
  <c r="L771" i="3" s="1"/>
  <c r="Q771" i="3"/>
  <c r="R771" i="3"/>
  <c r="S771" i="3"/>
  <c r="T771" i="3"/>
  <c r="U771" i="3"/>
  <c r="V771" i="3"/>
  <c r="W771" i="3"/>
  <c r="X771" i="3"/>
  <c r="Y771" i="3"/>
  <c r="Z771" i="3"/>
  <c r="AA771" i="3"/>
  <c r="AB771" i="3"/>
  <c r="AE771" i="3"/>
  <c r="AF771" i="3"/>
  <c r="AG771" i="3"/>
  <c r="A772" i="3"/>
  <c r="B772" i="3"/>
  <c r="D772" i="3" s="1"/>
  <c r="C772" i="3"/>
  <c r="E772" i="3"/>
  <c r="F772" i="3"/>
  <c r="AC772" i="3" s="1"/>
  <c r="G772" i="3"/>
  <c r="H772" i="3"/>
  <c r="I772" i="3"/>
  <c r="J772" i="3"/>
  <c r="K772" i="3"/>
  <c r="M772" i="3"/>
  <c r="N772" i="3"/>
  <c r="L772" i="3" s="1"/>
  <c r="Q772" i="3"/>
  <c r="R772" i="3"/>
  <c r="S772" i="3"/>
  <c r="T772" i="3"/>
  <c r="U772" i="3"/>
  <c r="V772" i="3"/>
  <c r="W772" i="3"/>
  <c r="X772" i="3"/>
  <c r="Y772" i="3"/>
  <c r="Z772" i="3"/>
  <c r="AA772" i="3"/>
  <c r="AB772" i="3"/>
  <c r="AE772" i="3"/>
  <c r="AF772" i="3"/>
  <c r="AG772" i="3"/>
  <c r="A773" i="3"/>
  <c r="B773" i="3"/>
  <c r="D773" i="3" s="1"/>
  <c r="C773" i="3"/>
  <c r="E773" i="3"/>
  <c r="F773" i="3"/>
  <c r="AC773" i="3" s="1"/>
  <c r="G773" i="3"/>
  <c r="H773" i="3"/>
  <c r="I773" i="3"/>
  <c r="J773" i="3"/>
  <c r="K773" i="3"/>
  <c r="M773" i="3"/>
  <c r="N773" i="3"/>
  <c r="L773" i="3" s="1"/>
  <c r="Q773" i="3"/>
  <c r="R773" i="3"/>
  <c r="S773" i="3"/>
  <c r="T773" i="3"/>
  <c r="U773" i="3"/>
  <c r="V773" i="3"/>
  <c r="W773" i="3"/>
  <c r="X773" i="3"/>
  <c r="Y773" i="3"/>
  <c r="Z773" i="3"/>
  <c r="AA773" i="3"/>
  <c r="AB773" i="3"/>
  <c r="AE773" i="3"/>
  <c r="AF773" i="3"/>
  <c r="AG773" i="3"/>
  <c r="A774" i="3"/>
  <c r="B774" i="3"/>
  <c r="D774" i="3" s="1"/>
  <c r="C774" i="3"/>
  <c r="E774" i="3"/>
  <c r="F774" i="3"/>
  <c r="AC774" i="3" s="1"/>
  <c r="G774" i="3"/>
  <c r="H774" i="3"/>
  <c r="I774" i="3"/>
  <c r="J774" i="3"/>
  <c r="K774" i="3"/>
  <c r="M774" i="3"/>
  <c r="N774" i="3"/>
  <c r="L774" i="3" s="1"/>
  <c r="Q774" i="3"/>
  <c r="R774" i="3"/>
  <c r="S774" i="3"/>
  <c r="T774" i="3"/>
  <c r="U774" i="3"/>
  <c r="V774" i="3"/>
  <c r="W774" i="3"/>
  <c r="X774" i="3"/>
  <c r="Y774" i="3"/>
  <c r="Z774" i="3"/>
  <c r="AA774" i="3"/>
  <c r="AB774" i="3"/>
  <c r="AE774" i="3"/>
  <c r="AF774" i="3"/>
  <c r="AG774" i="3"/>
  <c r="A775" i="3"/>
  <c r="B775" i="3"/>
  <c r="D775" i="3" s="1"/>
  <c r="C775" i="3"/>
  <c r="E775" i="3"/>
  <c r="F775" i="3"/>
  <c r="AC775" i="3" s="1"/>
  <c r="G775" i="3"/>
  <c r="H775" i="3"/>
  <c r="I775" i="3"/>
  <c r="J775" i="3"/>
  <c r="K775" i="3"/>
  <c r="M775" i="3"/>
  <c r="N775" i="3"/>
  <c r="L775" i="3" s="1"/>
  <c r="Q775" i="3"/>
  <c r="R775" i="3"/>
  <c r="S775" i="3"/>
  <c r="T775" i="3"/>
  <c r="U775" i="3"/>
  <c r="V775" i="3"/>
  <c r="W775" i="3"/>
  <c r="X775" i="3"/>
  <c r="Y775" i="3"/>
  <c r="Z775" i="3"/>
  <c r="AA775" i="3"/>
  <c r="AB775" i="3"/>
  <c r="AE775" i="3"/>
  <c r="AF775" i="3"/>
  <c r="AG775" i="3"/>
  <c r="A776" i="3"/>
  <c r="B776" i="3"/>
  <c r="D776" i="3" s="1"/>
  <c r="C776" i="3"/>
  <c r="E776" i="3"/>
  <c r="F776" i="3"/>
  <c r="AC776" i="3" s="1"/>
  <c r="G776" i="3"/>
  <c r="H776" i="3"/>
  <c r="I776" i="3"/>
  <c r="J776" i="3"/>
  <c r="K776" i="3"/>
  <c r="M776" i="3"/>
  <c r="N776" i="3"/>
  <c r="L776" i="3" s="1"/>
  <c r="Q776" i="3"/>
  <c r="R776" i="3"/>
  <c r="S776" i="3"/>
  <c r="T776" i="3"/>
  <c r="U776" i="3"/>
  <c r="V776" i="3"/>
  <c r="W776" i="3"/>
  <c r="X776" i="3"/>
  <c r="Y776" i="3"/>
  <c r="Z776" i="3"/>
  <c r="AA776" i="3"/>
  <c r="AB776" i="3"/>
  <c r="AE776" i="3"/>
  <c r="AF776" i="3"/>
  <c r="AG776" i="3"/>
  <c r="A777" i="3"/>
  <c r="B777" i="3"/>
  <c r="D777" i="3" s="1"/>
  <c r="C777" i="3"/>
  <c r="E777" i="3"/>
  <c r="F777" i="3"/>
  <c r="AC777" i="3" s="1"/>
  <c r="G777" i="3"/>
  <c r="H777" i="3"/>
  <c r="I777" i="3"/>
  <c r="J777" i="3"/>
  <c r="K777" i="3"/>
  <c r="M777" i="3"/>
  <c r="N777" i="3"/>
  <c r="L777" i="3" s="1"/>
  <c r="Q777" i="3"/>
  <c r="R777" i="3"/>
  <c r="S777" i="3"/>
  <c r="T777" i="3"/>
  <c r="U777" i="3"/>
  <c r="V777" i="3"/>
  <c r="W777" i="3"/>
  <c r="X777" i="3"/>
  <c r="Y777" i="3"/>
  <c r="Z777" i="3"/>
  <c r="AA777" i="3"/>
  <c r="AB777" i="3"/>
  <c r="AE777" i="3"/>
  <c r="AF777" i="3"/>
  <c r="AG777" i="3"/>
  <c r="A778" i="3"/>
  <c r="B778" i="3"/>
  <c r="D778" i="3" s="1"/>
  <c r="C778" i="3"/>
  <c r="E778" i="3"/>
  <c r="F778" i="3"/>
  <c r="AC778" i="3" s="1"/>
  <c r="G778" i="3"/>
  <c r="H778" i="3"/>
  <c r="I778" i="3"/>
  <c r="J778" i="3"/>
  <c r="K778" i="3"/>
  <c r="M778" i="3"/>
  <c r="N778" i="3"/>
  <c r="L778" i="3" s="1"/>
  <c r="Q778" i="3"/>
  <c r="R778" i="3"/>
  <c r="S778" i="3"/>
  <c r="T778" i="3"/>
  <c r="U778" i="3"/>
  <c r="V778" i="3"/>
  <c r="W778" i="3"/>
  <c r="X778" i="3"/>
  <c r="Y778" i="3"/>
  <c r="Z778" i="3"/>
  <c r="AA778" i="3"/>
  <c r="AB778" i="3"/>
  <c r="AE778" i="3"/>
  <c r="AF778" i="3"/>
  <c r="AG778" i="3"/>
  <c r="A779" i="3"/>
  <c r="B779" i="3"/>
  <c r="D779" i="3" s="1"/>
  <c r="C779" i="3"/>
  <c r="E779" i="3"/>
  <c r="F779" i="3"/>
  <c r="AC779" i="3" s="1"/>
  <c r="G779" i="3"/>
  <c r="H779" i="3"/>
  <c r="I779" i="3"/>
  <c r="J779" i="3"/>
  <c r="K779" i="3"/>
  <c r="M779" i="3"/>
  <c r="N779" i="3"/>
  <c r="L779" i="3" s="1"/>
  <c r="Q779" i="3"/>
  <c r="R779" i="3"/>
  <c r="S779" i="3"/>
  <c r="T779" i="3"/>
  <c r="U779" i="3"/>
  <c r="V779" i="3"/>
  <c r="W779" i="3"/>
  <c r="X779" i="3"/>
  <c r="Y779" i="3"/>
  <c r="Z779" i="3"/>
  <c r="AA779" i="3"/>
  <c r="AB779" i="3"/>
  <c r="AE779" i="3"/>
  <c r="AF779" i="3"/>
  <c r="AG779" i="3"/>
  <c r="A780" i="3"/>
  <c r="B780" i="3"/>
  <c r="D780" i="3" s="1"/>
  <c r="C780" i="3"/>
  <c r="E780" i="3"/>
  <c r="F780" i="3"/>
  <c r="AC780" i="3" s="1"/>
  <c r="G780" i="3"/>
  <c r="H780" i="3"/>
  <c r="I780" i="3"/>
  <c r="J780" i="3"/>
  <c r="K780" i="3"/>
  <c r="M780" i="3"/>
  <c r="N780" i="3"/>
  <c r="L780" i="3" s="1"/>
  <c r="Q780" i="3"/>
  <c r="R780" i="3"/>
  <c r="S780" i="3"/>
  <c r="T780" i="3"/>
  <c r="U780" i="3"/>
  <c r="V780" i="3"/>
  <c r="W780" i="3"/>
  <c r="X780" i="3"/>
  <c r="Y780" i="3"/>
  <c r="Z780" i="3"/>
  <c r="AA780" i="3"/>
  <c r="AB780" i="3"/>
  <c r="AE780" i="3"/>
  <c r="AF780" i="3"/>
  <c r="AG780" i="3"/>
  <c r="A781" i="3"/>
  <c r="B781" i="3"/>
  <c r="D781" i="3" s="1"/>
  <c r="C781" i="3"/>
  <c r="E781" i="3"/>
  <c r="F781" i="3"/>
  <c r="AC781" i="3" s="1"/>
  <c r="G781" i="3"/>
  <c r="H781" i="3"/>
  <c r="I781" i="3"/>
  <c r="J781" i="3"/>
  <c r="K781" i="3"/>
  <c r="M781" i="3"/>
  <c r="N781" i="3"/>
  <c r="L781" i="3" s="1"/>
  <c r="Q781" i="3"/>
  <c r="R781" i="3"/>
  <c r="S781" i="3"/>
  <c r="T781" i="3"/>
  <c r="U781" i="3"/>
  <c r="V781" i="3"/>
  <c r="W781" i="3"/>
  <c r="X781" i="3"/>
  <c r="Y781" i="3"/>
  <c r="Z781" i="3"/>
  <c r="AA781" i="3"/>
  <c r="AB781" i="3"/>
  <c r="AE781" i="3"/>
  <c r="AF781" i="3"/>
  <c r="AG781" i="3"/>
  <c r="A782" i="3"/>
  <c r="B782" i="3"/>
  <c r="D782" i="3" s="1"/>
  <c r="C782" i="3"/>
  <c r="E782" i="3"/>
  <c r="F782" i="3"/>
  <c r="AC782" i="3" s="1"/>
  <c r="G782" i="3"/>
  <c r="H782" i="3"/>
  <c r="I782" i="3"/>
  <c r="J782" i="3"/>
  <c r="K782" i="3"/>
  <c r="M782" i="3"/>
  <c r="N782" i="3"/>
  <c r="L782" i="3" s="1"/>
  <c r="Q782" i="3"/>
  <c r="R782" i="3"/>
  <c r="S782" i="3"/>
  <c r="T782" i="3"/>
  <c r="U782" i="3"/>
  <c r="V782" i="3"/>
  <c r="W782" i="3"/>
  <c r="X782" i="3"/>
  <c r="Y782" i="3"/>
  <c r="Z782" i="3"/>
  <c r="AA782" i="3"/>
  <c r="AB782" i="3"/>
  <c r="AE782" i="3"/>
  <c r="AF782" i="3"/>
  <c r="AG782" i="3"/>
  <c r="A783" i="3"/>
  <c r="B783" i="3"/>
  <c r="D783" i="3" s="1"/>
  <c r="C783" i="3"/>
  <c r="E783" i="3"/>
  <c r="F783" i="3"/>
  <c r="AC783" i="3" s="1"/>
  <c r="G783" i="3"/>
  <c r="H783" i="3"/>
  <c r="I783" i="3"/>
  <c r="J783" i="3"/>
  <c r="K783" i="3"/>
  <c r="M783" i="3"/>
  <c r="N783" i="3"/>
  <c r="L783" i="3" s="1"/>
  <c r="Q783" i="3"/>
  <c r="R783" i="3"/>
  <c r="S783" i="3"/>
  <c r="T783" i="3"/>
  <c r="U783" i="3"/>
  <c r="V783" i="3"/>
  <c r="W783" i="3"/>
  <c r="X783" i="3"/>
  <c r="Y783" i="3"/>
  <c r="Z783" i="3"/>
  <c r="AA783" i="3"/>
  <c r="AB783" i="3"/>
  <c r="AE783" i="3"/>
  <c r="AF783" i="3"/>
  <c r="AG783" i="3"/>
  <c r="A784" i="3"/>
  <c r="B784" i="3"/>
  <c r="D784" i="3" s="1"/>
  <c r="C784" i="3"/>
  <c r="E784" i="3"/>
  <c r="F784" i="3"/>
  <c r="AC784" i="3" s="1"/>
  <c r="G784" i="3"/>
  <c r="H784" i="3"/>
  <c r="I784" i="3"/>
  <c r="J784" i="3"/>
  <c r="K784" i="3"/>
  <c r="M784" i="3"/>
  <c r="N784" i="3"/>
  <c r="L784" i="3" s="1"/>
  <c r="Q784" i="3"/>
  <c r="R784" i="3"/>
  <c r="S784" i="3"/>
  <c r="T784" i="3"/>
  <c r="U784" i="3"/>
  <c r="V784" i="3"/>
  <c r="W784" i="3"/>
  <c r="X784" i="3"/>
  <c r="Y784" i="3"/>
  <c r="Z784" i="3"/>
  <c r="AA784" i="3"/>
  <c r="AB784" i="3"/>
  <c r="AE784" i="3"/>
  <c r="AF784" i="3"/>
  <c r="AG784" i="3"/>
  <c r="A785" i="3"/>
  <c r="B785" i="3"/>
  <c r="D785" i="3" s="1"/>
  <c r="C785" i="3"/>
  <c r="E785" i="3"/>
  <c r="F785" i="3"/>
  <c r="AC785" i="3" s="1"/>
  <c r="G785" i="3"/>
  <c r="H785" i="3"/>
  <c r="I785" i="3"/>
  <c r="J785" i="3"/>
  <c r="K785" i="3"/>
  <c r="M785" i="3"/>
  <c r="N785" i="3"/>
  <c r="L785" i="3" s="1"/>
  <c r="Q785" i="3"/>
  <c r="R785" i="3"/>
  <c r="S785" i="3"/>
  <c r="T785" i="3"/>
  <c r="U785" i="3"/>
  <c r="V785" i="3"/>
  <c r="W785" i="3"/>
  <c r="X785" i="3"/>
  <c r="Y785" i="3"/>
  <c r="Z785" i="3"/>
  <c r="AA785" i="3"/>
  <c r="AB785" i="3"/>
  <c r="AE785" i="3"/>
  <c r="AF785" i="3"/>
  <c r="AG785" i="3"/>
  <c r="A786" i="3"/>
  <c r="B786" i="3"/>
  <c r="D786" i="3" s="1"/>
  <c r="C786" i="3"/>
  <c r="E786" i="3"/>
  <c r="F786" i="3"/>
  <c r="AC786" i="3" s="1"/>
  <c r="G786" i="3"/>
  <c r="H786" i="3"/>
  <c r="I786" i="3"/>
  <c r="J786" i="3"/>
  <c r="K786" i="3"/>
  <c r="M786" i="3"/>
  <c r="N786" i="3"/>
  <c r="L786" i="3" s="1"/>
  <c r="Q786" i="3"/>
  <c r="R786" i="3"/>
  <c r="S786" i="3"/>
  <c r="T786" i="3"/>
  <c r="U786" i="3"/>
  <c r="V786" i="3"/>
  <c r="W786" i="3"/>
  <c r="X786" i="3"/>
  <c r="Y786" i="3"/>
  <c r="Z786" i="3"/>
  <c r="AA786" i="3"/>
  <c r="AB786" i="3"/>
  <c r="AE786" i="3"/>
  <c r="AF786" i="3"/>
  <c r="AG786" i="3"/>
  <c r="A787" i="3"/>
  <c r="B787" i="3"/>
  <c r="D787" i="3" s="1"/>
  <c r="C787" i="3"/>
  <c r="E787" i="3"/>
  <c r="F787" i="3"/>
  <c r="AC787" i="3" s="1"/>
  <c r="G787" i="3"/>
  <c r="H787" i="3"/>
  <c r="I787" i="3"/>
  <c r="J787" i="3"/>
  <c r="K787" i="3"/>
  <c r="M787" i="3"/>
  <c r="N787" i="3"/>
  <c r="L787" i="3" s="1"/>
  <c r="Q787" i="3"/>
  <c r="R787" i="3"/>
  <c r="S787" i="3"/>
  <c r="T787" i="3"/>
  <c r="U787" i="3"/>
  <c r="V787" i="3"/>
  <c r="W787" i="3"/>
  <c r="X787" i="3"/>
  <c r="Y787" i="3"/>
  <c r="Z787" i="3"/>
  <c r="AA787" i="3"/>
  <c r="AB787" i="3"/>
  <c r="AE787" i="3"/>
  <c r="AF787" i="3"/>
  <c r="AG787" i="3"/>
  <c r="A788" i="3"/>
  <c r="B788" i="3"/>
  <c r="D788" i="3" s="1"/>
  <c r="C788" i="3"/>
  <c r="E788" i="3"/>
  <c r="F788" i="3"/>
  <c r="AC788" i="3" s="1"/>
  <c r="G788" i="3"/>
  <c r="H788" i="3"/>
  <c r="I788" i="3"/>
  <c r="J788" i="3"/>
  <c r="K788" i="3"/>
  <c r="M788" i="3"/>
  <c r="N788" i="3"/>
  <c r="L788" i="3" s="1"/>
  <c r="Q788" i="3"/>
  <c r="R788" i="3"/>
  <c r="S788" i="3"/>
  <c r="T788" i="3"/>
  <c r="U788" i="3"/>
  <c r="V788" i="3"/>
  <c r="W788" i="3"/>
  <c r="X788" i="3"/>
  <c r="Y788" i="3"/>
  <c r="Z788" i="3"/>
  <c r="AA788" i="3"/>
  <c r="AB788" i="3"/>
  <c r="AE788" i="3"/>
  <c r="AF788" i="3"/>
  <c r="AG788" i="3"/>
  <c r="A789" i="3"/>
  <c r="B789" i="3"/>
  <c r="D789" i="3" s="1"/>
  <c r="C789" i="3"/>
  <c r="E789" i="3"/>
  <c r="F789" i="3"/>
  <c r="AC789" i="3" s="1"/>
  <c r="G789" i="3"/>
  <c r="H789" i="3"/>
  <c r="I789" i="3"/>
  <c r="J789" i="3"/>
  <c r="K789" i="3"/>
  <c r="M789" i="3"/>
  <c r="N789" i="3"/>
  <c r="L789" i="3" s="1"/>
  <c r="Q789" i="3"/>
  <c r="R789" i="3"/>
  <c r="S789" i="3"/>
  <c r="T789" i="3"/>
  <c r="U789" i="3"/>
  <c r="V789" i="3"/>
  <c r="W789" i="3"/>
  <c r="X789" i="3"/>
  <c r="Y789" i="3"/>
  <c r="Z789" i="3"/>
  <c r="AA789" i="3"/>
  <c r="AB789" i="3"/>
  <c r="AE789" i="3"/>
  <c r="AF789" i="3"/>
  <c r="AG789" i="3"/>
  <c r="A790" i="3"/>
  <c r="B790" i="3"/>
  <c r="D790" i="3" s="1"/>
  <c r="C790" i="3"/>
  <c r="E790" i="3"/>
  <c r="F790" i="3"/>
  <c r="AC790" i="3" s="1"/>
  <c r="G790" i="3"/>
  <c r="H790" i="3"/>
  <c r="I790" i="3"/>
  <c r="J790" i="3"/>
  <c r="K790" i="3"/>
  <c r="M790" i="3"/>
  <c r="N790" i="3"/>
  <c r="L790" i="3" s="1"/>
  <c r="Q790" i="3"/>
  <c r="R790" i="3"/>
  <c r="S790" i="3"/>
  <c r="T790" i="3"/>
  <c r="U790" i="3"/>
  <c r="V790" i="3"/>
  <c r="W790" i="3"/>
  <c r="X790" i="3"/>
  <c r="Y790" i="3"/>
  <c r="Z790" i="3"/>
  <c r="AA790" i="3"/>
  <c r="AB790" i="3"/>
  <c r="AE790" i="3"/>
  <c r="AF790" i="3"/>
  <c r="AG790" i="3"/>
  <c r="A791" i="3"/>
  <c r="B791" i="3"/>
  <c r="D791" i="3" s="1"/>
  <c r="C791" i="3"/>
  <c r="E791" i="3"/>
  <c r="F791" i="3"/>
  <c r="AC791" i="3" s="1"/>
  <c r="G791" i="3"/>
  <c r="H791" i="3"/>
  <c r="I791" i="3"/>
  <c r="J791" i="3"/>
  <c r="K791" i="3"/>
  <c r="M791" i="3"/>
  <c r="N791" i="3"/>
  <c r="L791" i="3" s="1"/>
  <c r="Q791" i="3"/>
  <c r="R791" i="3"/>
  <c r="S791" i="3"/>
  <c r="T791" i="3"/>
  <c r="U791" i="3"/>
  <c r="V791" i="3"/>
  <c r="W791" i="3"/>
  <c r="X791" i="3"/>
  <c r="Y791" i="3"/>
  <c r="Z791" i="3"/>
  <c r="AA791" i="3"/>
  <c r="AB791" i="3"/>
  <c r="AE791" i="3"/>
  <c r="AF791" i="3"/>
  <c r="AG791" i="3"/>
  <c r="A792" i="3"/>
  <c r="B792" i="3"/>
  <c r="D792" i="3" s="1"/>
  <c r="C792" i="3"/>
  <c r="E792" i="3"/>
  <c r="F792" i="3"/>
  <c r="AC792" i="3" s="1"/>
  <c r="G792" i="3"/>
  <c r="H792" i="3"/>
  <c r="I792" i="3"/>
  <c r="J792" i="3"/>
  <c r="K792" i="3"/>
  <c r="M792" i="3"/>
  <c r="N792" i="3"/>
  <c r="L792" i="3" s="1"/>
  <c r="Q792" i="3"/>
  <c r="R792" i="3"/>
  <c r="S792" i="3"/>
  <c r="T792" i="3"/>
  <c r="U792" i="3"/>
  <c r="V792" i="3"/>
  <c r="W792" i="3"/>
  <c r="X792" i="3"/>
  <c r="Y792" i="3"/>
  <c r="Z792" i="3"/>
  <c r="AA792" i="3"/>
  <c r="AB792" i="3"/>
  <c r="AE792" i="3"/>
  <c r="AF792" i="3"/>
  <c r="AG792" i="3"/>
  <c r="A793" i="3"/>
  <c r="B793" i="3"/>
  <c r="D793" i="3" s="1"/>
  <c r="C793" i="3"/>
  <c r="E793" i="3"/>
  <c r="F793" i="3"/>
  <c r="AC793" i="3" s="1"/>
  <c r="G793" i="3"/>
  <c r="H793" i="3"/>
  <c r="I793" i="3"/>
  <c r="J793" i="3"/>
  <c r="K793" i="3"/>
  <c r="M793" i="3"/>
  <c r="N793" i="3"/>
  <c r="L793" i="3" s="1"/>
  <c r="Q793" i="3"/>
  <c r="R793" i="3"/>
  <c r="S793" i="3"/>
  <c r="T793" i="3"/>
  <c r="U793" i="3"/>
  <c r="V793" i="3"/>
  <c r="W793" i="3"/>
  <c r="X793" i="3"/>
  <c r="Y793" i="3"/>
  <c r="Z793" i="3"/>
  <c r="AA793" i="3"/>
  <c r="AB793" i="3"/>
  <c r="AE793" i="3"/>
  <c r="AF793" i="3"/>
  <c r="AG793" i="3"/>
  <c r="A794" i="3"/>
  <c r="B794" i="3"/>
  <c r="D794" i="3" s="1"/>
  <c r="C794" i="3"/>
  <c r="E794" i="3"/>
  <c r="F794" i="3"/>
  <c r="AC794" i="3" s="1"/>
  <c r="G794" i="3"/>
  <c r="H794" i="3"/>
  <c r="I794" i="3"/>
  <c r="J794" i="3"/>
  <c r="K794" i="3"/>
  <c r="M794" i="3"/>
  <c r="N794" i="3"/>
  <c r="L794" i="3" s="1"/>
  <c r="Q794" i="3"/>
  <c r="R794" i="3"/>
  <c r="S794" i="3"/>
  <c r="T794" i="3"/>
  <c r="U794" i="3"/>
  <c r="V794" i="3"/>
  <c r="W794" i="3"/>
  <c r="X794" i="3"/>
  <c r="Y794" i="3"/>
  <c r="Z794" i="3"/>
  <c r="AA794" i="3"/>
  <c r="AB794" i="3"/>
  <c r="AE794" i="3"/>
  <c r="AF794" i="3"/>
  <c r="AG794" i="3"/>
  <c r="A795" i="3"/>
  <c r="B795" i="3"/>
  <c r="D795" i="3" s="1"/>
  <c r="C795" i="3"/>
  <c r="E795" i="3"/>
  <c r="F795" i="3"/>
  <c r="AC795" i="3" s="1"/>
  <c r="G795" i="3"/>
  <c r="H795" i="3"/>
  <c r="I795" i="3"/>
  <c r="J795" i="3"/>
  <c r="K795" i="3"/>
  <c r="M795" i="3"/>
  <c r="N795" i="3"/>
  <c r="L795" i="3" s="1"/>
  <c r="Q795" i="3"/>
  <c r="R795" i="3"/>
  <c r="S795" i="3"/>
  <c r="T795" i="3"/>
  <c r="U795" i="3"/>
  <c r="V795" i="3"/>
  <c r="W795" i="3"/>
  <c r="X795" i="3"/>
  <c r="Y795" i="3"/>
  <c r="Z795" i="3"/>
  <c r="AA795" i="3"/>
  <c r="AB795" i="3"/>
  <c r="AE795" i="3"/>
  <c r="AF795" i="3"/>
  <c r="AG795" i="3"/>
  <c r="A796" i="3"/>
  <c r="B796" i="3"/>
  <c r="D796" i="3" s="1"/>
  <c r="C796" i="3"/>
  <c r="E796" i="3"/>
  <c r="F796" i="3"/>
  <c r="AC796" i="3" s="1"/>
  <c r="G796" i="3"/>
  <c r="H796" i="3"/>
  <c r="I796" i="3"/>
  <c r="J796" i="3"/>
  <c r="K796" i="3"/>
  <c r="M796" i="3"/>
  <c r="N796" i="3"/>
  <c r="L796" i="3" s="1"/>
  <c r="Q796" i="3"/>
  <c r="R796" i="3"/>
  <c r="S796" i="3"/>
  <c r="T796" i="3"/>
  <c r="U796" i="3"/>
  <c r="V796" i="3"/>
  <c r="W796" i="3"/>
  <c r="X796" i="3"/>
  <c r="Y796" i="3"/>
  <c r="Z796" i="3"/>
  <c r="AA796" i="3"/>
  <c r="AB796" i="3"/>
  <c r="AE796" i="3"/>
  <c r="AF796" i="3"/>
  <c r="AG796" i="3"/>
  <c r="A797" i="3"/>
  <c r="B797" i="3"/>
  <c r="D797" i="3" s="1"/>
  <c r="C797" i="3"/>
  <c r="E797" i="3"/>
  <c r="F797" i="3"/>
  <c r="AC797" i="3" s="1"/>
  <c r="G797" i="3"/>
  <c r="H797" i="3"/>
  <c r="I797" i="3"/>
  <c r="J797" i="3"/>
  <c r="K797" i="3"/>
  <c r="M797" i="3"/>
  <c r="N797" i="3"/>
  <c r="L797" i="3" s="1"/>
  <c r="Q797" i="3"/>
  <c r="R797" i="3"/>
  <c r="S797" i="3"/>
  <c r="T797" i="3"/>
  <c r="U797" i="3"/>
  <c r="V797" i="3"/>
  <c r="W797" i="3"/>
  <c r="X797" i="3"/>
  <c r="Y797" i="3"/>
  <c r="Z797" i="3"/>
  <c r="AA797" i="3"/>
  <c r="AB797" i="3"/>
  <c r="AE797" i="3"/>
  <c r="AF797" i="3"/>
  <c r="AG797" i="3"/>
  <c r="A798" i="3"/>
  <c r="B798" i="3"/>
  <c r="D798" i="3" s="1"/>
  <c r="C798" i="3"/>
  <c r="E798" i="3"/>
  <c r="F798" i="3"/>
  <c r="AC798" i="3" s="1"/>
  <c r="G798" i="3"/>
  <c r="H798" i="3"/>
  <c r="I798" i="3"/>
  <c r="J798" i="3"/>
  <c r="K798" i="3"/>
  <c r="M798" i="3"/>
  <c r="N798" i="3"/>
  <c r="L798" i="3" s="1"/>
  <c r="Q798" i="3"/>
  <c r="R798" i="3"/>
  <c r="S798" i="3"/>
  <c r="T798" i="3"/>
  <c r="U798" i="3"/>
  <c r="V798" i="3"/>
  <c r="W798" i="3"/>
  <c r="X798" i="3"/>
  <c r="Y798" i="3"/>
  <c r="Z798" i="3"/>
  <c r="AA798" i="3"/>
  <c r="AB798" i="3"/>
  <c r="AE798" i="3"/>
  <c r="AF798" i="3"/>
  <c r="AG798" i="3"/>
  <c r="A799" i="3"/>
  <c r="B799" i="3"/>
  <c r="D799" i="3" s="1"/>
  <c r="C799" i="3"/>
  <c r="E799" i="3"/>
  <c r="F799" i="3"/>
  <c r="AC799" i="3" s="1"/>
  <c r="G799" i="3"/>
  <c r="H799" i="3"/>
  <c r="I799" i="3"/>
  <c r="J799" i="3"/>
  <c r="K799" i="3"/>
  <c r="M799" i="3"/>
  <c r="N799" i="3"/>
  <c r="L799" i="3" s="1"/>
  <c r="Q799" i="3"/>
  <c r="R799" i="3"/>
  <c r="S799" i="3"/>
  <c r="T799" i="3"/>
  <c r="U799" i="3"/>
  <c r="V799" i="3"/>
  <c r="W799" i="3"/>
  <c r="X799" i="3"/>
  <c r="Y799" i="3"/>
  <c r="Z799" i="3"/>
  <c r="AA799" i="3"/>
  <c r="AB799" i="3"/>
  <c r="AE799" i="3"/>
  <c r="AF799" i="3"/>
  <c r="AG799" i="3"/>
  <c r="A800" i="3"/>
  <c r="B800" i="3"/>
  <c r="D800" i="3" s="1"/>
  <c r="C800" i="3"/>
  <c r="E800" i="3"/>
  <c r="F800" i="3"/>
  <c r="AC800" i="3" s="1"/>
  <c r="G800" i="3"/>
  <c r="H800" i="3"/>
  <c r="I800" i="3"/>
  <c r="J800" i="3"/>
  <c r="K800" i="3"/>
  <c r="M800" i="3"/>
  <c r="N800" i="3"/>
  <c r="L800" i="3" s="1"/>
  <c r="Q800" i="3"/>
  <c r="R800" i="3"/>
  <c r="S800" i="3"/>
  <c r="T800" i="3"/>
  <c r="U800" i="3"/>
  <c r="V800" i="3"/>
  <c r="W800" i="3"/>
  <c r="X800" i="3"/>
  <c r="Y800" i="3"/>
  <c r="Z800" i="3"/>
  <c r="AA800" i="3"/>
  <c r="AB800" i="3"/>
  <c r="AE800" i="3"/>
  <c r="AF800" i="3"/>
  <c r="AG800" i="3"/>
  <c r="A801" i="3"/>
  <c r="B801" i="3"/>
  <c r="D801" i="3" s="1"/>
  <c r="C801" i="3"/>
  <c r="E801" i="3"/>
  <c r="F801" i="3"/>
  <c r="AC801" i="3" s="1"/>
  <c r="G801" i="3"/>
  <c r="H801" i="3"/>
  <c r="I801" i="3"/>
  <c r="J801" i="3"/>
  <c r="K801" i="3"/>
  <c r="M801" i="3"/>
  <c r="N801" i="3"/>
  <c r="L801" i="3" s="1"/>
  <c r="Q801" i="3"/>
  <c r="R801" i="3"/>
  <c r="S801" i="3"/>
  <c r="T801" i="3"/>
  <c r="U801" i="3"/>
  <c r="V801" i="3"/>
  <c r="W801" i="3"/>
  <c r="X801" i="3"/>
  <c r="Y801" i="3"/>
  <c r="Z801" i="3"/>
  <c r="AA801" i="3"/>
  <c r="AB801" i="3"/>
  <c r="AE801" i="3"/>
  <c r="AF801" i="3"/>
  <c r="AG801" i="3"/>
  <c r="A802" i="3"/>
  <c r="B802" i="3"/>
  <c r="D802" i="3" s="1"/>
  <c r="C802" i="3"/>
  <c r="E802" i="3"/>
  <c r="F802" i="3"/>
  <c r="AC802" i="3" s="1"/>
  <c r="G802" i="3"/>
  <c r="H802" i="3"/>
  <c r="I802" i="3"/>
  <c r="J802" i="3"/>
  <c r="K802" i="3"/>
  <c r="M802" i="3"/>
  <c r="N802" i="3"/>
  <c r="L802" i="3" s="1"/>
  <c r="Q802" i="3"/>
  <c r="R802" i="3"/>
  <c r="S802" i="3"/>
  <c r="T802" i="3"/>
  <c r="U802" i="3"/>
  <c r="V802" i="3"/>
  <c r="W802" i="3"/>
  <c r="X802" i="3"/>
  <c r="Y802" i="3"/>
  <c r="Z802" i="3"/>
  <c r="AA802" i="3"/>
  <c r="AB802" i="3"/>
  <c r="AE802" i="3"/>
  <c r="AF802" i="3"/>
  <c r="AG802" i="3"/>
  <c r="A803" i="3"/>
  <c r="B803" i="3"/>
  <c r="D803" i="3" s="1"/>
  <c r="C803" i="3"/>
  <c r="E803" i="3"/>
  <c r="F803" i="3"/>
  <c r="AC803" i="3" s="1"/>
  <c r="G803" i="3"/>
  <c r="H803" i="3"/>
  <c r="I803" i="3"/>
  <c r="J803" i="3"/>
  <c r="K803" i="3"/>
  <c r="M803" i="3"/>
  <c r="N803" i="3"/>
  <c r="L803" i="3" s="1"/>
  <c r="Q803" i="3"/>
  <c r="R803" i="3"/>
  <c r="S803" i="3"/>
  <c r="T803" i="3"/>
  <c r="U803" i="3"/>
  <c r="V803" i="3"/>
  <c r="W803" i="3"/>
  <c r="X803" i="3"/>
  <c r="Y803" i="3"/>
  <c r="Z803" i="3"/>
  <c r="AA803" i="3"/>
  <c r="AB803" i="3"/>
  <c r="AE803" i="3"/>
  <c r="AF803" i="3"/>
  <c r="AG803" i="3"/>
  <c r="A804" i="3"/>
  <c r="B804" i="3"/>
  <c r="D804" i="3" s="1"/>
  <c r="C804" i="3"/>
  <c r="E804" i="3"/>
  <c r="F804" i="3"/>
  <c r="AC804" i="3" s="1"/>
  <c r="G804" i="3"/>
  <c r="H804" i="3"/>
  <c r="I804" i="3"/>
  <c r="J804" i="3"/>
  <c r="K804" i="3"/>
  <c r="M804" i="3"/>
  <c r="N804" i="3"/>
  <c r="L804" i="3" s="1"/>
  <c r="Q804" i="3"/>
  <c r="R804" i="3"/>
  <c r="S804" i="3"/>
  <c r="T804" i="3"/>
  <c r="U804" i="3"/>
  <c r="V804" i="3"/>
  <c r="W804" i="3"/>
  <c r="X804" i="3"/>
  <c r="Y804" i="3"/>
  <c r="Z804" i="3"/>
  <c r="AA804" i="3"/>
  <c r="AB804" i="3"/>
  <c r="AE804" i="3"/>
  <c r="AF804" i="3"/>
  <c r="AG804" i="3"/>
  <c r="A805" i="3"/>
  <c r="B805" i="3"/>
  <c r="D805" i="3" s="1"/>
  <c r="C805" i="3"/>
  <c r="E805" i="3"/>
  <c r="F805" i="3"/>
  <c r="AC805" i="3" s="1"/>
  <c r="G805" i="3"/>
  <c r="H805" i="3"/>
  <c r="I805" i="3"/>
  <c r="J805" i="3"/>
  <c r="K805" i="3"/>
  <c r="M805" i="3"/>
  <c r="N805" i="3"/>
  <c r="L805" i="3" s="1"/>
  <c r="Q805" i="3"/>
  <c r="R805" i="3"/>
  <c r="S805" i="3"/>
  <c r="T805" i="3"/>
  <c r="U805" i="3"/>
  <c r="V805" i="3"/>
  <c r="W805" i="3"/>
  <c r="X805" i="3"/>
  <c r="Y805" i="3"/>
  <c r="Z805" i="3"/>
  <c r="AA805" i="3"/>
  <c r="AB805" i="3"/>
  <c r="AE805" i="3"/>
  <c r="AF805" i="3"/>
  <c r="AG805" i="3"/>
  <c r="A806" i="3"/>
  <c r="B806" i="3"/>
  <c r="D806" i="3" s="1"/>
  <c r="C806" i="3"/>
  <c r="E806" i="3"/>
  <c r="F806" i="3"/>
  <c r="AC806" i="3" s="1"/>
  <c r="G806" i="3"/>
  <c r="H806" i="3"/>
  <c r="I806" i="3"/>
  <c r="J806" i="3"/>
  <c r="K806" i="3"/>
  <c r="M806" i="3"/>
  <c r="N806" i="3"/>
  <c r="L806" i="3" s="1"/>
  <c r="Q806" i="3"/>
  <c r="R806" i="3"/>
  <c r="S806" i="3"/>
  <c r="T806" i="3"/>
  <c r="U806" i="3"/>
  <c r="V806" i="3"/>
  <c r="W806" i="3"/>
  <c r="X806" i="3"/>
  <c r="Y806" i="3"/>
  <c r="Z806" i="3"/>
  <c r="AA806" i="3"/>
  <c r="AB806" i="3"/>
  <c r="AE806" i="3"/>
  <c r="AF806" i="3"/>
  <c r="AG806" i="3"/>
  <c r="A807" i="3"/>
  <c r="B807" i="3"/>
  <c r="D807" i="3" s="1"/>
  <c r="C807" i="3"/>
  <c r="E807" i="3"/>
  <c r="F807" i="3"/>
  <c r="AC807" i="3" s="1"/>
  <c r="G807" i="3"/>
  <c r="H807" i="3"/>
  <c r="I807" i="3"/>
  <c r="J807" i="3"/>
  <c r="K807" i="3"/>
  <c r="M807" i="3"/>
  <c r="N807" i="3"/>
  <c r="L807" i="3" s="1"/>
  <c r="Q807" i="3"/>
  <c r="R807" i="3"/>
  <c r="S807" i="3"/>
  <c r="T807" i="3"/>
  <c r="U807" i="3"/>
  <c r="V807" i="3"/>
  <c r="W807" i="3"/>
  <c r="X807" i="3"/>
  <c r="Y807" i="3"/>
  <c r="Z807" i="3"/>
  <c r="AA807" i="3"/>
  <c r="AB807" i="3"/>
  <c r="AE807" i="3"/>
  <c r="AF807" i="3"/>
  <c r="AG807" i="3"/>
  <c r="A808" i="3"/>
  <c r="B808" i="3"/>
  <c r="D808" i="3" s="1"/>
  <c r="C808" i="3"/>
  <c r="E808" i="3"/>
  <c r="F808" i="3"/>
  <c r="AC808" i="3" s="1"/>
  <c r="G808" i="3"/>
  <c r="H808" i="3"/>
  <c r="I808" i="3"/>
  <c r="J808" i="3"/>
  <c r="K808" i="3"/>
  <c r="M808" i="3"/>
  <c r="N808" i="3"/>
  <c r="L808" i="3" s="1"/>
  <c r="Q808" i="3"/>
  <c r="R808" i="3"/>
  <c r="S808" i="3"/>
  <c r="T808" i="3"/>
  <c r="U808" i="3"/>
  <c r="V808" i="3"/>
  <c r="W808" i="3"/>
  <c r="X808" i="3"/>
  <c r="Y808" i="3"/>
  <c r="Z808" i="3"/>
  <c r="AA808" i="3"/>
  <c r="AB808" i="3"/>
  <c r="AE808" i="3"/>
  <c r="AF808" i="3"/>
  <c r="AG808" i="3"/>
  <c r="A809" i="3"/>
  <c r="B809" i="3"/>
  <c r="D809" i="3" s="1"/>
  <c r="C809" i="3"/>
  <c r="E809" i="3"/>
  <c r="F809" i="3"/>
  <c r="AC809" i="3" s="1"/>
  <c r="G809" i="3"/>
  <c r="H809" i="3"/>
  <c r="I809" i="3"/>
  <c r="J809" i="3"/>
  <c r="K809" i="3"/>
  <c r="M809" i="3"/>
  <c r="N809" i="3"/>
  <c r="L809" i="3" s="1"/>
  <c r="Q809" i="3"/>
  <c r="R809" i="3"/>
  <c r="S809" i="3"/>
  <c r="T809" i="3"/>
  <c r="U809" i="3"/>
  <c r="V809" i="3"/>
  <c r="W809" i="3"/>
  <c r="X809" i="3"/>
  <c r="Y809" i="3"/>
  <c r="Z809" i="3"/>
  <c r="AA809" i="3"/>
  <c r="AB809" i="3"/>
  <c r="AE809" i="3"/>
  <c r="AF809" i="3"/>
  <c r="AG809" i="3"/>
  <c r="A810" i="3"/>
  <c r="B810" i="3"/>
  <c r="D810" i="3" s="1"/>
  <c r="C810" i="3"/>
  <c r="E810" i="3"/>
  <c r="F810" i="3"/>
  <c r="AC810" i="3" s="1"/>
  <c r="G810" i="3"/>
  <c r="H810" i="3"/>
  <c r="I810" i="3"/>
  <c r="J810" i="3"/>
  <c r="K810" i="3"/>
  <c r="M810" i="3"/>
  <c r="N810" i="3"/>
  <c r="L810" i="3" s="1"/>
  <c r="Q810" i="3"/>
  <c r="R810" i="3"/>
  <c r="S810" i="3"/>
  <c r="T810" i="3"/>
  <c r="U810" i="3"/>
  <c r="V810" i="3"/>
  <c r="W810" i="3"/>
  <c r="X810" i="3"/>
  <c r="Y810" i="3"/>
  <c r="Z810" i="3"/>
  <c r="AA810" i="3"/>
  <c r="AB810" i="3"/>
  <c r="AE810" i="3"/>
  <c r="AF810" i="3"/>
  <c r="AG810" i="3"/>
  <c r="A811" i="3"/>
  <c r="B811" i="3"/>
  <c r="D811" i="3" s="1"/>
  <c r="C811" i="3"/>
  <c r="E811" i="3"/>
  <c r="F811" i="3"/>
  <c r="AC811" i="3" s="1"/>
  <c r="G811" i="3"/>
  <c r="H811" i="3"/>
  <c r="I811" i="3"/>
  <c r="J811" i="3"/>
  <c r="K811" i="3"/>
  <c r="M811" i="3"/>
  <c r="N811" i="3"/>
  <c r="L811" i="3" s="1"/>
  <c r="Q811" i="3"/>
  <c r="R811" i="3"/>
  <c r="S811" i="3"/>
  <c r="T811" i="3"/>
  <c r="U811" i="3"/>
  <c r="V811" i="3"/>
  <c r="W811" i="3"/>
  <c r="X811" i="3"/>
  <c r="Y811" i="3"/>
  <c r="Z811" i="3"/>
  <c r="AA811" i="3"/>
  <c r="AB811" i="3"/>
  <c r="AE811" i="3"/>
  <c r="AF811" i="3"/>
  <c r="AG811" i="3"/>
  <c r="A812" i="3"/>
  <c r="B812" i="3"/>
  <c r="D812" i="3" s="1"/>
  <c r="C812" i="3"/>
  <c r="E812" i="3"/>
  <c r="F812" i="3"/>
  <c r="AC812" i="3" s="1"/>
  <c r="G812" i="3"/>
  <c r="H812" i="3"/>
  <c r="I812" i="3"/>
  <c r="J812" i="3"/>
  <c r="K812" i="3"/>
  <c r="M812" i="3"/>
  <c r="N812" i="3"/>
  <c r="L812" i="3" s="1"/>
  <c r="Q812" i="3"/>
  <c r="R812" i="3"/>
  <c r="S812" i="3"/>
  <c r="T812" i="3"/>
  <c r="U812" i="3"/>
  <c r="V812" i="3"/>
  <c r="W812" i="3"/>
  <c r="X812" i="3"/>
  <c r="Y812" i="3"/>
  <c r="Z812" i="3"/>
  <c r="AA812" i="3"/>
  <c r="AB812" i="3"/>
  <c r="AE812" i="3"/>
  <c r="AF812" i="3"/>
  <c r="AG812" i="3"/>
  <c r="A813" i="3"/>
  <c r="B813" i="3"/>
  <c r="D813" i="3" s="1"/>
  <c r="C813" i="3"/>
  <c r="E813" i="3"/>
  <c r="F813" i="3"/>
  <c r="AC813" i="3" s="1"/>
  <c r="G813" i="3"/>
  <c r="H813" i="3"/>
  <c r="I813" i="3"/>
  <c r="J813" i="3"/>
  <c r="K813" i="3"/>
  <c r="M813" i="3"/>
  <c r="N813" i="3"/>
  <c r="L813" i="3" s="1"/>
  <c r="Q813" i="3"/>
  <c r="R813" i="3"/>
  <c r="S813" i="3"/>
  <c r="T813" i="3"/>
  <c r="U813" i="3"/>
  <c r="V813" i="3"/>
  <c r="W813" i="3"/>
  <c r="X813" i="3"/>
  <c r="Y813" i="3"/>
  <c r="Z813" i="3"/>
  <c r="AA813" i="3"/>
  <c r="AB813" i="3"/>
  <c r="AE813" i="3"/>
  <c r="AF813" i="3"/>
  <c r="AG813" i="3"/>
  <c r="A814" i="3"/>
  <c r="B814" i="3"/>
  <c r="D814" i="3" s="1"/>
  <c r="C814" i="3"/>
  <c r="E814" i="3"/>
  <c r="F814" i="3"/>
  <c r="AC814" i="3" s="1"/>
  <c r="G814" i="3"/>
  <c r="H814" i="3"/>
  <c r="I814" i="3"/>
  <c r="J814" i="3"/>
  <c r="K814" i="3"/>
  <c r="M814" i="3"/>
  <c r="N814" i="3"/>
  <c r="L814" i="3" s="1"/>
  <c r="Q814" i="3"/>
  <c r="R814" i="3"/>
  <c r="S814" i="3"/>
  <c r="T814" i="3"/>
  <c r="U814" i="3"/>
  <c r="V814" i="3"/>
  <c r="W814" i="3"/>
  <c r="X814" i="3"/>
  <c r="Y814" i="3"/>
  <c r="Z814" i="3"/>
  <c r="AA814" i="3"/>
  <c r="AB814" i="3"/>
  <c r="AE814" i="3"/>
  <c r="AF814" i="3"/>
  <c r="AG814" i="3"/>
  <c r="A815" i="3"/>
  <c r="B815" i="3"/>
  <c r="D815" i="3" s="1"/>
  <c r="C815" i="3"/>
  <c r="E815" i="3"/>
  <c r="F815" i="3"/>
  <c r="AC815" i="3" s="1"/>
  <c r="G815" i="3"/>
  <c r="H815" i="3"/>
  <c r="I815" i="3"/>
  <c r="J815" i="3"/>
  <c r="K815" i="3"/>
  <c r="M815" i="3"/>
  <c r="N815" i="3"/>
  <c r="L815" i="3" s="1"/>
  <c r="Q815" i="3"/>
  <c r="R815" i="3"/>
  <c r="S815" i="3"/>
  <c r="T815" i="3"/>
  <c r="U815" i="3"/>
  <c r="V815" i="3"/>
  <c r="W815" i="3"/>
  <c r="X815" i="3"/>
  <c r="Y815" i="3"/>
  <c r="Z815" i="3"/>
  <c r="AA815" i="3"/>
  <c r="AB815" i="3"/>
  <c r="AE815" i="3"/>
  <c r="AF815" i="3"/>
  <c r="AG815" i="3"/>
  <c r="A816" i="3"/>
  <c r="B816" i="3"/>
  <c r="D816" i="3" s="1"/>
  <c r="C816" i="3"/>
  <c r="E816" i="3"/>
  <c r="F816" i="3"/>
  <c r="AC816" i="3" s="1"/>
  <c r="G816" i="3"/>
  <c r="H816" i="3"/>
  <c r="I816" i="3"/>
  <c r="J816" i="3"/>
  <c r="K816" i="3"/>
  <c r="M816" i="3"/>
  <c r="N816" i="3"/>
  <c r="L816" i="3" s="1"/>
  <c r="Q816" i="3"/>
  <c r="R816" i="3"/>
  <c r="S816" i="3"/>
  <c r="T816" i="3"/>
  <c r="U816" i="3"/>
  <c r="V816" i="3"/>
  <c r="W816" i="3"/>
  <c r="X816" i="3"/>
  <c r="Y816" i="3"/>
  <c r="Z816" i="3"/>
  <c r="AA816" i="3"/>
  <c r="AB816" i="3"/>
  <c r="AE816" i="3"/>
  <c r="AF816" i="3"/>
  <c r="AG816" i="3"/>
  <c r="A817" i="3"/>
  <c r="B817" i="3"/>
  <c r="D817" i="3" s="1"/>
  <c r="C817" i="3"/>
  <c r="E817" i="3"/>
  <c r="F817" i="3"/>
  <c r="AC817" i="3" s="1"/>
  <c r="G817" i="3"/>
  <c r="H817" i="3"/>
  <c r="I817" i="3"/>
  <c r="J817" i="3"/>
  <c r="K817" i="3"/>
  <c r="M817" i="3"/>
  <c r="N817" i="3"/>
  <c r="L817" i="3" s="1"/>
  <c r="Q817" i="3"/>
  <c r="R817" i="3"/>
  <c r="S817" i="3"/>
  <c r="T817" i="3"/>
  <c r="U817" i="3"/>
  <c r="V817" i="3"/>
  <c r="W817" i="3"/>
  <c r="X817" i="3"/>
  <c r="Y817" i="3"/>
  <c r="Z817" i="3"/>
  <c r="AA817" i="3"/>
  <c r="AB817" i="3"/>
  <c r="AE817" i="3"/>
  <c r="AF817" i="3"/>
  <c r="AG817" i="3"/>
  <c r="A818" i="3"/>
  <c r="B818" i="3"/>
  <c r="D818" i="3" s="1"/>
  <c r="C818" i="3"/>
  <c r="E818" i="3"/>
  <c r="F818" i="3"/>
  <c r="AC818" i="3" s="1"/>
  <c r="G818" i="3"/>
  <c r="H818" i="3"/>
  <c r="I818" i="3"/>
  <c r="J818" i="3"/>
  <c r="K818" i="3"/>
  <c r="M818" i="3"/>
  <c r="N818" i="3"/>
  <c r="L818" i="3" s="1"/>
  <c r="Q818" i="3"/>
  <c r="R818" i="3"/>
  <c r="S818" i="3"/>
  <c r="T818" i="3"/>
  <c r="U818" i="3"/>
  <c r="V818" i="3"/>
  <c r="W818" i="3"/>
  <c r="X818" i="3"/>
  <c r="Y818" i="3"/>
  <c r="Z818" i="3"/>
  <c r="AA818" i="3"/>
  <c r="AB818" i="3"/>
  <c r="AE818" i="3"/>
  <c r="AF818" i="3"/>
  <c r="AG818" i="3"/>
  <c r="A819" i="3"/>
  <c r="B819" i="3"/>
  <c r="D819" i="3" s="1"/>
  <c r="C819" i="3"/>
  <c r="E819" i="3"/>
  <c r="F819" i="3"/>
  <c r="AC819" i="3" s="1"/>
  <c r="G819" i="3"/>
  <c r="H819" i="3"/>
  <c r="I819" i="3"/>
  <c r="J819" i="3"/>
  <c r="K819" i="3"/>
  <c r="M819" i="3"/>
  <c r="N819" i="3"/>
  <c r="L819" i="3" s="1"/>
  <c r="Q819" i="3"/>
  <c r="R819" i="3"/>
  <c r="S819" i="3"/>
  <c r="T819" i="3"/>
  <c r="U819" i="3"/>
  <c r="V819" i="3"/>
  <c r="W819" i="3"/>
  <c r="X819" i="3"/>
  <c r="Y819" i="3"/>
  <c r="Z819" i="3"/>
  <c r="AA819" i="3"/>
  <c r="AB819" i="3"/>
  <c r="AE819" i="3"/>
  <c r="AF819" i="3"/>
  <c r="AG819" i="3"/>
  <c r="A820" i="3"/>
  <c r="B820" i="3"/>
  <c r="D820" i="3" s="1"/>
  <c r="C820" i="3"/>
  <c r="E820" i="3"/>
  <c r="F820" i="3"/>
  <c r="AC820" i="3" s="1"/>
  <c r="G820" i="3"/>
  <c r="H820" i="3"/>
  <c r="I820" i="3"/>
  <c r="J820" i="3"/>
  <c r="K820" i="3"/>
  <c r="M820" i="3"/>
  <c r="N820" i="3"/>
  <c r="L820" i="3" s="1"/>
  <c r="Q820" i="3"/>
  <c r="R820" i="3"/>
  <c r="S820" i="3"/>
  <c r="T820" i="3"/>
  <c r="U820" i="3"/>
  <c r="V820" i="3"/>
  <c r="W820" i="3"/>
  <c r="X820" i="3"/>
  <c r="Y820" i="3"/>
  <c r="Z820" i="3"/>
  <c r="AA820" i="3"/>
  <c r="AB820" i="3"/>
  <c r="AE820" i="3"/>
  <c r="AF820" i="3"/>
  <c r="AG820" i="3"/>
  <c r="A821" i="3"/>
  <c r="B821" i="3"/>
  <c r="D821" i="3" s="1"/>
  <c r="C821" i="3"/>
  <c r="E821" i="3"/>
  <c r="F821" i="3"/>
  <c r="AC821" i="3" s="1"/>
  <c r="G821" i="3"/>
  <c r="H821" i="3"/>
  <c r="I821" i="3"/>
  <c r="J821" i="3"/>
  <c r="K821" i="3"/>
  <c r="M821" i="3"/>
  <c r="N821" i="3"/>
  <c r="L821" i="3" s="1"/>
  <c r="Q821" i="3"/>
  <c r="R821" i="3"/>
  <c r="S821" i="3"/>
  <c r="T821" i="3"/>
  <c r="U821" i="3"/>
  <c r="V821" i="3"/>
  <c r="W821" i="3"/>
  <c r="X821" i="3"/>
  <c r="Y821" i="3"/>
  <c r="Z821" i="3"/>
  <c r="AA821" i="3"/>
  <c r="AB821" i="3"/>
  <c r="AE821" i="3"/>
  <c r="AF821" i="3"/>
  <c r="AG821" i="3"/>
  <c r="A822" i="3"/>
  <c r="B822" i="3"/>
  <c r="D822" i="3" s="1"/>
  <c r="C822" i="3"/>
  <c r="E822" i="3"/>
  <c r="F822" i="3"/>
  <c r="AC822" i="3" s="1"/>
  <c r="G822" i="3"/>
  <c r="H822" i="3"/>
  <c r="I822" i="3"/>
  <c r="J822" i="3"/>
  <c r="K822" i="3"/>
  <c r="M822" i="3"/>
  <c r="N822" i="3"/>
  <c r="L822" i="3" s="1"/>
  <c r="Q822" i="3"/>
  <c r="R822" i="3"/>
  <c r="S822" i="3"/>
  <c r="T822" i="3"/>
  <c r="U822" i="3"/>
  <c r="V822" i="3"/>
  <c r="W822" i="3"/>
  <c r="X822" i="3"/>
  <c r="Y822" i="3"/>
  <c r="Z822" i="3"/>
  <c r="AA822" i="3"/>
  <c r="AB822" i="3"/>
  <c r="AE822" i="3"/>
  <c r="AF822" i="3"/>
  <c r="AG822" i="3"/>
  <c r="A823" i="3"/>
  <c r="B823" i="3"/>
  <c r="D823" i="3" s="1"/>
  <c r="C823" i="3"/>
  <c r="E823" i="3"/>
  <c r="F823" i="3"/>
  <c r="AC823" i="3" s="1"/>
  <c r="G823" i="3"/>
  <c r="H823" i="3"/>
  <c r="I823" i="3"/>
  <c r="J823" i="3"/>
  <c r="K823" i="3"/>
  <c r="M823" i="3"/>
  <c r="N823" i="3"/>
  <c r="L823" i="3" s="1"/>
  <c r="Q823" i="3"/>
  <c r="R823" i="3"/>
  <c r="S823" i="3"/>
  <c r="T823" i="3"/>
  <c r="U823" i="3"/>
  <c r="V823" i="3"/>
  <c r="W823" i="3"/>
  <c r="X823" i="3"/>
  <c r="Y823" i="3"/>
  <c r="Z823" i="3"/>
  <c r="AA823" i="3"/>
  <c r="AB823" i="3"/>
  <c r="AE823" i="3"/>
  <c r="AF823" i="3"/>
  <c r="AG823" i="3"/>
  <c r="A824" i="3"/>
  <c r="B824" i="3"/>
  <c r="D824" i="3" s="1"/>
  <c r="C824" i="3"/>
  <c r="E824" i="3"/>
  <c r="F824" i="3"/>
  <c r="AC824" i="3" s="1"/>
  <c r="G824" i="3"/>
  <c r="H824" i="3"/>
  <c r="I824" i="3"/>
  <c r="J824" i="3"/>
  <c r="K824" i="3"/>
  <c r="M824" i="3"/>
  <c r="N824" i="3"/>
  <c r="L824" i="3" s="1"/>
  <c r="Q824" i="3"/>
  <c r="R824" i="3"/>
  <c r="S824" i="3"/>
  <c r="T824" i="3"/>
  <c r="U824" i="3"/>
  <c r="V824" i="3"/>
  <c r="W824" i="3"/>
  <c r="X824" i="3"/>
  <c r="Y824" i="3"/>
  <c r="Z824" i="3"/>
  <c r="AA824" i="3"/>
  <c r="AB824" i="3"/>
  <c r="AE824" i="3"/>
  <c r="AF824" i="3"/>
  <c r="AG824" i="3"/>
  <c r="A825" i="3"/>
  <c r="B825" i="3"/>
  <c r="D825" i="3" s="1"/>
  <c r="C825" i="3"/>
  <c r="E825" i="3"/>
  <c r="F825" i="3"/>
  <c r="AC825" i="3" s="1"/>
  <c r="G825" i="3"/>
  <c r="H825" i="3"/>
  <c r="I825" i="3"/>
  <c r="J825" i="3"/>
  <c r="K825" i="3"/>
  <c r="M825" i="3"/>
  <c r="N825" i="3"/>
  <c r="L825" i="3" s="1"/>
  <c r="Q825" i="3"/>
  <c r="R825" i="3"/>
  <c r="S825" i="3"/>
  <c r="T825" i="3"/>
  <c r="U825" i="3"/>
  <c r="V825" i="3"/>
  <c r="W825" i="3"/>
  <c r="X825" i="3"/>
  <c r="Y825" i="3"/>
  <c r="Z825" i="3"/>
  <c r="AA825" i="3"/>
  <c r="AB825" i="3"/>
  <c r="AE825" i="3"/>
  <c r="AF825" i="3"/>
  <c r="AG825" i="3"/>
  <c r="A826" i="3"/>
  <c r="B826" i="3"/>
  <c r="D826" i="3" s="1"/>
  <c r="C826" i="3"/>
  <c r="E826" i="3"/>
  <c r="F826" i="3"/>
  <c r="AC826" i="3" s="1"/>
  <c r="G826" i="3"/>
  <c r="H826" i="3"/>
  <c r="I826" i="3"/>
  <c r="J826" i="3"/>
  <c r="K826" i="3"/>
  <c r="M826" i="3"/>
  <c r="N826" i="3"/>
  <c r="L826" i="3" s="1"/>
  <c r="Q826" i="3"/>
  <c r="R826" i="3"/>
  <c r="S826" i="3"/>
  <c r="T826" i="3"/>
  <c r="U826" i="3"/>
  <c r="V826" i="3"/>
  <c r="W826" i="3"/>
  <c r="X826" i="3"/>
  <c r="Y826" i="3"/>
  <c r="Z826" i="3"/>
  <c r="AA826" i="3"/>
  <c r="AB826" i="3"/>
  <c r="AE826" i="3"/>
  <c r="AF826" i="3"/>
  <c r="AG826" i="3"/>
  <c r="A827" i="3"/>
  <c r="B827" i="3"/>
  <c r="D827" i="3" s="1"/>
  <c r="C827" i="3"/>
  <c r="E827" i="3"/>
  <c r="F827" i="3"/>
  <c r="AC827" i="3" s="1"/>
  <c r="G827" i="3"/>
  <c r="H827" i="3"/>
  <c r="I827" i="3"/>
  <c r="J827" i="3"/>
  <c r="K827" i="3"/>
  <c r="M827" i="3"/>
  <c r="N827" i="3"/>
  <c r="L827" i="3" s="1"/>
  <c r="Q827" i="3"/>
  <c r="R827" i="3"/>
  <c r="S827" i="3"/>
  <c r="T827" i="3"/>
  <c r="U827" i="3"/>
  <c r="V827" i="3"/>
  <c r="W827" i="3"/>
  <c r="X827" i="3"/>
  <c r="Y827" i="3"/>
  <c r="Z827" i="3"/>
  <c r="AA827" i="3"/>
  <c r="AB827" i="3"/>
  <c r="AE827" i="3"/>
  <c r="AF827" i="3"/>
  <c r="AG827" i="3"/>
  <c r="A828" i="3"/>
  <c r="B828" i="3"/>
  <c r="D828" i="3" s="1"/>
  <c r="C828" i="3"/>
  <c r="E828" i="3"/>
  <c r="F828" i="3"/>
  <c r="AC828" i="3" s="1"/>
  <c r="G828" i="3"/>
  <c r="H828" i="3"/>
  <c r="I828" i="3"/>
  <c r="J828" i="3"/>
  <c r="K828" i="3"/>
  <c r="M828" i="3"/>
  <c r="N828" i="3"/>
  <c r="L828" i="3" s="1"/>
  <c r="Q828" i="3"/>
  <c r="R828" i="3"/>
  <c r="S828" i="3"/>
  <c r="T828" i="3"/>
  <c r="U828" i="3"/>
  <c r="V828" i="3"/>
  <c r="W828" i="3"/>
  <c r="X828" i="3"/>
  <c r="Y828" i="3"/>
  <c r="Z828" i="3"/>
  <c r="AA828" i="3"/>
  <c r="AB828" i="3"/>
  <c r="AE828" i="3"/>
  <c r="AF828" i="3"/>
  <c r="AG828" i="3"/>
  <c r="A829" i="3"/>
  <c r="B829" i="3"/>
  <c r="D829" i="3" s="1"/>
  <c r="C829" i="3"/>
  <c r="E829" i="3"/>
  <c r="F829" i="3"/>
  <c r="AC829" i="3" s="1"/>
  <c r="G829" i="3"/>
  <c r="H829" i="3"/>
  <c r="I829" i="3"/>
  <c r="J829" i="3"/>
  <c r="K829" i="3"/>
  <c r="M829" i="3"/>
  <c r="N829" i="3"/>
  <c r="L829" i="3" s="1"/>
  <c r="Q829" i="3"/>
  <c r="R829" i="3"/>
  <c r="S829" i="3"/>
  <c r="T829" i="3"/>
  <c r="U829" i="3"/>
  <c r="V829" i="3"/>
  <c r="W829" i="3"/>
  <c r="X829" i="3"/>
  <c r="Y829" i="3"/>
  <c r="Z829" i="3"/>
  <c r="AA829" i="3"/>
  <c r="AB829" i="3"/>
  <c r="AE829" i="3"/>
  <c r="AF829" i="3"/>
  <c r="AG829" i="3"/>
  <c r="A830" i="3"/>
  <c r="B830" i="3"/>
  <c r="D830" i="3" s="1"/>
  <c r="C830" i="3"/>
  <c r="E830" i="3"/>
  <c r="F830" i="3"/>
  <c r="AC830" i="3" s="1"/>
  <c r="G830" i="3"/>
  <c r="H830" i="3"/>
  <c r="I830" i="3"/>
  <c r="J830" i="3"/>
  <c r="K830" i="3"/>
  <c r="M830" i="3"/>
  <c r="N830" i="3"/>
  <c r="L830" i="3" s="1"/>
  <c r="Q830" i="3"/>
  <c r="R830" i="3"/>
  <c r="S830" i="3"/>
  <c r="T830" i="3"/>
  <c r="U830" i="3"/>
  <c r="V830" i="3"/>
  <c r="W830" i="3"/>
  <c r="X830" i="3"/>
  <c r="Y830" i="3"/>
  <c r="Z830" i="3"/>
  <c r="AA830" i="3"/>
  <c r="AB830" i="3"/>
  <c r="AE830" i="3"/>
  <c r="AF830" i="3"/>
  <c r="AG830" i="3"/>
  <c r="A831" i="3"/>
  <c r="B831" i="3"/>
  <c r="D831" i="3" s="1"/>
  <c r="C831" i="3"/>
  <c r="E831" i="3"/>
  <c r="F831" i="3"/>
  <c r="AC831" i="3" s="1"/>
  <c r="G831" i="3"/>
  <c r="H831" i="3"/>
  <c r="I831" i="3"/>
  <c r="J831" i="3"/>
  <c r="K831" i="3"/>
  <c r="M831" i="3"/>
  <c r="N831" i="3"/>
  <c r="L831" i="3" s="1"/>
  <c r="Q831" i="3"/>
  <c r="R831" i="3"/>
  <c r="S831" i="3"/>
  <c r="T831" i="3"/>
  <c r="U831" i="3"/>
  <c r="V831" i="3"/>
  <c r="W831" i="3"/>
  <c r="X831" i="3"/>
  <c r="Y831" i="3"/>
  <c r="Z831" i="3"/>
  <c r="AA831" i="3"/>
  <c r="AB831" i="3"/>
  <c r="AE831" i="3"/>
  <c r="AF831" i="3"/>
  <c r="AG831" i="3"/>
  <c r="A832" i="3"/>
  <c r="B832" i="3"/>
  <c r="D832" i="3" s="1"/>
  <c r="C832" i="3"/>
  <c r="E832" i="3"/>
  <c r="F832" i="3"/>
  <c r="AC832" i="3" s="1"/>
  <c r="G832" i="3"/>
  <c r="H832" i="3"/>
  <c r="I832" i="3"/>
  <c r="J832" i="3"/>
  <c r="K832" i="3"/>
  <c r="M832" i="3"/>
  <c r="N832" i="3"/>
  <c r="L832" i="3" s="1"/>
  <c r="Q832" i="3"/>
  <c r="R832" i="3"/>
  <c r="S832" i="3"/>
  <c r="T832" i="3"/>
  <c r="U832" i="3"/>
  <c r="V832" i="3"/>
  <c r="W832" i="3"/>
  <c r="X832" i="3"/>
  <c r="Y832" i="3"/>
  <c r="Z832" i="3"/>
  <c r="AA832" i="3"/>
  <c r="AB832" i="3"/>
  <c r="AE832" i="3"/>
  <c r="AF832" i="3"/>
  <c r="AG832" i="3"/>
  <c r="A833" i="3"/>
  <c r="B833" i="3"/>
  <c r="D833" i="3" s="1"/>
  <c r="C833" i="3"/>
  <c r="E833" i="3"/>
  <c r="F833" i="3"/>
  <c r="AC833" i="3" s="1"/>
  <c r="G833" i="3"/>
  <c r="H833" i="3"/>
  <c r="I833" i="3"/>
  <c r="J833" i="3"/>
  <c r="K833" i="3"/>
  <c r="M833" i="3"/>
  <c r="N833" i="3"/>
  <c r="L833" i="3" s="1"/>
  <c r="Q833" i="3"/>
  <c r="R833" i="3"/>
  <c r="S833" i="3"/>
  <c r="T833" i="3"/>
  <c r="U833" i="3"/>
  <c r="V833" i="3"/>
  <c r="W833" i="3"/>
  <c r="X833" i="3"/>
  <c r="Y833" i="3"/>
  <c r="Z833" i="3"/>
  <c r="AA833" i="3"/>
  <c r="AB833" i="3"/>
  <c r="AE833" i="3"/>
  <c r="AF833" i="3"/>
  <c r="AG833" i="3"/>
  <c r="A834" i="3"/>
  <c r="B834" i="3"/>
  <c r="D834" i="3" s="1"/>
  <c r="C834" i="3"/>
  <c r="E834" i="3"/>
  <c r="F834" i="3"/>
  <c r="AC834" i="3" s="1"/>
  <c r="G834" i="3"/>
  <c r="H834" i="3"/>
  <c r="I834" i="3"/>
  <c r="J834" i="3"/>
  <c r="K834" i="3"/>
  <c r="M834" i="3"/>
  <c r="N834" i="3"/>
  <c r="L834" i="3" s="1"/>
  <c r="Q834" i="3"/>
  <c r="R834" i="3"/>
  <c r="S834" i="3"/>
  <c r="T834" i="3"/>
  <c r="U834" i="3"/>
  <c r="V834" i="3"/>
  <c r="W834" i="3"/>
  <c r="X834" i="3"/>
  <c r="Y834" i="3"/>
  <c r="Z834" i="3"/>
  <c r="AA834" i="3"/>
  <c r="AB834" i="3"/>
  <c r="AE834" i="3"/>
  <c r="AF834" i="3"/>
  <c r="AG834" i="3"/>
  <c r="A835" i="3"/>
  <c r="B835" i="3"/>
  <c r="D835" i="3" s="1"/>
  <c r="C835" i="3"/>
  <c r="E835" i="3"/>
  <c r="F835" i="3"/>
  <c r="AC835" i="3" s="1"/>
  <c r="G835" i="3"/>
  <c r="H835" i="3"/>
  <c r="I835" i="3"/>
  <c r="J835" i="3"/>
  <c r="K835" i="3"/>
  <c r="M835" i="3"/>
  <c r="N835" i="3"/>
  <c r="L835" i="3" s="1"/>
  <c r="Q835" i="3"/>
  <c r="R835" i="3"/>
  <c r="S835" i="3"/>
  <c r="T835" i="3"/>
  <c r="U835" i="3"/>
  <c r="V835" i="3"/>
  <c r="W835" i="3"/>
  <c r="X835" i="3"/>
  <c r="Y835" i="3"/>
  <c r="Z835" i="3"/>
  <c r="AA835" i="3"/>
  <c r="AB835" i="3"/>
  <c r="AE835" i="3"/>
  <c r="AF835" i="3"/>
  <c r="AG835" i="3"/>
  <c r="A836" i="3"/>
  <c r="B836" i="3"/>
  <c r="D836" i="3" s="1"/>
  <c r="C836" i="3"/>
  <c r="E836" i="3"/>
  <c r="F836" i="3"/>
  <c r="AC836" i="3" s="1"/>
  <c r="G836" i="3"/>
  <c r="H836" i="3"/>
  <c r="I836" i="3"/>
  <c r="J836" i="3"/>
  <c r="K836" i="3"/>
  <c r="M836" i="3"/>
  <c r="N836" i="3"/>
  <c r="L836" i="3" s="1"/>
  <c r="Q836" i="3"/>
  <c r="R836" i="3"/>
  <c r="S836" i="3"/>
  <c r="T836" i="3"/>
  <c r="U836" i="3"/>
  <c r="V836" i="3"/>
  <c r="W836" i="3"/>
  <c r="X836" i="3"/>
  <c r="Y836" i="3"/>
  <c r="Z836" i="3"/>
  <c r="AA836" i="3"/>
  <c r="AB836" i="3"/>
  <c r="AE836" i="3"/>
  <c r="AF836" i="3"/>
  <c r="AG836" i="3"/>
  <c r="A837" i="3"/>
  <c r="B837" i="3"/>
  <c r="D837" i="3" s="1"/>
  <c r="C837" i="3"/>
  <c r="E837" i="3"/>
  <c r="F837" i="3"/>
  <c r="AC837" i="3" s="1"/>
  <c r="G837" i="3"/>
  <c r="H837" i="3"/>
  <c r="I837" i="3"/>
  <c r="J837" i="3"/>
  <c r="K837" i="3"/>
  <c r="M837" i="3"/>
  <c r="N837" i="3"/>
  <c r="L837" i="3" s="1"/>
  <c r="Q837" i="3"/>
  <c r="R837" i="3"/>
  <c r="S837" i="3"/>
  <c r="T837" i="3"/>
  <c r="U837" i="3"/>
  <c r="V837" i="3"/>
  <c r="W837" i="3"/>
  <c r="X837" i="3"/>
  <c r="Y837" i="3"/>
  <c r="Z837" i="3"/>
  <c r="AA837" i="3"/>
  <c r="AB837" i="3"/>
  <c r="AE837" i="3"/>
  <c r="AF837" i="3"/>
  <c r="AG837" i="3"/>
  <c r="A838" i="3"/>
  <c r="B838" i="3"/>
  <c r="D838" i="3" s="1"/>
  <c r="C838" i="3"/>
  <c r="E838" i="3"/>
  <c r="F838" i="3"/>
  <c r="AC838" i="3" s="1"/>
  <c r="G838" i="3"/>
  <c r="H838" i="3"/>
  <c r="I838" i="3"/>
  <c r="J838" i="3"/>
  <c r="K838" i="3"/>
  <c r="M838" i="3"/>
  <c r="N838" i="3"/>
  <c r="L838" i="3" s="1"/>
  <c r="Q838" i="3"/>
  <c r="R838" i="3"/>
  <c r="S838" i="3"/>
  <c r="T838" i="3"/>
  <c r="U838" i="3"/>
  <c r="V838" i="3"/>
  <c r="W838" i="3"/>
  <c r="X838" i="3"/>
  <c r="Y838" i="3"/>
  <c r="Z838" i="3"/>
  <c r="AA838" i="3"/>
  <c r="AB838" i="3"/>
  <c r="AE838" i="3"/>
  <c r="AF838" i="3"/>
  <c r="AG838" i="3"/>
  <c r="A839" i="3"/>
  <c r="B839" i="3"/>
  <c r="D839" i="3" s="1"/>
  <c r="C839" i="3"/>
  <c r="E839" i="3"/>
  <c r="F839" i="3"/>
  <c r="AC839" i="3" s="1"/>
  <c r="G839" i="3"/>
  <c r="H839" i="3"/>
  <c r="I839" i="3"/>
  <c r="J839" i="3"/>
  <c r="K839" i="3"/>
  <c r="M839" i="3"/>
  <c r="N839" i="3"/>
  <c r="L839" i="3" s="1"/>
  <c r="Q839" i="3"/>
  <c r="R839" i="3"/>
  <c r="S839" i="3"/>
  <c r="T839" i="3"/>
  <c r="U839" i="3"/>
  <c r="V839" i="3"/>
  <c r="W839" i="3"/>
  <c r="X839" i="3"/>
  <c r="Y839" i="3"/>
  <c r="Z839" i="3"/>
  <c r="AA839" i="3"/>
  <c r="AB839" i="3"/>
  <c r="AE839" i="3"/>
  <c r="AF839" i="3"/>
  <c r="AG839" i="3"/>
  <c r="A840" i="3"/>
  <c r="B840" i="3"/>
  <c r="D840" i="3" s="1"/>
  <c r="C840" i="3"/>
  <c r="E840" i="3"/>
  <c r="F840" i="3"/>
  <c r="AC840" i="3" s="1"/>
  <c r="G840" i="3"/>
  <c r="H840" i="3"/>
  <c r="I840" i="3"/>
  <c r="J840" i="3"/>
  <c r="K840" i="3"/>
  <c r="M840" i="3"/>
  <c r="N840" i="3"/>
  <c r="L840" i="3" s="1"/>
  <c r="Q840" i="3"/>
  <c r="R840" i="3"/>
  <c r="S840" i="3"/>
  <c r="T840" i="3"/>
  <c r="U840" i="3"/>
  <c r="V840" i="3"/>
  <c r="W840" i="3"/>
  <c r="X840" i="3"/>
  <c r="Y840" i="3"/>
  <c r="Z840" i="3"/>
  <c r="AA840" i="3"/>
  <c r="AB840" i="3"/>
  <c r="AE840" i="3"/>
  <c r="AF840" i="3"/>
  <c r="AG840" i="3"/>
  <c r="A841" i="3"/>
  <c r="B841" i="3"/>
  <c r="D841" i="3" s="1"/>
  <c r="C841" i="3"/>
  <c r="E841" i="3"/>
  <c r="F841" i="3"/>
  <c r="AC841" i="3" s="1"/>
  <c r="G841" i="3"/>
  <c r="H841" i="3"/>
  <c r="I841" i="3"/>
  <c r="J841" i="3"/>
  <c r="K841" i="3"/>
  <c r="M841" i="3"/>
  <c r="N841" i="3"/>
  <c r="L841" i="3" s="1"/>
  <c r="Q841" i="3"/>
  <c r="R841" i="3"/>
  <c r="S841" i="3"/>
  <c r="T841" i="3"/>
  <c r="U841" i="3"/>
  <c r="V841" i="3"/>
  <c r="W841" i="3"/>
  <c r="X841" i="3"/>
  <c r="Y841" i="3"/>
  <c r="Z841" i="3"/>
  <c r="AA841" i="3"/>
  <c r="AB841" i="3"/>
  <c r="AE841" i="3"/>
  <c r="AF841" i="3"/>
  <c r="AG841" i="3"/>
  <c r="A842" i="3"/>
  <c r="B842" i="3"/>
  <c r="D842" i="3" s="1"/>
  <c r="C842" i="3"/>
  <c r="E842" i="3"/>
  <c r="F842" i="3"/>
  <c r="AC842" i="3" s="1"/>
  <c r="G842" i="3"/>
  <c r="H842" i="3"/>
  <c r="I842" i="3"/>
  <c r="J842" i="3"/>
  <c r="K842" i="3"/>
  <c r="M842" i="3"/>
  <c r="N842" i="3"/>
  <c r="L842" i="3" s="1"/>
  <c r="Q842" i="3"/>
  <c r="R842" i="3"/>
  <c r="S842" i="3"/>
  <c r="T842" i="3"/>
  <c r="U842" i="3"/>
  <c r="V842" i="3"/>
  <c r="W842" i="3"/>
  <c r="X842" i="3"/>
  <c r="Y842" i="3"/>
  <c r="Z842" i="3"/>
  <c r="AA842" i="3"/>
  <c r="AB842" i="3"/>
  <c r="AE842" i="3"/>
  <c r="AF842" i="3"/>
  <c r="AG842" i="3"/>
  <c r="A843" i="3"/>
  <c r="B843" i="3"/>
  <c r="D843" i="3" s="1"/>
  <c r="C843" i="3"/>
  <c r="E843" i="3"/>
  <c r="F843" i="3"/>
  <c r="AC843" i="3" s="1"/>
  <c r="G843" i="3"/>
  <c r="H843" i="3"/>
  <c r="I843" i="3"/>
  <c r="J843" i="3"/>
  <c r="K843" i="3"/>
  <c r="M843" i="3"/>
  <c r="N843" i="3"/>
  <c r="L843" i="3" s="1"/>
  <c r="Q843" i="3"/>
  <c r="R843" i="3"/>
  <c r="S843" i="3"/>
  <c r="T843" i="3"/>
  <c r="U843" i="3"/>
  <c r="V843" i="3"/>
  <c r="W843" i="3"/>
  <c r="X843" i="3"/>
  <c r="Y843" i="3"/>
  <c r="Z843" i="3"/>
  <c r="AA843" i="3"/>
  <c r="AB843" i="3"/>
  <c r="AE843" i="3"/>
  <c r="AF843" i="3"/>
  <c r="AG843" i="3"/>
  <c r="A844" i="3"/>
  <c r="B844" i="3"/>
  <c r="D844" i="3" s="1"/>
  <c r="C844" i="3"/>
  <c r="E844" i="3"/>
  <c r="F844" i="3"/>
  <c r="AC844" i="3" s="1"/>
  <c r="G844" i="3"/>
  <c r="H844" i="3"/>
  <c r="I844" i="3"/>
  <c r="J844" i="3"/>
  <c r="K844" i="3"/>
  <c r="M844" i="3"/>
  <c r="N844" i="3"/>
  <c r="L844" i="3" s="1"/>
  <c r="Q844" i="3"/>
  <c r="R844" i="3"/>
  <c r="S844" i="3"/>
  <c r="T844" i="3"/>
  <c r="U844" i="3"/>
  <c r="V844" i="3"/>
  <c r="W844" i="3"/>
  <c r="X844" i="3"/>
  <c r="Y844" i="3"/>
  <c r="Z844" i="3"/>
  <c r="AA844" i="3"/>
  <c r="AB844" i="3"/>
  <c r="AE844" i="3"/>
  <c r="AF844" i="3"/>
  <c r="AG844" i="3"/>
  <c r="A845" i="3"/>
  <c r="B845" i="3"/>
  <c r="D845" i="3" s="1"/>
  <c r="C845" i="3"/>
  <c r="E845" i="3"/>
  <c r="F845" i="3"/>
  <c r="AC845" i="3" s="1"/>
  <c r="G845" i="3"/>
  <c r="H845" i="3"/>
  <c r="I845" i="3"/>
  <c r="J845" i="3"/>
  <c r="K845" i="3"/>
  <c r="M845" i="3"/>
  <c r="N845" i="3"/>
  <c r="L845" i="3" s="1"/>
  <c r="Q845" i="3"/>
  <c r="R845" i="3"/>
  <c r="S845" i="3"/>
  <c r="T845" i="3"/>
  <c r="U845" i="3"/>
  <c r="V845" i="3"/>
  <c r="W845" i="3"/>
  <c r="X845" i="3"/>
  <c r="Y845" i="3"/>
  <c r="Z845" i="3"/>
  <c r="AA845" i="3"/>
  <c r="AB845" i="3"/>
  <c r="AE845" i="3"/>
  <c r="AF845" i="3"/>
  <c r="AG845" i="3"/>
  <c r="A846" i="3"/>
  <c r="B846" i="3"/>
  <c r="D846" i="3" s="1"/>
  <c r="C846" i="3"/>
  <c r="E846" i="3"/>
  <c r="F846" i="3"/>
  <c r="AC846" i="3" s="1"/>
  <c r="G846" i="3"/>
  <c r="H846" i="3"/>
  <c r="I846" i="3"/>
  <c r="J846" i="3"/>
  <c r="K846" i="3"/>
  <c r="M846" i="3"/>
  <c r="N846" i="3"/>
  <c r="L846" i="3" s="1"/>
  <c r="Q846" i="3"/>
  <c r="R846" i="3"/>
  <c r="S846" i="3"/>
  <c r="T846" i="3"/>
  <c r="U846" i="3"/>
  <c r="V846" i="3"/>
  <c r="W846" i="3"/>
  <c r="X846" i="3"/>
  <c r="Y846" i="3"/>
  <c r="Z846" i="3"/>
  <c r="AA846" i="3"/>
  <c r="AB846" i="3"/>
  <c r="AE846" i="3"/>
  <c r="AF846" i="3"/>
  <c r="AG846" i="3"/>
  <c r="A847" i="3"/>
  <c r="B847" i="3"/>
  <c r="D847" i="3" s="1"/>
  <c r="C847" i="3"/>
  <c r="E847" i="3"/>
  <c r="F847" i="3"/>
  <c r="AC847" i="3" s="1"/>
  <c r="G847" i="3"/>
  <c r="H847" i="3"/>
  <c r="I847" i="3"/>
  <c r="J847" i="3"/>
  <c r="K847" i="3"/>
  <c r="M847" i="3"/>
  <c r="N847" i="3"/>
  <c r="L847" i="3" s="1"/>
  <c r="Q847" i="3"/>
  <c r="R847" i="3"/>
  <c r="S847" i="3"/>
  <c r="T847" i="3"/>
  <c r="U847" i="3"/>
  <c r="V847" i="3"/>
  <c r="W847" i="3"/>
  <c r="X847" i="3"/>
  <c r="Y847" i="3"/>
  <c r="Z847" i="3"/>
  <c r="AA847" i="3"/>
  <c r="AB847" i="3"/>
  <c r="AE847" i="3"/>
  <c r="AF847" i="3"/>
  <c r="AG847" i="3"/>
  <c r="A848" i="3"/>
  <c r="B848" i="3"/>
  <c r="D848" i="3" s="1"/>
  <c r="C848" i="3"/>
  <c r="E848" i="3"/>
  <c r="F848" i="3"/>
  <c r="AC848" i="3" s="1"/>
  <c r="G848" i="3"/>
  <c r="H848" i="3"/>
  <c r="I848" i="3"/>
  <c r="J848" i="3"/>
  <c r="K848" i="3"/>
  <c r="M848" i="3"/>
  <c r="N848" i="3"/>
  <c r="L848" i="3" s="1"/>
  <c r="Q848" i="3"/>
  <c r="R848" i="3"/>
  <c r="S848" i="3"/>
  <c r="T848" i="3"/>
  <c r="U848" i="3"/>
  <c r="V848" i="3"/>
  <c r="W848" i="3"/>
  <c r="X848" i="3"/>
  <c r="Y848" i="3"/>
  <c r="Z848" i="3"/>
  <c r="AA848" i="3"/>
  <c r="AB848" i="3"/>
  <c r="AE848" i="3"/>
  <c r="AF848" i="3"/>
  <c r="AG848" i="3"/>
  <c r="A849" i="3"/>
  <c r="B849" i="3"/>
  <c r="D849" i="3" s="1"/>
  <c r="C849" i="3"/>
  <c r="E849" i="3"/>
  <c r="F849" i="3"/>
  <c r="AC849" i="3" s="1"/>
  <c r="G849" i="3"/>
  <c r="H849" i="3"/>
  <c r="I849" i="3"/>
  <c r="J849" i="3"/>
  <c r="K849" i="3"/>
  <c r="M849" i="3"/>
  <c r="N849" i="3"/>
  <c r="L849" i="3" s="1"/>
  <c r="Q849" i="3"/>
  <c r="R849" i="3"/>
  <c r="S849" i="3"/>
  <c r="T849" i="3"/>
  <c r="U849" i="3"/>
  <c r="V849" i="3"/>
  <c r="W849" i="3"/>
  <c r="X849" i="3"/>
  <c r="Y849" i="3"/>
  <c r="Z849" i="3"/>
  <c r="AA849" i="3"/>
  <c r="AB849" i="3"/>
  <c r="AE849" i="3"/>
  <c r="AF849" i="3"/>
  <c r="AG849" i="3"/>
  <c r="A850" i="3"/>
  <c r="B850" i="3"/>
  <c r="D850" i="3" s="1"/>
  <c r="C850" i="3"/>
  <c r="E850" i="3"/>
  <c r="F850" i="3"/>
  <c r="AC850" i="3" s="1"/>
  <c r="G850" i="3"/>
  <c r="H850" i="3"/>
  <c r="I850" i="3"/>
  <c r="J850" i="3"/>
  <c r="K850" i="3"/>
  <c r="M850" i="3"/>
  <c r="N850" i="3"/>
  <c r="L850" i="3" s="1"/>
  <c r="Q850" i="3"/>
  <c r="R850" i="3"/>
  <c r="S850" i="3"/>
  <c r="T850" i="3"/>
  <c r="U850" i="3"/>
  <c r="V850" i="3"/>
  <c r="W850" i="3"/>
  <c r="X850" i="3"/>
  <c r="Y850" i="3"/>
  <c r="Z850" i="3"/>
  <c r="AA850" i="3"/>
  <c r="AB850" i="3"/>
  <c r="AE850" i="3"/>
  <c r="AF850" i="3"/>
  <c r="AG850" i="3"/>
  <c r="A851" i="3"/>
  <c r="B851" i="3"/>
  <c r="D851" i="3" s="1"/>
  <c r="C851" i="3"/>
  <c r="E851" i="3"/>
  <c r="F851" i="3"/>
  <c r="AC851" i="3" s="1"/>
  <c r="G851" i="3"/>
  <c r="H851" i="3"/>
  <c r="I851" i="3"/>
  <c r="J851" i="3"/>
  <c r="K851" i="3"/>
  <c r="M851" i="3"/>
  <c r="N851" i="3"/>
  <c r="L851" i="3" s="1"/>
  <c r="Q851" i="3"/>
  <c r="R851" i="3"/>
  <c r="S851" i="3"/>
  <c r="T851" i="3"/>
  <c r="U851" i="3"/>
  <c r="V851" i="3"/>
  <c r="W851" i="3"/>
  <c r="X851" i="3"/>
  <c r="Y851" i="3"/>
  <c r="Z851" i="3"/>
  <c r="AA851" i="3"/>
  <c r="AB851" i="3"/>
  <c r="AE851" i="3"/>
  <c r="AF851" i="3"/>
  <c r="AG851" i="3"/>
  <c r="A852" i="3"/>
  <c r="B852" i="3"/>
  <c r="D852" i="3" s="1"/>
  <c r="C852" i="3"/>
  <c r="E852" i="3"/>
  <c r="F852" i="3"/>
  <c r="AC852" i="3" s="1"/>
  <c r="G852" i="3"/>
  <c r="H852" i="3"/>
  <c r="I852" i="3"/>
  <c r="J852" i="3"/>
  <c r="K852" i="3"/>
  <c r="M852" i="3"/>
  <c r="N852" i="3"/>
  <c r="L852" i="3" s="1"/>
  <c r="Q852" i="3"/>
  <c r="R852" i="3"/>
  <c r="S852" i="3"/>
  <c r="T852" i="3"/>
  <c r="U852" i="3"/>
  <c r="V852" i="3"/>
  <c r="W852" i="3"/>
  <c r="X852" i="3"/>
  <c r="Y852" i="3"/>
  <c r="Z852" i="3"/>
  <c r="AA852" i="3"/>
  <c r="AB852" i="3"/>
  <c r="AE852" i="3"/>
  <c r="AF852" i="3"/>
  <c r="AG852" i="3"/>
  <c r="A853" i="3"/>
  <c r="B853" i="3"/>
  <c r="D853" i="3" s="1"/>
  <c r="C853" i="3"/>
  <c r="E853" i="3"/>
  <c r="F853" i="3"/>
  <c r="AC853" i="3" s="1"/>
  <c r="G853" i="3"/>
  <c r="H853" i="3"/>
  <c r="I853" i="3"/>
  <c r="J853" i="3"/>
  <c r="K853" i="3"/>
  <c r="M853" i="3"/>
  <c r="N853" i="3"/>
  <c r="L853" i="3" s="1"/>
  <c r="Q853" i="3"/>
  <c r="R853" i="3"/>
  <c r="S853" i="3"/>
  <c r="T853" i="3"/>
  <c r="U853" i="3"/>
  <c r="V853" i="3"/>
  <c r="W853" i="3"/>
  <c r="X853" i="3"/>
  <c r="Y853" i="3"/>
  <c r="Z853" i="3"/>
  <c r="AA853" i="3"/>
  <c r="AB853" i="3"/>
  <c r="AE853" i="3"/>
  <c r="AF853" i="3"/>
  <c r="AG853" i="3"/>
  <c r="A854" i="3"/>
  <c r="B854" i="3"/>
  <c r="D854" i="3" s="1"/>
  <c r="C854" i="3"/>
  <c r="E854" i="3"/>
  <c r="F854" i="3"/>
  <c r="AC854" i="3" s="1"/>
  <c r="G854" i="3"/>
  <c r="H854" i="3"/>
  <c r="I854" i="3"/>
  <c r="J854" i="3"/>
  <c r="K854" i="3"/>
  <c r="M854" i="3"/>
  <c r="N854" i="3"/>
  <c r="L854" i="3" s="1"/>
  <c r="Q854" i="3"/>
  <c r="R854" i="3"/>
  <c r="S854" i="3"/>
  <c r="T854" i="3"/>
  <c r="U854" i="3"/>
  <c r="V854" i="3"/>
  <c r="W854" i="3"/>
  <c r="X854" i="3"/>
  <c r="Y854" i="3"/>
  <c r="Z854" i="3"/>
  <c r="AA854" i="3"/>
  <c r="AB854" i="3"/>
  <c r="AE854" i="3"/>
  <c r="AF854" i="3"/>
  <c r="AG854" i="3"/>
  <c r="A855" i="3"/>
  <c r="B855" i="3"/>
  <c r="D855" i="3" s="1"/>
  <c r="C855" i="3"/>
  <c r="E855" i="3"/>
  <c r="F855" i="3"/>
  <c r="AC855" i="3" s="1"/>
  <c r="G855" i="3"/>
  <c r="H855" i="3"/>
  <c r="I855" i="3"/>
  <c r="J855" i="3"/>
  <c r="K855" i="3"/>
  <c r="M855" i="3"/>
  <c r="N855" i="3"/>
  <c r="L855" i="3" s="1"/>
  <c r="Q855" i="3"/>
  <c r="R855" i="3"/>
  <c r="S855" i="3"/>
  <c r="T855" i="3"/>
  <c r="U855" i="3"/>
  <c r="V855" i="3"/>
  <c r="W855" i="3"/>
  <c r="X855" i="3"/>
  <c r="Y855" i="3"/>
  <c r="Z855" i="3"/>
  <c r="AA855" i="3"/>
  <c r="AB855" i="3"/>
  <c r="AE855" i="3"/>
  <c r="AF855" i="3"/>
  <c r="AG855" i="3"/>
  <c r="A856" i="3"/>
  <c r="B856" i="3"/>
  <c r="D856" i="3" s="1"/>
  <c r="C856" i="3"/>
  <c r="E856" i="3"/>
  <c r="F856" i="3"/>
  <c r="AC856" i="3" s="1"/>
  <c r="G856" i="3"/>
  <c r="H856" i="3"/>
  <c r="I856" i="3"/>
  <c r="J856" i="3"/>
  <c r="K856" i="3"/>
  <c r="M856" i="3"/>
  <c r="N856" i="3"/>
  <c r="L856" i="3" s="1"/>
  <c r="Q856" i="3"/>
  <c r="R856" i="3"/>
  <c r="S856" i="3"/>
  <c r="T856" i="3"/>
  <c r="U856" i="3"/>
  <c r="V856" i="3"/>
  <c r="W856" i="3"/>
  <c r="X856" i="3"/>
  <c r="Y856" i="3"/>
  <c r="Z856" i="3"/>
  <c r="AA856" i="3"/>
  <c r="AB856" i="3"/>
  <c r="AE856" i="3"/>
  <c r="AF856" i="3"/>
  <c r="AG856" i="3"/>
  <c r="A857" i="3"/>
  <c r="B857" i="3"/>
  <c r="D857" i="3" s="1"/>
  <c r="C857" i="3"/>
  <c r="E857" i="3"/>
  <c r="F857" i="3"/>
  <c r="AC857" i="3" s="1"/>
  <c r="G857" i="3"/>
  <c r="H857" i="3"/>
  <c r="I857" i="3"/>
  <c r="J857" i="3"/>
  <c r="K857" i="3"/>
  <c r="M857" i="3"/>
  <c r="N857" i="3"/>
  <c r="L857" i="3" s="1"/>
  <c r="Q857" i="3"/>
  <c r="R857" i="3"/>
  <c r="S857" i="3"/>
  <c r="T857" i="3"/>
  <c r="U857" i="3"/>
  <c r="V857" i="3"/>
  <c r="W857" i="3"/>
  <c r="X857" i="3"/>
  <c r="Y857" i="3"/>
  <c r="Z857" i="3"/>
  <c r="AA857" i="3"/>
  <c r="AB857" i="3"/>
  <c r="AE857" i="3"/>
  <c r="AF857" i="3"/>
  <c r="AG857" i="3"/>
  <c r="A858" i="3"/>
  <c r="B858" i="3"/>
  <c r="D858" i="3" s="1"/>
  <c r="C858" i="3"/>
  <c r="E858" i="3"/>
  <c r="F858" i="3"/>
  <c r="AC858" i="3" s="1"/>
  <c r="G858" i="3"/>
  <c r="H858" i="3"/>
  <c r="I858" i="3"/>
  <c r="J858" i="3"/>
  <c r="K858" i="3"/>
  <c r="M858" i="3"/>
  <c r="N858" i="3"/>
  <c r="L858" i="3" s="1"/>
  <c r="Q858" i="3"/>
  <c r="R858" i="3"/>
  <c r="S858" i="3"/>
  <c r="T858" i="3"/>
  <c r="U858" i="3"/>
  <c r="V858" i="3"/>
  <c r="W858" i="3"/>
  <c r="X858" i="3"/>
  <c r="Y858" i="3"/>
  <c r="Z858" i="3"/>
  <c r="AA858" i="3"/>
  <c r="AB858" i="3"/>
  <c r="AE858" i="3"/>
  <c r="AF858" i="3"/>
  <c r="AG858" i="3"/>
  <c r="A859" i="3"/>
  <c r="B859" i="3"/>
  <c r="D859" i="3" s="1"/>
  <c r="C859" i="3"/>
  <c r="E859" i="3"/>
  <c r="F859" i="3"/>
  <c r="AC859" i="3" s="1"/>
  <c r="G859" i="3"/>
  <c r="H859" i="3"/>
  <c r="I859" i="3"/>
  <c r="J859" i="3"/>
  <c r="K859" i="3"/>
  <c r="M859" i="3"/>
  <c r="N859" i="3"/>
  <c r="L859" i="3" s="1"/>
  <c r="Q859" i="3"/>
  <c r="R859" i="3"/>
  <c r="S859" i="3"/>
  <c r="T859" i="3"/>
  <c r="U859" i="3"/>
  <c r="V859" i="3"/>
  <c r="W859" i="3"/>
  <c r="X859" i="3"/>
  <c r="Y859" i="3"/>
  <c r="Z859" i="3"/>
  <c r="AA859" i="3"/>
  <c r="AB859" i="3"/>
  <c r="AE859" i="3"/>
  <c r="AF859" i="3"/>
  <c r="AG859" i="3"/>
  <c r="A860" i="3"/>
  <c r="B860" i="3"/>
  <c r="D860" i="3" s="1"/>
  <c r="C860" i="3"/>
  <c r="E860" i="3"/>
  <c r="F860" i="3"/>
  <c r="AC860" i="3" s="1"/>
  <c r="G860" i="3"/>
  <c r="H860" i="3"/>
  <c r="I860" i="3"/>
  <c r="J860" i="3"/>
  <c r="K860" i="3"/>
  <c r="M860" i="3"/>
  <c r="N860" i="3"/>
  <c r="L860" i="3" s="1"/>
  <c r="Q860" i="3"/>
  <c r="R860" i="3"/>
  <c r="S860" i="3"/>
  <c r="T860" i="3"/>
  <c r="U860" i="3"/>
  <c r="V860" i="3"/>
  <c r="W860" i="3"/>
  <c r="X860" i="3"/>
  <c r="Y860" i="3"/>
  <c r="Z860" i="3"/>
  <c r="AA860" i="3"/>
  <c r="AB860" i="3"/>
  <c r="AE860" i="3"/>
  <c r="AF860" i="3"/>
  <c r="AG860" i="3"/>
  <c r="A861" i="3"/>
  <c r="B861" i="3"/>
  <c r="D861" i="3" s="1"/>
  <c r="C861" i="3"/>
  <c r="E861" i="3"/>
  <c r="F861" i="3"/>
  <c r="AC861" i="3" s="1"/>
  <c r="G861" i="3"/>
  <c r="H861" i="3"/>
  <c r="I861" i="3"/>
  <c r="J861" i="3"/>
  <c r="K861" i="3"/>
  <c r="M861" i="3"/>
  <c r="N861" i="3"/>
  <c r="L861" i="3" s="1"/>
  <c r="Q861" i="3"/>
  <c r="R861" i="3"/>
  <c r="S861" i="3"/>
  <c r="T861" i="3"/>
  <c r="U861" i="3"/>
  <c r="V861" i="3"/>
  <c r="W861" i="3"/>
  <c r="X861" i="3"/>
  <c r="Y861" i="3"/>
  <c r="Z861" i="3"/>
  <c r="AA861" i="3"/>
  <c r="AB861" i="3"/>
  <c r="AE861" i="3"/>
  <c r="AF861" i="3"/>
  <c r="AG861" i="3"/>
  <c r="A862" i="3"/>
  <c r="B862" i="3"/>
  <c r="D862" i="3" s="1"/>
  <c r="C862" i="3"/>
  <c r="E862" i="3"/>
  <c r="F862" i="3"/>
  <c r="AC862" i="3" s="1"/>
  <c r="G862" i="3"/>
  <c r="H862" i="3"/>
  <c r="I862" i="3"/>
  <c r="J862" i="3"/>
  <c r="K862" i="3"/>
  <c r="M862" i="3"/>
  <c r="N862" i="3"/>
  <c r="L862" i="3" s="1"/>
  <c r="Q862" i="3"/>
  <c r="R862" i="3"/>
  <c r="S862" i="3"/>
  <c r="T862" i="3"/>
  <c r="U862" i="3"/>
  <c r="V862" i="3"/>
  <c r="W862" i="3"/>
  <c r="X862" i="3"/>
  <c r="Y862" i="3"/>
  <c r="Z862" i="3"/>
  <c r="AA862" i="3"/>
  <c r="AB862" i="3"/>
  <c r="AE862" i="3"/>
  <c r="AF862" i="3"/>
  <c r="AG862" i="3"/>
  <c r="A863" i="3"/>
  <c r="B863" i="3"/>
  <c r="D863" i="3" s="1"/>
  <c r="C863" i="3"/>
  <c r="E863" i="3"/>
  <c r="F863" i="3"/>
  <c r="AC863" i="3" s="1"/>
  <c r="G863" i="3"/>
  <c r="H863" i="3"/>
  <c r="I863" i="3"/>
  <c r="J863" i="3"/>
  <c r="K863" i="3"/>
  <c r="M863" i="3"/>
  <c r="N863" i="3"/>
  <c r="L863" i="3" s="1"/>
  <c r="Q863" i="3"/>
  <c r="R863" i="3"/>
  <c r="S863" i="3"/>
  <c r="T863" i="3"/>
  <c r="U863" i="3"/>
  <c r="V863" i="3"/>
  <c r="W863" i="3"/>
  <c r="X863" i="3"/>
  <c r="Y863" i="3"/>
  <c r="Z863" i="3"/>
  <c r="AA863" i="3"/>
  <c r="AB863" i="3"/>
  <c r="AE863" i="3"/>
  <c r="AF863" i="3"/>
  <c r="AG863" i="3"/>
  <c r="A864" i="3"/>
  <c r="B864" i="3"/>
  <c r="D864" i="3" s="1"/>
  <c r="C864" i="3"/>
  <c r="E864" i="3"/>
  <c r="F864" i="3"/>
  <c r="AC864" i="3" s="1"/>
  <c r="G864" i="3"/>
  <c r="H864" i="3"/>
  <c r="I864" i="3"/>
  <c r="J864" i="3"/>
  <c r="K864" i="3"/>
  <c r="M864" i="3"/>
  <c r="N864" i="3"/>
  <c r="L864" i="3" s="1"/>
  <c r="Q864" i="3"/>
  <c r="R864" i="3"/>
  <c r="S864" i="3"/>
  <c r="T864" i="3"/>
  <c r="U864" i="3"/>
  <c r="V864" i="3"/>
  <c r="W864" i="3"/>
  <c r="X864" i="3"/>
  <c r="Y864" i="3"/>
  <c r="Z864" i="3"/>
  <c r="AA864" i="3"/>
  <c r="AB864" i="3"/>
  <c r="AE864" i="3"/>
  <c r="AF864" i="3"/>
  <c r="AG864" i="3"/>
  <c r="A865" i="3"/>
  <c r="B865" i="3"/>
  <c r="D865" i="3" s="1"/>
  <c r="C865" i="3"/>
  <c r="E865" i="3"/>
  <c r="F865" i="3"/>
  <c r="AC865" i="3" s="1"/>
  <c r="G865" i="3"/>
  <c r="H865" i="3"/>
  <c r="I865" i="3"/>
  <c r="J865" i="3"/>
  <c r="K865" i="3"/>
  <c r="M865" i="3"/>
  <c r="N865" i="3"/>
  <c r="L865" i="3" s="1"/>
  <c r="Q865" i="3"/>
  <c r="R865" i="3"/>
  <c r="S865" i="3"/>
  <c r="T865" i="3"/>
  <c r="U865" i="3"/>
  <c r="V865" i="3"/>
  <c r="W865" i="3"/>
  <c r="X865" i="3"/>
  <c r="Y865" i="3"/>
  <c r="Z865" i="3"/>
  <c r="AA865" i="3"/>
  <c r="AB865" i="3"/>
  <c r="AE865" i="3"/>
  <c r="AF865" i="3"/>
  <c r="AG865" i="3"/>
  <c r="A866" i="3"/>
  <c r="B866" i="3"/>
  <c r="D866" i="3" s="1"/>
  <c r="C866" i="3"/>
  <c r="E866" i="3"/>
  <c r="F866" i="3"/>
  <c r="AC866" i="3" s="1"/>
  <c r="G866" i="3"/>
  <c r="H866" i="3"/>
  <c r="I866" i="3"/>
  <c r="J866" i="3"/>
  <c r="K866" i="3"/>
  <c r="M866" i="3"/>
  <c r="N866" i="3"/>
  <c r="L866" i="3" s="1"/>
  <c r="Q866" i="3"/>
  <c r="R866" i="3"/>
  <c r="S866" i="3"/>
  <c r="T866" i="3"/>
  <c r="U866" i="3"/>
  <c r="V866" i="3"/>
  <c r="W866" i="3"/>
  <c r="X866" i="3"/>
  <c r="Y866" i="3"/>
  <c r="Z866" i="3"/>
  <c r="AA866" i="3"/>
  <c r="AB866" i="3"/>
  <c r="AE866" i="3"/>
  <c r="AF866" i="3"/>
  <c r="AG866" i="3"/>
  <c r="A867" i="3"/>
  <c r="B867" i="3"/>
  <c r="D867" i="3" s="1"/>
  <c r="C867" i="3"/>
  <c r="E867" i="3"/>
  <c r="F867" i="3"/>
  <c r="AC867" i="3" s="1"/>
  <c r="G867" i="3"/>
  <c r="H867" i="3"/>
  <c r="I867" i="3"/>
  <c r="J867" i="3"/>
  <c r="K867" i="3"/>
  <c r="M867" i="3"/>
  <c r="N867" i="3"/>
  <c r="L867" i="3" s="1"/>
  <c r="Q867" i="3"/>
  <c r="R867" i="3"/>
  <c r="S867" i="3"/>
  <c r="T867" i="3"/>
  <c r="U867" i="3"/>
  <c r="V867" i="3"/>
  <c r="W867" i="3"/>
  <c r="X867" i="3"/>
  <c r="Y867" i="3"/>
  <c r="Z867" i="3"/>
  <c r="AA867" i="3"/>
  <c r="AB867" i="3"/>
  <c r="AE867" i="3"/>
  <c r="AF867" i="3"/>
  <c r="AG867" i="3"/>
  <c r="A868" i="3"/>
  <c r="B868" i="3"/>
  <c r="D868" i="3" s="1"/>
  <c r="C868" i="3"/>
  <c r="E868" i="3"/>
  <c r="F868" i="3"/>
  <c r="AC868" i="3" s="1"/>
  <c r="G868" i="3"/>
  <c r="H868" i="3"/>
  <c r="I868" i="3"/>
  <c r="J868" i="3"/>
  <c r="K868" i="3"/>
  <c r="M868" i="3"/>
  <c r="N868" i="3"/>
  <c r="L868" i="3" s="1"/>
  <c r="Q868" i="3"/>
  <c r="R868" i="3"/>
  <c r="S868" i="3"/>
  <c r="T868" i="3"/>
  <c r="U868" i="3"/>
  <c r="V868" i="3"/>
  <c r="W868" i="3"/>
  <c r="X868" i="3"/>
  <c r="Y868" i="3"/>
  <c r="Z868" i="3"/>
  <c r="AA868" i="3"/>
  <c r="AB868" i="3"/>
  <c r="AE868" i="3"/>
  <c r="AF868" i="3"/>
  <c r="AG868" i="3"/>
  <c r="A869" i="3"/>
  <c r="B869" i="3"/>
  <c r="D869" i="3" s="1"/>
  <c r="C869" i="3"/>
  <c r="E869" i="3"/>
  <c r="F869" i="3"/>
  <c r="AC869" i="3" s="1"/>
  <c r="G869" i="3"/>
  <c r="H869" i="3"/>
  <c r="I869" i="3"/>
  <c r="J869" i="3"/>
  <c r="K869" i="3"/>
  <c r="M869" i="3"/>
  <c r="N869" i="3"/>
  <c r="L869" i="3" s="1"/>
  <c r="Q869" i="3"/>
  <c r="R869" i="3"/>
  <c r="S869" i="3"/>
  <c r="T869" i="3"/>
  <c r="U869" i="3"/>
  <c r="V869" i="3"/>
  <c r="W869" i="3"/>
  <c r="X869" i="3"/>
  <c r="Y869" i="3"/>
  <c r="Z869" i="3"/>
  <c r="AA869" i="3"/>
  <c r="AB869" i="3"/>
  <c r="AE869" i="3"/>
  <c r="AF869" i="3"/>
  <c r="AG869" i="3"/>
  <c r="A870" i="3"/>
  <c r="B870" i="3"/>
  <c r="D870" i="3" s="1"/>
  <c r="C870" i="3"/>
  <c r="E870" i="3"/>
  <c r="F870" i="3"/>
  <c r="AC870" i="3" s="1"/>
  <c r="G870" i="3"/>
  <c r="H870" i="3"/>
  <c r="I870" i="3"/>
  <c r="J870" i="3"/>
  <c r="K870" i="3"/>
  <c r="M870" i="3"/>
  <c r="N870" i="3"/>
  <c r="L870" i="3" s="1"/>
  <c r="Q870" i="3"/>
  <c r="R870" i="3"/>
  <c r="S870" i="3"/>
  <c r="T870" i="3"/>
  <c r="U870" i="3"/>
  <c r="V870" i="3"/>
  <c r="W870" i="3"/>
  <c r="X870" i="3"/>
  <c r="Y870" i="3"/>
  <c r="Z870" i="3"/>
  <c r="AA870" i="3"/>
  <c r="AB870" i="3"/>
  <c r="AE870" i="3"/>
  <c r="AF870" i="3"/>
  <c r="AG870" i="3"/>
  <c r="A871" i="3"/>
  <c r="B871" i="3"/>
  <c r="D871" i="3" s="1"/>
  <c r="C871" i="3"/>
  <c r="E871" i="3"/>
  <c r="F871" i="3"/>
  <c r="AC871" i="3" s="1"/>
  <c r="G871" i="3"/>
  <c r="H871" i="3"/>
  <c r="I871" i="3"/>
  <c r="J871" i="3"/>
  <c r="K871" i="3"/>
  <c r="M871" i="3"/>
  <c r="N871" i="3"/>
  <c r="L871" i="3" s="1"/>
  <c r="Q871" i="3"/>
  <c r="R871" i="3"/>
  <c r="S871" i="3"/>
  <c r="T871" i="3"/>
  <c r="U871" i="3"/>
  <c r="V871" i="3"/>
  <c r="W871" i="3"/>
  <c r="X871" i="3"/>
  <c r="Y871" i="3"/>
  <c r="Z871" i="3"/>
  <c r="AA871" i="3"/>
  <c r="AB871" i="3"/>
  <c r="AE871" i="3"/>
  <c r="AF871" i="3"/>
  <c r="AG871" i="3"/>
  <c r="A872" i="3"/>
  <c r="B872" i="3"/>
  <c r="D872" i="3" s="1"/>
  <c r="C872" i="3"/>
  <c r="E872" i="3"/>
  <c r="F872" i="3"/>
  <c r="AC872" i="3" s="1"/>
  <c r="G872" i="3"/>
  <c r="H872" i="3"/>
  <c r="I872" i="3"/>
  <c r="J872" i="3"/>
  <c r="K872" i="3"/>
  <c r="M872" i="3"/>
  <c r="N872" i="3"/>
  <c r="L872" i="3" s="1"/>
  <c r="Q872" i="3"/>
  <c r="R872" i="3"/>
  <c r="S872" i="3"/>
  <c r="T872" i="3"/>
  <c r="U872" i="3"/>
  <c r="V872" i="3"/>
  <c r="W872" i="3"/>
  <c r="X872" i="3"/>
  <c r="Y872" i="3"/>
  <c r="Z872" i="3"/>
  <c r="AA872" i="3"/>
  <c r="AB872" i="3"/>
  <c r="AE872" i="3"/>
  <c r="AF872" i="3"/>
  <c r="AG872" i="3"/>
  <c r="A873" i="3"/>
  <c r="B873" i="3"/>
  <c r="D873" i="3" s="1"/>
  <c r="C873" i="3"/>
  <c r="E873" i="3"/>
  <c r="F873" i="3"/>
  <c r="AC873" i="3" s="1"/>
  <c r="G873" i="3"/>
  <c r="H873" i="3"/>
  <c r="I873" i="3"/>
  <c r="J873" i="3"/>
  <c r="K873" i="3"/>
  <c r="M873" i="3"/>
  <c r="N873" i="3"/>
  <c r="L873" i="3" s="1"/>
  <c r="Q873" i="3"/>
  <c r="R873" i="3"/>
  <c r="S873" i="3"/>
  <c r="T873" i="3"/>
  <c r="U873" i="3"/>
  <c r="V873" i="3"/>
  <c r="W873" i="3"/>
  <c r="X873" i="3"/>
  <c r="Y873" i="3"/>
  <c r="Z873" i="3"/>
  <c r="AA873" i="3"/>
  <c r="AB873" i="3"/>
  <c r="AE873" i="3"/>
  <c r="AF873" i="3"/>
  <c r="AG873" i="3"/>
  <c r="A874" i="3"/>
  <c r="B874" i="3"/>
  <c r="D874" i="3" s="1"/>
  <c r="C874" i="3"/>
  <c r="E874" i="3"/>
  <c r="F874" i="3"/>
  <c r="AC874" i="3" s="1"/>
  <c r="G874" i="3"/>
  <c r="H874" i="3"/>
  <c r="I874" i="3"/>
  <c r="J874" i="3"/>
  <c r="K874" i="3"/>
  <c r="M874" i="3"/>
  <c r="N874" i="3"/>
  <c r="L874" i="3" s="1"/>
  <c r="Q874" i="3"/>
  <c r="R874" i="3"/>
  <c r="S874" i="3"/>
  <c r="T874" i="3"/>
  <c r="U874" i="3"/>
  <c r="V874" i="3"/>
  <c r="W874" i="3"/>
  <c r="X874" i="3"/>
  <c r="Y874" i="3"/>
  <c r="Z874" i="3"/>
  <c r="AA874" i="3"/>
  <c r="AB874" i="3"/>
  <c r="AE874" i="3"/>
  <c r="AF874" i="3"/>
  <c r="AG874" i="3"/>
  <c r="A875" i="3"/>
  <c r="B875" i="3"/>
  <c r="D875" i="3" s="1"/>
  <c r="C875" i="3"/>
  <c r="E875" i="3"/>
  <c r="F875" i="3"/>
  <c r="AC875" i="3" s="1"/>
  <c r="G875" i="3"/>
  <c r="H875" i="3"/>
  <c r="I875" i="3"/>
  <c r="J875" i="3"/>
  <c r="K875" i="3"/>
  <c r="M875" i="3"/>
  <c r="N875" i="3"/>
  <c r="L875" i="3" s="1"/>
  <c r="Q875" i="3"/>
  <c r="R875" i="3"/>
  <c r="S875" i="3"/>
  <c r="T875" i="3"/>
  <c r="U875" i="3"/>
  <c r="V875" i="3"/>
  <c r="W875" i="3"/>
  <c r="X875" i="3"/>
  <c r="Y875" i="3"/>
  <c r="Z875" i="3"/>
  <c r="AA875" i="3"/>
  <c r="AB875" i="3"/>
  <c r="AE875" i="3"/>
  <c r="AF875" i="3"/>
  <c r="AG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N876" i="3"/>
  <c r="Q876" i="3"/>
  <c r="R876" i="3"/>
  <c r="S876" i="3"/>
  <c r="T876" i="3"/>
  <c r="U876" i="3"/>
  <c r="V876" i="3"/>
  <c r="W876" i="3"/>
  <c r="X876" i="3"/>
  <c r="Y876" i="3"/>
  <c r="Z876" i="3"/>
  <c r="AA876" i="3"/>
  <c r="AB876" i="3"/>
  <c r="AC876" i="3"/>
  <c r="AE876" i="3"/>
  <c r="AF876" i="3"/>
  <c r="AG876" i="3"/>
  <c r="A877" i="3"/>
  <c r="B877" i="3"/>
  <c r="D877" i="3" s="1"/>
  <c r="C877" i="3"/>
  <c r="E877" i="3"/>
  <c r="F877" i="3"/>
  <c r="AC877" i="3" s="1"/>
  <c r="G877" i="3"/>
  <c r="H877" i="3"/>
  <c r="I877" i="3"/>
  <c r="J877" i="3"/>
  <c r="K877" i="3"/>
  <c r="M877" i="3"/>
  <c r="N877" i="3"/>
  <c r="L877" i="3" s="1"/>
  <c r="Q877" i="3"/>
  <c r="R877" i="3"/>
  <c r="S877" i="3"/>
  <c r="T877" i="3"/>
  <c r="U877" i="3"/>
  <c r="V877" i="3"/>
  <c r="W877" i="3"/>
  <c r="X877" i="3"/>
  <c r="Y877" i="3"/>
  <c r="Z877" i="3"/>
  <c r="AA877" i="3"/>
  <c r="AB877" i="3"/>
  <c r="AE877" i="3"/>
  <c r="AF877" i="3"/>
  <c r="AG877" i="3"/>
  <c r="A878" i="3"/>
  <c r="B878" i="3"/>
  <c r="D878" i="3" s="1"/>
  <c r="C878" i="3"/>
  <c r="E878" i="3"/>
  <c r="F878" i="3"/>
  <c r="AC878" i="3" s="1"/>
  <c r="G878" i="3"/>
  <c r="H878" i="3"/>
  <c r="I878" i="3"/>
  <c r="J878" i="3"/>
  <c r="K878" i="3"/>
  <c r="M878" i="3"/>
  <c r="N878" i="3"/>
  <c r="L878" i="3" s="1"/>
  <c r="Q878" i="3"/>
  <c r="R878" i="3"/>
  <c r="S878" i="3"/>
  <c r="T878" i="3"/>
  <c r="U878" i="3"/>
  <c r="V878" i="3"/>
  <c r="W878" i="3"/>
  <c r="X878" i="3"/>
  <c r="Y878" i="3"/>
  <c r="Z878" i="3"/>
  <c r="AA878" i="3"/>
  <c r="AB878" i="3"/>
  <c r="AE878" i="3"/>
  <c r="AF878" i="3"/>
  <c r="AG878" i="3"/>
  <c r="A879" i="3"/>
  <c r="B879" i="3"/>
  <c r="D879" i="3" s="1"/>
  <c r="C879" i="3"/>
  <c r="E879" i="3"/>
  <c r="F879" i="3"/>
  <c r="AC879" i="3" s="1"/>
  <c r="G879" i="3"/>
  <c r="H879" i="3"/>
  <c r="I879" i="3"/>
  <c r="J879" i="3"/>
  <c r="K879" i="3"/>
  <c r="M879" i="3"/>
  <c r="N879" i="3"/>
  <c r="L879" i="3" s="1"/>
  <c r="Q879" i="3"/>
  <c r="R879" i="3"/>
  <c r="S879" i="3"/>
  <c r="T879" i="3"/>
  <c r="U879" i="3"/>
  <c r="V879" i="3"/>
  <c r="W879" i="3"/>
  <c r="X879" i="3"/>
  <c r="Y879" i="3"/>
  <c r="Z879" i="3"/>
  <c r="AA879" i="3"/>
  <c r="AB879" i="3"/>
  <c r="AE879" i="3"/>
  <c r="AF879" i="3"/>
  <c r="AG879" i="3"/>
  <c r="Y2" i="3" l="1"/>
  <c r="X2" i="3"/>
  <c r="W2" i="3"/>
  <c r="V2" i="3"/>
  <c r="AA2" i="3" l="1"/>
  <c r="T2" i="3"/>
  <c r="M2" i="3"/>
  <c r="AE2" i="3" l="1"/>
  <c r="AG2" i="3"/>
  <c r="AF2" i="3"/>
  <c r="AB2" i="3"/>
  <c r="Z2" i="3"/>
  <c r="U2" i="3"/>
  <c r="S2" i="3"/>
  <c r="R2" i="3"/>
  <c r="Q2" i="3"/>
  <c r="N2" i="3"/>
  <c r="L2" i="3" s="1"/>
  <c r="K2" i="3" l="1"/>
  <c r="J2" i="3"/>
  <c r="I2" i="3"/>
  <c r="H2" i="3"/>
  <c r="G2" i="3"/>
  <c r="F2" i="3"/>
  <c r="AC2" i="3" s="1"/>
  <c r="E2" i="3"/>
  <c r="C2" i="3"/>
  <c r="B2" i="3"/>
  <c r="D2" i="3" s="1"/>
  <c r="A2" i="3"/>
</calcChain>
</file>

<file path=xl/sharedStrings.xml><?xml version="1.0" encoding="utf-8"?>
<sst xmlns="http://schemas.openxmlformats.org/spreadsheetml/2006/main" count="1956" uniqueCount="165">
  <si>
    <t>Id</t>
  </si>
  <si>
    <t>Numero</t>
  </si>
  <si>
    <t>Testructura</t>
  </si>
  <si>
    <t>Cota</t>
  </si>
  <si>
    <t>Vertice</t>
  </si>
  <si>
    <t>Angulo</t>
  </si>
  <si>
    <t>VanoDelante</t>
  </si>
  <si>
    <t>Cantsoportes</t>
  </si>
  <si>
    <t>Tsoporte</t>
  </si>
  <si>
    <t>VanoPeso</t>
  </si>
  <si>
    <t>Vanoviento</t>
  </si>
  <si>
    <t>Retenidas</t>
  </si>
  <si>
    <t>Contrapesos</t>
  </si>
  <si>
    <t>AmortiguadoresCP</t>
  </si>
  <si>
    <t>AmortiguadoresCG</t>
  </si>
  <si>
    <t>AmortiguadoresCS</t>
  </si>
  <si>
    <t>Tierra</t>
  </si>
  <si>
    <t>-</t>
  </si>
  <si>
    <t>Cimentacion</t>
  </si>
  <si>
    <t>Progresiva</t>
  </si>
  <si>
    <t>Tconductor</t>
  </si>
  <si>
    <t>Tauxiliar</t>
  </si>
  <si>
    <t>Accesibilidad</t>
  </si>
  <si>
    <t>Darboles</t>
  </si>
  <si>
    <t>Tnormal</t>
  </si>
  <si>
    <t>Trocoso</t>
  </si>
  <si>
    <t>Thumedo</t>
  </si>
  <si>
    <t>Comentarios</t>
  </si>
  <si>
    <t>Nombre</t>
  </si>
  <si>
    <t>DesPosteMAD</t>
  </si>
  <si>
    <t>DesRetenida</t>
  </si>
  <si>
    <t>MatExcedente</t>
  </si>
  <si>
    <t>TkV</t>
  </si>
  <si>
    <t>AbrazAislador</t>
  </si>
  <si>
    <t>DesPosteFierro</t>
  </si>
  <si>
    <t>DesVano</t>
  </si>
  <si>
    <t>DesArmados</t>
  </si>
  <si>
    <t>DesSecc</t>
  </si>
  <si>
    <t>AAAC-35</t>
  </si>
  <si>
    <t>PAT-1</t>
  </si>
  <si>
    <t>PS1-0</t>
  </si>
  <si>
    <t>PA2-0</t>
  </si>
  <si>
    <t>TS-0</t>
  </si>
  <si>
    <t>DS-0</t>
  </si>
  <si>
    <t>PR3-0</t>
  </si>
  <si>
    <t>PA1-0</t>
  </si>
  <si>
    <t>EST. Nº</t>
  </si>
  <si>
    <t>Fundación</t>
  </si>
  <si>
    <t>Tipo
Aislador
Pin</t>
  </si>
  <si>
    <t>Tipo
Aislador Suspensión</t>
  </si>
  <si>
    <t>Despeje de
Arboles %</t>
  </si>
  <si>
    <t>Abrazadera
Para Aislador de Suspensión</t>
  </si>
  <si>
    <t>Principal</t>
  </si>
  <si>
    <t>Auxiliar</t>
  </si>
  <si>
    <t>Fusible
Jgo</t>
  </si>
  <si>
    <t>Vano
Peso
m</t>
  </si>
  <si>
    <t>Vano
Viento
m</t>
  </si>
  <si>
    <t>Vértice</t>
  </si>
  <si>
    <t>Cantidad</t>
  </si>
  <si>
    <t>Longitud</t>
  </si>
  <si>
    <t>Material</t>
  </si>
  <si>
    <t>codigo</t>
  </si>
  <si>
    <t>Tipo de Terreno  (%)</t>
  </si>
  <si>
    <t>Vano Adelante</t>
  </si>
  <si>
    <t>Sección</t>
  </si>
  <si>
    <t>Nº  de</t>
  </si>
  <si>
    <t>Amortiguadores</t>
  </si>
  <si>
    <t>RI-A</t>
  </si>
  <si>
    <t>RV-A</t>
  </si>
  <si>
    <t>RYI</t>
  </si>
  <si>
    <t>RYV</t>
  </si>
  <si>
    <t>Tipo</t>
  </si>
  <si>
    <t>'IPB-36'</t>
  </si>
  <si>
    <t>13/200</t>
  </si>
  <si>
    <t>PAT-0</t>
  </si>
  <si>
    <t>13/300</t>
  </si>
  <si>
    <t>E10V</t>
  </si>
  <si>
    <t>E4V</t>
  </si>
  <si>
    <t>PTV-0</t>
  </si>
  <si>
    <t>E1V</t>
  </si>
  <si>
    <t>Po</t>
  </si>
  <si>
    <t>P1</t>
  </si>
  <si>
    <t>V1</t>
  </si>
  <si>
    <t>V2</t>
  </si>
  <si>
    <t>FLP</t>
  </si>
  <si>
    <t>V3</t>
  </si>
  <si>
    <t>V4</t>
  </si>
  <si>
    <t>V6</t>
  </si>
  <si>
    <t>V</t>
  </si>
  <si>
    <t>13m/C6</t>
  </si>
  <si>
    <t>0°</t>
  </si>
  <si>
    <t>1RI</t>
  </si>
  <si>
    <t>CIM3</t>
  </si>
  <si>
    <t>2RI</t>
  </si>
  <si>
    <t>-38°39'35.31"</t>
  </si>
  <si>
    <t>-8°26'40.14"</t>
  </si>
  <si>
    <t>73°40'13.91"</t>
  </si>
  <si>
    <t>E0</t>
  </si>
  <si>
    <t>17°33'25.89"</t>
  </si>
  <si>
    <t>28°1'10.60"</t>
  </si>
  <si>
    <t>E5V</t>
  </si>
  <si>
    <t>-47°57'36.33"</t>
  </si>
  <si>
    <t>E9V</t>
  </si>
  <si>
    <t>-18°56'14.64"</t>
  </si>
  <si>
    <t>E16V</t>
  </si>
  <si>
    <t>E24V</t>
  </si>
  <si>
    <t>E27V</t>
  </si>
  <si>
    <t>-28°14'18.05"</t>
  </si>
  <si>
    <t>PA3-0</t>
  </si>
  <si>
    <t>E28V</t>
  </si>
  <si>
    <t>90°56'13.64"</t>
  </si>
  <si>
    <t>E20V</t>
  </si>
  <si>
    <t>-49°6'5.01"</t>
  </si>
  <si>
    <t>E32V</t>
  </si>
  <si>
    <t>DT-0</t>
  </si>
  <si>
    <t>v1</t>
  </si>
  <si>
    <t>v2</t>
  </si>
  <si>
    <t>v3</t>
  </si>
  <si>
    <t>-49°23'31.58"</t>
  </si>
  <si>
    <t>v4</t>
  </si>
  <si>
    <t>-70°37'31.68"</t>
  </si>
  <si>
    <t>v5</t>
  </si>
  <si>
    <t>33°42'24.53"</t>
  </si>
  <si>
    <t>v6</t>
  </si>
  <si>
    <t>69°0'22.91"</t>
  </si>
  <si>
    <t>v7</t>
  </si>
  <si>
    <t>20°42'57.20"</t>
  </si>
  <si>
    <t>CIM1</t>
  </si>
  <si>
    <t>E22</t>
  </si>
  <si>
    <t>Derivacion 19 kV, 1x35 mm² AAAC - 1øMRT -Pto Libre-Pto-Yarina</t>
  </si>
  <si>
    <t>Derivación  19 kV, 1x35 mm² AAAC - 1øMRT - Nazareth</t>
  </si>
  <si>
    <t>Derivación  19 kV, 1x35 mm² AAAC - 1øMRT - Shanshuya</t>
  </si>
  <si>
    <t>Derivación  19 kV, 1x35 mm² AAAC - 1øMRT -Vista Alegre</t>
  </si>
  <si>
    <t>Línea Primaria 19 kV, 1x35 mm² AAAC - 1øMRT - Juan Santos Atahualpa - Puerto Porvenir</t>
  </si>
  <si>
    <t>Línea Primaria 19 kV, 1x35 mm² AAAC - 1øMRT - San Juan - Sargento Lorenz</t>
  </si>
  <si>
    <t>PSEC-0PA</t>
  </si>
  <si>
    <t>PSEC-0P</t>
  </si>
  <si>
    <t>-4°52'16.80"</t>
  </si>
  <si>
    <t>-32°0'15.78"</t>
  </si>
  <si>
    <t>-25°20'11.83"</t>
  </si>
  <si>
    <t>34°55'37.99"</t>
  </si>
  <si>
    <t>P2</t>
  </si>
  <si>
    <t>0°0'0.46"</t>
  </si>
  <si>
    <t>-5°20'28.34"</t>
  </si>
  <si>
    <t>DS-0A</t>
  </si>
  <si>
    <t>19°17'10.30"</t>
  </si>
  <si>
    <t>22°9'44.64"</t>
  </si>
  <si>
    <t>12°51'51.82"</t>
  </si>
  <si>
    <t>-21°3'57.24"</t>
  </si>
  <si>
    <t>P10</t>
  </si>
  <si>
    <t>16°52'31.28"</t>
  </si>
  <si>
    <t>6°29'52.94"</t>
  </si>
  <si>
    <t>6°32'0.68"</t>
  </si>
  <si>
    <t>CRIO</t>
  </si>
  <si>
    <t>-70°38'53.76"</t>
  </si>
  <si>
    <t>VFLOJO</t>
  </si>
  <si>
    <t>39°51'32.33"</t>
  </si>
  <si>
    <t>60°37'10.73"</t>
  </si>
  <si>
    <t>22°35'25.12"</t>
  </si>
  <si>
    <t>23°18'22.07"</t>
  </si>
  <si>
    <t>-1°29'12.43"</t>
  </si>
  <si>
    <t>7°29'14.35"</t>
  </si>
  <si>
    <t>28°0'5.30"</t>
  </si>
  <si>
    <t>FL</t>
  </si>
  <si>
    <t>Armado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</si>
</sst>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rgb="FF0000FF"/>
      <name val="Cambria"/>
      <family val="2"/>
      <scheme val="major"/>
    </font>
    <font>
      <sz val="11"/>
      <name val="Cambria"/>
      <family val="2"/>
      <scheme val="major"/>
    </font>
    <font>
      <sz val="11"/>
      <name val="Calibri"/>
      <family val="2"/>
      <scheme val="minor"/>
    </font>
    <font>
      <sz val="11"/>
      <name val="Cambria"/>
      <family val="1"/>
      <scheme val="major"/>
    </font>
    <font>
      <i/>
      <sz val="1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30">
    <xf numFmtId="0" fontId="0" fillId="0" borderId="0"/>
    <xf numFmtId="0" fontId="13" fillId="0" borderId="0"/>
    <xf numFmtId="0" fontId="14" fillId="0" borderId="0"/>
    <xf numFmtId="0" fontId="12" fillId="0" borderId="0"/>
    <xf numFmtId="9" fontId="14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14" fillId="0" borderId="0"/>
    <xf numFmtId="0" fontId="8" fillId="0" borderId="0"/>
    <xf numFmtId="0" fontId="8" fillId="0" borderId="0"/>
    <xf numFmtId="9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20" fillId="0" borderId="0"/>
    <xf numFmtId="0" fontId="20" fillId="0" borderId="0">
      <alignment vertical="top"/>
    </xf>
    <xf numFmtId="0" fontId="5" fillId="0" borderId="0"/>
    <xf numFmtId="0" fontId="4" fillId="0" borderId="0"/>
    <xf numFmtId="0" fontId="3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0" fillId="0" borderId="1" xfId="0" applyBorder="1"/>
    <xf numFmtId="0" fontId="16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3" borderId="0" xfId="0" applyFont="1" applyFill="1" applyAlignment="1">
      <alignment horizontal="center" vertical="center"/>
    </xf>
    <xf numFmtId="0" fontId="17" fillId="0" borderId="0" xfId="11" applyFont="1" applyAlignment="1">
      <alignment horizontal="right"/>
    </xf>
    <xf numFmtId="0" fontId="18" fillId="0" borderId="0" xfId="0" applyFont="1" applyAlignment="1">
      <alignment horizontal="center" vertical="center"/>
    </xf>
    <xf numFmtId="9" fontId="16" fillId="0" borderId="0" xfId="4" applyFont="1" applyFill="1"/>
    <xf numFmtId="0" fontId="16" fillId="3" borderId="0" xfId="0" applyFont="1" applyFill="1"/>
    <xf numFmtId="164" fontId="16" fillId="0" borderId="0" xfId="0" applyNumberFormat="1" applyFont="1"/>
    <xf numFmtId="0" fontId="16" fillId="0" borderId="0" xfId="0" applyFont="1" applyAlignment="1">
      <alignment horizontal="center"/>
    </xf>
    <xf numFmtId="0" fontId="17" fillId="3" borderId="0" xfId="11" applyFont="1" applyFill="1" applyAlignment="1">
      <alignment horizontal="right"/>
    </xf>
    <xf numFmtId="0" fontId="17" fillId="4" borderId="0" xfId="11" applyFont="1" applyFill="1" applyAlignment="1">
      <alignment horizontal="right"/>
    </xf>
    <xf numFmtId="0" fontId="19" fillId="3" borderId="0" xfId="11" applyFont="1" applyFill="1" applyAlignment="1">
      <alignment horizontal="right"/>
    </xf>
    <xf numFmtId="0" fontId="18" fillId="5" borderId="0" xfId="0" applyFont="1" applyFill="1" applyAlignment="1">
      <alignment horizontal="center" vertical="center"/>
    </xf>
    <xf numFmtId="0" fontId="17" fillId="6" borderId="0" xfId="11" applyFont="1" applyFill="1" applyAlignment="1">
      <alignment horizontal="right"/>
    </xf>
    <xf numFmtId="0" fontId="17" fillId="7" borderId="0" xfId="11" applyFont="1" applyFill="1" applyAlignment="1">
      <alignment horizontal="right"/>
    </xf>
    <xf numFmtId="0" fontId="0" fillId="0" borderId="0" xfId="0" quotePrefix="1"/>
    <xf numFmtId="9" fontId="0" fillId="0" borderId="0" xfId="0" applyNumberFormat="1"/>
    <xf numFmtId="0" fontId="5" fillId="0" borderId="0" xfId="26"/>
    <xf numFmtId="0" fontId="4" fillId="0" borderId="0" xfId="27"/>
    <xf numFmtId="0" fontId="3" fillId="0" borderId="0" xfId="28"/>
    <xf numFmtId="0" fontId="2" fillId="0" borderId="0" xfId="28" applyFont="1"/>
    <xf numFmtId="0" fontId="2" fillId="0" borderId="0" xfId="27" applyFont="1"/>
    <xf numFmtId="0" fontId="1" fillId="0" borderId="0" xfId="29"/>
    <xf numFmtId="0" fontId="21" fillId="0" borderId="6" xfId="24" applyFont="1" applyBorder="1" applyAlignment="1">
      <alignment horizontal="center" vertical="center" textRotation="90"/>
    </xf>
    <xf numFmtId="0" fontId="20" fillId="0" borderId="2" xfId="24" applyBorder="1" applyAlignment="1">
      <alignment vertical="center" textRotation="90"/>
    </xf>
    <xf numFmtId="0" fontId="21" fillId="0" borderId="2" xfId="24" applyFont="1" applyBorder="1" applyAlignment="1">
      <alignment vertical="center" textRotation="90"/>
    </xf>
    <xf numFmtId="0" fontId="21" fillId="0" borderId="6" xfId="24" applyFont="1" applyBorder="1" applyAlignment="1">
      <alignment vertical="center" textRotation="90"/>
    </xf>
    <xf numFmtId="0" fontId="21" fillId="0" borderId="7" xfId="24" applyFont="1" applyBorder="1" applyAlignment="1">
      <alignment vertical="center" textRotation="90"/>
    </xf>
    <xf numFmtId="0" fontId="21" fillId="0" borderId="8" xfId="24" applyFont="1" applyBorder="1" applyAlignment="1">
      <alignment vertical="center" textRotation="90"/>
    </xf>
    <xf numFmtId="0" fontId="22" fillId="0" borderId="6" xfId="24" applyFont="1" applyBorder="1" applyAlignment="1">
      <alignment vertical="center" textRotation="90"/>
    </xf>
    <xf numFmtId="0" fontId="21" fillId="0" borderId="9" xfId="24" applyFont="1" applyBorder="1" applyAlignment="1">
      <alignment vertical="center" textRotation="90"/>
    </xf>
    <xf numFmtId="0" fontId="20" fillId="0" borderId="7" xfId="25" applyBorder="1" applyAlignment="1">
      <alignment vertical="center" textRotation="90"/>
    </xf>
    <xf numFmtId="0" fontId="20" fillId="0" borderId="8" xfId="25" applyBorder="1" applyAlignment="1">
      <alignment vertical="center" textRotation="90"/>
    </xf>
    <xf numFmtId="0" fontId="21" fillId="0" borderId="3" xfId="24" applyFont="1" applyBorder="1" applyAlignment="1">
      <alignment vertical="center" textRotation="90"/>
    </xf>
    <xf numFmtId="0" fontId="21" fillId="0" borderId="4" xfId="24" applyFont="1" applyBorder="1" applyAlignment="1">
      <alignment vertical="center" textRotation="90"/>
    </xf>
    <xf numFmtId="0" fontId="21" fillId="0" borderId="5" xfId="24" applyFont="1" applyBorder="1" applyAlignment="1">
      <alignment vertical="center" textRotation="90"/>
    </xf>
    <xf numFmtId="0" fontId="21" fillId="0" borderId="9" xfId="24" applyFont="1" applyBorder="1" applyAlignment="1">
      <alignment horizontal="center" vertical="center" textRotation="90"/>
    </xf>
    <xf numFmtId="0" fontId="21" fillId="0" borderId="10" xfId="24" applyFont="1" applyBorder="1" applyAlignment="1">
      <alignment horizontal="center" vertical="center" textRotation="90"/>
    </xf>
    <xf numFmtId="0" fontId="21" fillId="0" borderId="7" xfId="24" applyFont="1" applyBorder="1" applyAlignment="1">
      <alignment horizontal="center" vertical="center" textRotation="90"/>
    </xf>
    <xf numFmtId="0" fontId="21" fillId="0" borderId="8" xfId="24" applyFont="1" applyBorder="1" applyAlignment="1">
      <alignment horizontal="center" vertical="center" textRotation="90"/>
    </xf>
    <xf numFmtId="0" fontId="20" fillId="0" borderId="2" xfId="25" applyBorder="1" applyAlignment="1">
      <alignment vertical="center" textRotation="90"/>
    </xf>
  </cellXfs>
  <cellStyles count="30">
    <cellStyle name="Normal" xfId="0" builtinId="0"/>
    <cellStyle name="Normal 10" xfId="22" xr:uid="{00000000-0005-0000-0000-000001000000}"/>
    <cellStyle name="Normal 11" xfId="23" xr:uid="{00000000-0005-0000-0000-000002000000}"/>
    <cellStyle name="Normal 12" xfId="26" xr:uid="{00000000-0005-0000-0000-000003000000}"/>
    <cellStyle name="Normal 13" xfId="27" xr:uid="{00000000-0005-0000-0000-000004000000}"/>
    <cellStyle name="Normal 14" xfId="28" xr:uid="{00000000-0005-0000-0000-000005000000}"/>
    <cellStyle name="Normal 15" xfId="29" xr:uid="{00000000-0005-0000-0000-000006000000}"/>
    <cellStyle name="Normal 2" xfId="1" xr:uid="{00000000-0005-0000-0000-000007000000}"/>
    <cellStyle name="Normal 2 2" xfId="7" xr:uid="{00000000-0005-0000-0000-000008000000}"/>
    <cellStyle name="Normal 2 2 2" xfId="18" xr:uid="{00000000-0005-0000-0000-000009000000}"/>
    <cellStyle name="Normal 2 3" xfId="13" xr:uid="{00000000-0005-0000-0000-00000A000000}"/>
    <cellStyle name="Normal 2 79" xfId="24" xr:uid="{00000000-0005-0000-0000-00000B000000}"/>
    <cellStyle name="Normal 3" xfId="2" xr:uid="{00000000-0005-0000-0000-00000C000000}"/>
    <cellStyle name="Normal 4" xfId="3" xr:uid="{00000000-0005-0000-0000-00000D000000}"/>
    <cellStyle name="Normal 4 2" xfId="8" xr:uid="{00000000-0005-0000-0000-00000E000000}"/>
    <cellStyle name="Normal 4 2 2" xfId="19" xr:uid="{00000000-0005-0000-0000-00000F000000}"/>
    <cellStyle name="Normal 4 3" xfId="14" xr:uid="{00000000-0005-0000-0000-000010000000}"/>
    <cellStyle name="Normal 5" xfId="5" xr:uid="{00000000-0005-0000-0000-000011000000}"/>
    <cellStyle name="Normal 5 2" xfId="9" xr:uid="{00000000-0005-0000-0000-000012000000}"/>
    <cellStyle name="Normal 5 2 2" xfId="20" xr:uid="{00000000-0005-0000-0000-000013000000}"/>
    <cellStyle name="Normal 5 3" xfId="16" xr:uid="{00000000-0005-0000-0000-000014000000}"/>
    <cellStyle name="Normal 6" xfId="6" xr:uid="{00000000-0005-0000-0000-000015000000}"/>
    <cellStyle name="Normal 6 2" xfId="17" xr:uid="{00000000-0005-0000-0000-000016000000}"/>
    <cellStyle name="Normal 7" xfId="10" xr:uid="{00000000-0005-0000-0000-000017000000}"/>
    <cellStyle name="Normal 7 2" xfId="21" xr:uid="{00000000-0005-0000-0000-000018000000}"/>
    <cellStyle name="Normal 73" xfId="25" xr:uid="{00000000-0005-0000-0000-000019000000}"/>
    <cellStyle name="Normal 8" xfId="11" xr:uid="{00000000-0005-0000-0000-00001A000000}"/>
    <cellStyle name="Normal 9" xfId="12" xr:uid="{00000000-0005-0000-0000-00001B000000}"/>
    <cellStyle name="Percent" xfId="4" builtinId="5"/>
    <cellStyle name="Porcentaje 2" xfId="15" xr:uid="{00000000-0005-0000-0000-00001D00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esktop\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s"/>
      <sheetName val="Hoja1"/>
      <sheetName val="1"/>
      <sheetName val="2"/>
      <sheetName val="3"/>
      <sheetName val="3.1"/>
      <sheetName val="4"/>
      <sheetName val="5"/>
      <sheetName val="6"/>
      <sheetName val="7"/>
      <sheetName val="8"/>
      <sheetName val="9"/>
      <sheetName val="10"/>
      <sheetName val="11"/>
      <sheetName val="12"/>
      <sheetName val="14"/>
      <sheetName val="15"/>
      <sheetName val="16"/>
      <sheetName val="17"/>
      <sheetName val="18"/>
      <sheetName val="19"/>
      <sheetName val="20"/>
      <sheetName val="20.1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</sheetNames>
    <sheetDataSet>
      <sheetData sheetId="0"/>
      <sheetData sheetId="1">
        <row r="1">
          <cell r="A1" t="str">
            <v>NUM</v>
          </cell>
          <cell r="B1" t="str">
            <v>Tramos de Lineas Primrias</v>
          </cell>
          <cell r="D1" t="str">
            <v xml:space="preserve">DEPARTAMENTO </v>
          </cell>
          <cell r="E1" t="str">
            <v>PROVINCIA</v>
          </cell>
          <cell r="F1" t="str">
            <v>DISTRITO</v>
          </cell>
        </row>
        <row r="2">
          <cell r="A2">
            <v>1</v>
          </cell>
          <cell r="B2" t="str">
            <v>DERIVACIÓN - SANTA HERMINIA BAJA 3</v>
          </cell>
          <cell r="C2" t="str">
            <v>N</v>
          </cell>
          <cell r="D2" t="str">
            <v>JUNÍN</v>
          </cell>
          <cell r="E2" t="str">
            <v>CHANCHAMAYO</v>
          </cell>
          <cell r="F2" t="str">
            <v>SAN LUIS DE SHUARO</v>
          </cell>
        </row>
        <row r="3">
          <cell r="A3">
            <v>2</v>
          </cell>
          <cell r="B3" t="str">
            <v>DERIVACIÓN - SANTA HERMINIA BAJA 2</v>
          </cell>
          <cell r="C3" t="str">
            <v>N</v>
          </cell>
          <cell r="D3" t="str">
            <v>JUNÍN</v>
          </cell>
          <cell r="E3" t="str">
            <v>CHANCHAMAYO</v>
          </cell>
          <cell r="F3" t="str">
            <v>SAN LUIS DE SHUARO</v>
          </cell>
        </row>
        <row r="4">
          <cell r="A4">
            <v>3</v>
          </cell>
          <cell r="B4" t="str">
            <v>DERIVACIÓN - SANTA HERMINIA ALTA 1,2 Y 3</v>
          </cell>
          <cell r="C4" t="str">
            <v>N</v>
          </cell>
          <cell r="D4" t="str">
            <v>JUNÍN</v>
          </cell>
          <cell r="E4" t="str">
            <v>CHANCHAMAYO</v>
          </cell>
          <cell r="F4" t="str">
            <v>SAN LUIS DE SHUARO</v>
          </cell>
        </row>
        <row r="5">
          <cell r="A5">
            <v>3.1</v>
          </cell>
          <cell r="B5" t="str">
            <v>DERIVACION - SANTA HERMINIA 1 2 3 (2)</v>
          </cell>
          <cell r="C5" t="str">
            <v>P</v>
          </cell>
          <cell r="D5" t="str">
            <v>JUNÍN</v>
          </cell>
          <cell r="E5" t="str">
            <v>CHANCHAMAYO</v>
          </cell>
          <cell r="F5" t="str">
            <v>SAN LUIS DE SHUARO</v>
          </cell>
        </row>
        <row r="6">
          <cell r="A6">
            <v>4</v>
          </cell>
          <cell r="B6" t="str">
            <v>DERIVACIÓN - SANTA HERMINIA BAJA 1</v>
          </cell>
          <cell r="C6" t="str">
            <v>N</v>
          </cell>
          <cell r="D6" t="str">
            <v>JUNÍN</v>
          </cell>
          <cell r="E6" t="str">
            <v>CHANCHAMAYO</v>
          </cell>
          <cell r="F6" t="str">
            <v>SAN LUIS DE SHUARO</v>
          </cell>
        </row>
        <row r="7">
          <cell r="A7">
            <v>5</v>
          </cell>
          <cell r="B7" t="str">
            <v>DERIVACIÓN - CENTRO UNION</v>
          </cell>
          <cell r="C7" t="str">
            <v>N</v>
          </cell>
          <cell r="D7" t="str">
            <v>JUNÍN</v>
          </cell>
          <cell r="E7" t="str">
            <v>CHANCHAMAYO</v>
          </cell>
          <cell r="F7" t="str">
            <v>SAN LUIS DE SHUARO</v>
          </cell>
        </row>
        <row r="8">
          <cell r="A8">
            <v>6</v>
          </cell>
          <cell r="B8" t="str">
            <v>DERIVACIÓN - PAMPA RICA 1 Y 2 SED Nº 1</v>
          </cell>
          <cell r="C8" t="str">
            <v>N</v>
          </cell>
          <cell r="D8" t="str">
            <v>JUNÍN</v>
          </cell>
          <cell r="E8" t="str">
            <v>CHANCHAMAYO</v>
          </cell>
          <cell r="F8" t="str">
            <v>SAN LUIS DE SHUARO</v>
          </cell>
        </row>
        <row r="9">
          <cell r="A9">
            <v>7</v>
          </cell>
          <cell r="B9" t="str">
            <v>DERIVACIÓN - PAMPA RICA 1 Y 2 SED Nº 2</v>
          </cell>
          <cell r="C9" t="str">
            <v>N</v>
          </cell>
          <cell r="D9" t="str">
            <v>JUNÍN</v>
          </cell>
          <cell r="E9" t="str">
            <v>CHANCHAMAYO</v>
          </cell>
          <cell r="F9" t="str">
            <v>SAN LUIS DE SHUARO</v>
          </cell>
        </row>
        <row r="10">
          <cell r="A10">
            <v>8</v>
          </cell>
          <cell r="B10" t="str">
            <v>DERIVACIÓN - ALTO SANCHIRIO SECTOR LAPA</v>
          </cell>
          <cell r="C10" t="str">
            <v>N</v>
          </cell>
          <cell r="D10" t="str">
            <v>JUNÍN</v>
          </cell>
          <cell r="E10" t="str">
            <v>CHANCHAMAYO</v>
          </cell>
          <cell r="F10" t="str">
            <v>SAN LUIS DE SHUARO</v>
          </cell>
        </row>
        <row r="11">
          <cell r="A11">
            <v>9</v>
          </cell>
          <cell r="B11" t="str">
            <v>DERIVACIÓN - LAS TERRAZAS</v>
          </cell>
          <cell r="C11" t="str">
            <v>N</v>
          </cell>
          <cell r="D11" t="str">
            <v>JUNÍN</v>
          </cell>
          <cell r="E11" t="str">
            <v>CHANCHAMAYO</v>
          </cell>
          <cell r="F11" t="str">
            <v>SAN LUIS DE SHUARO</v>
          </cell>
        </row>
        <row r="12">
          <cell r="A12">
            <v>10</v>
          </cell>
          <cell r="B12" t="str">
            <v>DERIVACIÓN - SANTA ROSA DE PALOMAR</v>
          </cell>
          <cell r="C12" t="str">
            <v>N</v>
          </cell>
          <cell r="D12" t="str">
            <v>JUNÍN</v>
          </cell>
          <cell r="E12" t="str">
            <v>CHANCHAMAYO</v>
          </cell>
          <cell r="F12" t="str">
            <v>SAN LUIS DE SHUARO</v>
          </cell>
        </row>
        <row r="13">
          <cell r="A13">
            <v>11</v>
          </cell>
          <cell r="B13" t="str">
            <v>DERIVACIÓN - SAN FRANCISCO II</v>
          </cell>
          <cell r="C13" t="str">
            <v>N</v>
          </cell>
          <cell r="D13" t="str">
            <v>JUNÍN</v>
          </cell>
          <cell r="E13" t="str">
            <v>CHANCHAMAYO</v>
          </cell>
          <cell r="F13" t="str">
            <v>SAN LUIS DE SHUARO</v>
          </cell>
        </row>
        <row r="14">
          <cell r="A14">
            <v>13</v>
          </cell>
          <cell r="B14" t="str">
            <v>DERIVACIÓN - LAS PALMAS</v>
          </cell>
        </row>
        <row r="15">
          <cell r="A15">
            <v>12</v>
          </cell>
          <cell r="B15" t="str">
            <v>DERIVACIÓN - PUÑIZAS CENTRAL ZONA 17</v>
          </cell>
          <cell r="C15" t="str">
            <v>N</v>
          </cell>
          <cell r="D15" t="str">
            <v>JUNÍN</v>
          </cell>
          <cell r="E15" t="str">
            <v>CHANCHAMAYO</v>
          </cell>
          <cell r="F15" t="str">
            <v>SAN LUIS DE SHUARO</v>
          </cell>
        </row>
        <row r="16">
          <cell r="A16">
            <v>14</v>
          </cell>
          <cell r="B16" t="str">
            <v>DERIVACIÓN - SAN FRANCISCO DE ASIS II</v>
          </cell>
          <cell r="C16" t="str">
            <v>N</v>
          </cell>
          <cell r="D16" t="str">
            <v>JUNÍN</v>
          </cell>
          <cell r="E16" t="str">
            <v>CHANCHAMAYO</v>
          </cell>
          <cell r="F16" t="str">
            <v>SAN LUIS DE SHUARO</v>
          </cell>
        </row>
        <row r="17">
          <cell r="A17">
            <v>15</v>
          </cell>
          <cell r="B17" t="str">
            <v>DERIVACIÓN - ALTO PUÑIZAS TUPAC AMARU</v>
          </cell>
          <cell r="C17" t="str">
            <v>P</v>
          </cell>
          <cell r="D17" t="str">
            <v>JUNÍN</v>
          </cell>
          <cell r="E17" t="str">
            <v>CHANCHAMAYO</v>
          </cell>
          <cell r="F17" t="str">
            <v>SAN LUIS DE SHUARO</v>
          </cell>
        </row>
        <row r="18">
          <cell r="A18">
            <v>16</v>
          </cell>
          <cell r="B18" t="str">
            <v>DERIVACIÓN - PAMPA RICA</v>
          </cell>
          <cell r="C18" t="str">
            <v>N</v>
          </cell>
          <cell r="D18" t="str">
            <v>JUNÍN</v>
          </cell>
          <cell r="E18" t="str">
            <v>CHANCHAMAYO</v>
          </cell>
          <cell r="F18" t="str">
            <v>SAN LUIS DE SHUARO</v>
          </cell>
        </row>
        <row r="19">
          <cell r="A19">
            <v>17</v>
          </cell>
          <cell r="B19" t="str">
            <v>DERIVACIÓN - PAMPA HERMOZA (BAJO PAMPA HERMOZA)</v>
          </cell>
          <cell r="C19" t="str">
            <v>N</v>
          </cell>
          <cell r="D19" t="str">
            <v>JUNÍN</v>
          </cell>
          <cell r="E19" t="str">
            <v>CHANCHAMAYO</v>
          </cell>
          <cell r="F19" t="str">
            <v>CHANCHAMAYO</v>
          </cell>
        </row>
        <row r="20">
          <cell r="A20">
            <v>18</v>
          </cell>
          <cell r="B20" t="str">
            <v>DERIVACIÓN - PAMPA MEDINA</v>
          </cell>
          <cell r="C20" t="str">
            <v>P</v>
          </cell>
          <cell r="D20" t="str">
            <v>JUNÍN</v>
          </cell>
          <cell r="E20" t="str">
            <v>CHANCHAMAYO</v>
          </cell>
          <cell r="F20" t="str">
            <v>SAN LUIS DE SHUARO</v>
          </cell>
        </row>
        <row r="21">
          <cell r="A21">
            <v>19</v>
          </cell>
          <cell r="B21" t="str">
            <v>DERIVACIÓN - CERRO GAVILAN BAJO (GAVILAN)</v>
          </cell>
          <cell r="C21" t="str">
            <v>N</v>
          </cell>
          <cell r="D21" t="str">
            <v>JUNÍN</v>
          </cell>
          <cell r="E21" t="str">
            <v>CHANCHAMAYO</v>
          </cell>
          <cell r="F21" t="str">
            <v>PERENE</v>
          </cell>
        </row>
        <row r="22">
          <cell r="A22">
            <v>20</v>
          </cell>
          <cell r="B22" t="str">
            <v>DERIVACIÓN - UNIVERSAL ALTO</v>
          </cell>
          <cell r="C22" t="str">
            <v>N</v>
          </cell>
          <cell r="D22" t="str">
            <v>JUNÍN</v>
          </cell>
          <cell r="E22" t="str">
            <v>CHANCHAMAYO</v>
          </cell>
          <cell r="F22" t="str">
            <v>CHANCHAMAYO</v>
          </cell>
        </row>
        <row r="23">
          <cell r="A23">
            <v>20.100000000000001</v>
          </cell>
          <cell r="B23" t="str">
            <v>DERIVACION - UNIVERSAL ALTO (2)</v>
          </cell>
          <cell r="C23" t="str">
            <v>P</v>
          </cell>
          <cell r="D23" t="str">
            <v>JUNÍN</v>
          </cell>
          <cell r="E23" t="str">
            <v>CHANCHAMAYO</v>
          </cell>
          <cell r="F23" t="str">
            <v>CHANCHAMAYO</v>
          </cell>
        </row>
        <row r="24">
          <cell r="A24">
            <v>21</v>
          </cell>
          <cell r="B24" t="str">
            <v>DERIVACIÓN - PALMA PAMPA HUATZIROKI</v>
          </cell>
          <cell r="C24" t="str">
            <v>P</v>
          </cell>
          <cell r="D24" t="str">
            <v>JUNÍN</v>
          </cell>
          <cell r="E24" t="str">
            <v>CHANCHAMAYO</v>
          </cell>
          <cell r="F24" t="str">
            <v>CHANCHAMAYO</v>
          </cell>
        </row>
        <row r="25">
          <cell r="A25">
            <v>22</v>
          </cell>
          <cell r="B25" t="str">
            <v>DERIVACIÓN - VILLA DORADA</v>
          </cell>
          <cell r="C25" t="str">
            <v>N</v>
          </cell>
          <cell r="D25" t="str">
            <v>JUNÍN</v>
          </cell>
          <cell r="E25" t="str">
            <v>CHANCHAMAYO</v>
          </cell>
          <cell r="F25" t="str">
            <v>CHANCHAMAYO</v>
          </cell>
        </row>
        <row r="26">
          <cell r="A26">
            <v>23</v>
          </cell>
          <cell r="B26" t="str">
            <v>DERIVACIÓN - ALTO MEJORADA SED Nº 2</v>
          </cell>
          <cell r="C26" t="str">
            <v>N</v>
          </cell>
          <cell r="D26" t="str">
            <v>JUNÍN</v>
          </cell>
          <cell r="E26" t="str">
            <v>CHANCHAMAYO</v>
          </cell>
          <cell r="F26" t="str">
            <v>CHANCHAMAYO</v>
          </cell>
        </row>
        <row r="27">
          <cell r="A27">
            <v>24</v>
          </cell>
          <cell r="B27" t="str">
            <v>DERIVACIÓN - ALTO MEJORADA SED Nº 1</v>
          </cell>
          <cell r="C27" t="str">
            <v>P</v>
          </cell>
          <cell r="D27" t="str">
            <v>JUNÍN</v>
          </cell>
          <cell r="E27" t="str">
            <v>CHANCHAMAYO</v>
          </cell>
          <cell r="F27" t="str">
            <v>CHANCHAMAYO</v>
          </cell>
        </row>
        <row r="28">
          <cell r="A28">
            <v>25</v>
          </cell>
          <cell r="B28" t="str">
            <v>DERIVACIÓN - SAN JERÓNIMO</v>
          </cell>
          <cell r="C28" t="str">
            <v>P</v>
          </cell>
          <cell r="D28" t="str">
            <v>JUNÍN</v>
          </cell>
          <cell r="E28" t="str">
            <v>CHANCHAMAYO</v>
          </cell>
          <cell r="F28" t="str">
            <v>CHANCHAMAYO</v>
          </cell>
        </row>
        <row r="29">
          <cell r="A29">
            <v>26</v>
          </cell>
          <cell r="B29" t="str">
            <v>DERIVACIÓN - QUISQUE</v>
          </cell>
          <cell r="C29" t="str">
            <v>N</v>
          </cell>
          <cell r="D29" t="str">
            <v>JUNÍN</v>
          </cell>
          <cell r="E29" t="str">
            <v>CHANCHAMAYO</v>
          </cell>
          <cell r="F29" t="str">
            <v>CHANCHAMAYO</v>
          </cell>
        </row>
        <row r="30">
          <cell r="A30">
            <v>27</v>
          </cell>
          <cell r="B30" t="str">
            <v>DERIVACIÓN - UNION PAMPA HERMOZA</v>
          </cell>
          <cell r="C30" t="str">
            <v>N</v>
          </cell>
          <cell r="D30" t="str">
            <v>JUNÍN</v>
          </cell>
          <cell r="E30" t="str">
            <v>CHANCHAMAYO</v>
          </cell>
          <cell r="F30" t="str">
            <v>CHANCHAMAYO</v>
          </cell>
        </row>
        <row r="31">
          <cell r="A31">
            <v>28</v>
          </cell>
          <cell r="B31" t="str">
            <v>DERIVACIÓN - QUIMIRI CENTRO SECTOR III</v>
          </cell>
          <cell r="C31" t="str">
            <v>P</v>
          </cell>
          <cell r="D31" t="str">
            <v>JUNÍN</v>
          </cell>
          <cell r="E31" t="str">
            <v>CHANCHAMAYO</v>
          </cell>
          <cell r="F31" t="str">
            <v>CHANCHAMAYO</v>
          </cell>
        </row>
        <row r="32">
          <cell r="A32">
            <v>29</v>
          </cell>
          <cell r="B32" t="str">
            <v>DERIVACIÓN - AGUA BLANCA</v>
          </cell>
          <cell r="C32" t="str">
            <v>P</v>
          </cell>
          <cell r="D32" t="str">
            <v>JUNÍN</v>
          </cell>
          <cell r="E32" t="str">
            <v>CHANCHAMAYO</v>
          </cell>
          <cell r="F32" t="str">
            <v>CHANCHAMAYO</v>
          </cell>
        </row>
        <row r="33">
          <cell r="A33">
            <v>30</v>
          </cell>
          <cell r="B33" t="str">
            <v>DERIVACIÓN - GENERAL SAN MARTIN</v>
          </cell>
          <cell r="C33" t="str">
            <v>P</v>
          </cell>
          <cell r="D33" t="str">
            <v>JUNÍN</v>
          </cell>
          <cell r="E33" t="str">
            <v>CHANCHAMAYO</v>
          </cell>
          <cell r="F33" t="str">
            <v>CHANCHAMAYO</v>
          </cell>
        </row>
        <row r="34">
          <cell r="A34">
            <v>31</v>
          </cell>
          <cell r="B34" t="str">
            <v>DERIVACIÓN - SANTA CRUZ RIO HUMBERTO</v>
          </cell>
          <cell r="C34" t="str">
            <v>N</v>
          </cell>
          <cell r="D34" t="str">
            <v>JUNÍN</v>
          </cell>
          <cell r="E34" t="str">
            <v>CHANCHAMAYO</v>
          </cell>
          <cell r="F34" t="str">
            <v>SAN RAMON</v>
          </cell>
        </row>
        <row r="35">
          <cell r="A35">
            <v>32</v>
          </cell>
          <cell r="B35" t="str">
            <v>DERIVACIÓN - SAN ISIDRO</v>
          </cell>
          <cell r="C35" t="str">
            <v>P</v>
          </cell>
          <cell r="D35" t="str">
            <v>JUNÍN</v>
          </cell>
          <cell r="E35" t="str">
            <v>CHANCHAMAYO</v>
          </cell>
          <cell r="F35" t="str">
            <v>SAN RAMON</v>
          </cell>
        </row>
        <row r="36">
          <cell r="A36">
            <v>33</v>
          </cell>
          <cell r="B36" t="str">
            <v>DERIVACIÓN - ALTO TIGRILLO</v>
          </cell>
          <cell r="C36" t="str">
            <v>N</v>
          </cell>
          <cell r="D36" t="str">
            <v>JUNÍN</v>
          </cell>
          <cell r="E36" t="str">
            <v>CHANCHAMAYO</v>
          </cell>
          <cell r="F36" t="str">
            <v>SAN RAMON</v>
          </cell>
        </row>
        <row r="37">
          <cell r="A37">
            <v>34</v>
          </cell>
          <cell r="B37" t="str">
            <v>DERIVACIÓN - SANTA TERESA</v>
          </cell>
          <cell r="C37" t="str">
            <v>N</v>
          </cell>
          <cell r="D37" t="str">
            <v>JUNÍN</v>
          </cell>
          <cell r="E37" t="str">
            <v>CHANCHAMAYO</v>
          </cell>
          <cell r="F37" t="str">
            <v>SAN RAMON</v>
          </cell>
        </row>
        <row r="38">
          <cell r="A38">
            <v>35</v>
          </cell>
          <cell r="B38" t="str">
            <v>DERIVACIÓN - TIROL</v>
          </cell>
          <cell r="C38" t="str">
            <v>P</v>
          </cell>
          <cell r="D38" t="str">
            <v>JUNÍN</v>
          </cell>
          <cell r="E38" t="str">
            <v>CHANCHAMAYO</v>
          </cell>
          <cell r="F38" t="str">
            <v>SAN RAMON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K875"/>
  <sheetViews>
    <sheetView tabSelected="1" zoomScaleNormal="100" workbookViewId="0">
      <pane ySplit="1" topLeftCell="A2" activePane="bottomLeft" state="frozen"/>
      <selection pane="bottomLeft" activeCell="D27" sqref="D27"/>
    </sheetView>
  </sheetViews>
  <sheetFormatPr defaultColWidth="11" defaultRowHeight="14.25" x14ac:dyDescent="0.2"/>
  <cols>
    <col min="1" max="1" width="6" style="2" customWidth="1"/>
    <col min="2" max="2" width="57.875" customWidth="1"/>
    <col min="3" max="3" width="7.25" customWidth="1"/>
    <col min="4" max="4" width="11.125" customWidth="1"/>
    <col min="5" max="5" width="10.125" customWidth="1"/>
    <col min="6" max="6" width="10.5" customWidth="1"/>
    <col min="7" max="7" width="10.125" customWidth="1"/>
    <col min="8" max="8" width="7.875" customWidth="1"/>
    <col min="9" max="9" width="10.5" customWidth="1"/>
    <col min="10" max="10" width="11.25" customWidth="1"/>
    <col min="11" max="11" width="10.875" customWidth="1"/>
    <col min="12" max="12" width="11.125" customWidth="1"/>
    <col min="13" max="13" width="12.125" customWidth="1"/>
    <col min="14" max="14" width="8.625" customWidth="1"/>
    <col min="15" max="15" width="9.875" customWidth="1"/>
    <col min="16" max="16" width="8.5" customWidth="1"/>
    <col min="17" max="17" width="10.5" customWidth="1"/>
    <col min="18" max="19" width="15.625" customWidth="1"/>
    <col min="20" max="20" width="15.375" customWidth="1"/>
    <col min="21" max="21" width="10.375" customWidth="1"/>
    <col min="22" max="22" width="10.625" customWidth="1"/>
    <col min="23" max="23" width="16.5" customWidth="1"/>
    <col min="24" max="28" width="11" customWidth="1"/>
    <col min="29" max="29" width="7.75" customWidth="1"/>
    <col min="30" max="34" width="11" customWidth="1"/>
  </cols>
  <sheetData>
    <row r="1" spans="1:37" s="1" customFormat="1" ht="15" customHeight="1" x14ac:dyDescent="0.2">
      <c r="A1" s="8" t="s">
        <v>0</v>
      </c>
      <c r="B1" s="5" t="s">
        <v>28</v>
      </c>
      <c r="C1" s="5" t="s">
        <v>1</v>
      </c>
      <c r="D1" s="5" t="s">
        <v>2</v>
      </c>
      <c r="E1" s="5" t="s">
        <v>21</v>
      </c>
      <c r="F1" s="5" t="s">
        <v>20</v>
      </c>
      <c r="G1" s="5" t="s">
        <v>19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18</v>
      </c>
      <c r="W1" s="6" t="s">
        <v>27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32</v>
      </c>
      <c r="AD1" s="6" t="s">
        <v>29</v>
      </c>
      <c r="AE1" s="6" t="s">
        <v>34</v>
      </c>
      <c r="AF1" s="6" t="s">
        <v>30</v>
      </c>
      <c r="AG1" s="6" t="s">
        <v>35</v>
      </c>
      <c r="AH1" s="6" t="s">
        <v>36</v>
      </c>
      <c r="AI1" s="6" t="s">
        <v>37</v>
      </c>
      <c r="AJ1" s="6" t="s">
        <v>31</v>
      </c>
      <c r="AK1" s="8" t="s">
        <v>33</v>
      </c>
    </row>
    <row r="2" spans="1:37" ht="13.5" customHeight="1" x14ac:dyDescent="0.25">
      <c r="A2" s="14">
        <v>8</v>
      </c>
      <c r="B2" s="7" t="s">
        <v>129</v>
      </c>
      <c r="C2" s="9">
        <v>0</v>
      </c>
      <c r="D2" s="19" t="s">
        <v>114</v>
      </c>
      <c r="E2" s="9">
        <v>0</v>
      </c>
      <c r="F2" s="9" t="s">
        <v>38</v>
      </c>
      <c r="G2" s="9">
        <v>0</v>
      </c>
      <c r="H2" s="9">
        <v>252</v>
      </c>
      <c r="I2" s="9">
        <v>0</v>
      </c>
      <c r="J2" s="9" t="s">
        <v>90</v>
      </c>
      <c r="K2" s="9">
        <v>86.38</v>
      </c>
      <c r="L2" s="9">
        <v>0</v>
      </c>
      <c r="M2" s="9" t="s">
        <v>73</v>
      </c>
      <c r="N2" s="9">
        <v>47.23</v>
      </c>
      <c r="O2" s="9">
        <v>43.19</v>
      </c>
      <c r="P2" s="9" t="s">
        <v>17</v>
      </c>
      <c r="Q2" s="9">
        <v>0</v>
      </c>
      <c r="R2" s="9">
        <v>0</v>
      </c>
      <c r="S2" s="9">
        <v>0</v>
      </c>
      <c r="T2" s="9">
        <v>0</v>
      </c>
      <c r="U2" s="9"/>
      <c r="V2" s="7"/>
      <c r="W2" s="7"/>
      <c r="X2" s="10"/>
      <c r="Y2" s="11"/>
      <c r="Z2" s="12"/>
      <c r="AA2" s="12"/>
      <c r="AB2" s="12"/>
      <c r="AC2" s="13"/>
      <c r="AD2" s="7"/>
      <c r="AE2" s="7"/>
      <c r="AF2" s="7"/>
      <c r="AG2" s="7"/>
      <c r="AH2" s="7"/>
      <c r="AI2" s="7"/>
      <c r="AJ2" s="7"/>
      <c r="AK2" s="7"/>
    </row>
    <row r="3" spans="1:37" ht="15" x14ac:dyDescent="0.25">
      <c r="A3" s="14">
        <v>8</v>
      </c>
      <c r="B3" s="7" t="s">
        <v>129</v>
      </c>
      <c r="C3" s="9">
        <v>1</v>
      </c>
      <c r="D3" s="9" t="s">
        <v>136</v>
      </c>
      <c r="E3" s="9">
        <v>0</v>
      </c>
      <c r="F3" s="9" t="s">
        <v>38</v>
      </c>
      <c r="G3" s="9">
        <v>86.38</v>
      </c>
      <c r="H3" s="9">
        <v>250</v>
      </c>
      <c r="I3" s="9" t="s">
        <v>81</v>
      </c>
      <c r="J3" s="9" t="s">
        <v>137</v>
      </c>
      <c r="K3" s="9">
        <v>186.07</v>
      </c>
      <c r="L3" s="9">
        <v>1</v>
      </c>
      <c r="M3" s="9" t="s">
        <v>75</v>
      </c>
      <c r="N3" s="9">
        <v>125.33</v>
      </c>
      <c r="O3" s="9">
        <v>136.22</v>
      </c>
      <c r="P3" s="9" t="s">
        <v>91</v>
      </c>
      <c r="Q3" s="9">
        <v>0</v>
      </c>
      <c r="R3" s="9">
        <v>0</v>
      </c>
      <c r="S3" s="9">
        <v>0</v>
      </c>
      <c r="T3" s="9">
        <v>0</v>
      </c>
      <c r="U3" s="9" t="s">
        <v>39</v>
      </c>
      <c r="V3" s="9" t="s">
        <v>92</v>
      </c>
      <c r="W3" s="7"/>
      <c r="X3" s="10"/>
      <c r="Y3" s="11"/>
      <c r="Z3" s="12"/>
      <c r="AA3" s="12"/>
      <c r="AB3" s="12"/>
      <c r="AC3" s="13"/>
      <c r="AD3" s="7"/>
      <c r="AE3" s="7"/>
      <c r="AF3" s="7"/>
      <c r="AG3" s="7"/>
      <c r="AH3" s="7"/>
      <c r="AI3" s="7"/>
      <c r="AJ3" s="7"/>
      <c r="AK3" s="7"/>
    </row>
    <row r="4" spans="1:37" ht="15" x14ac:dyDescent="0.25">
      <c r="A4" s="14">
        <v>8</v>
      </c>
      <c r="B4" s="7" t="s">
        <v>129</v>
      </c>
      <c r="C4" s="9">
        <v>2</v>
      </c>
      <c r="D4" s="9" t="s">
        <v>40</v>
      </c>
      <c r="E4" s="9">
        <v>0</v>
      </c>
      <c r="F4" s="9" t="s">
        <v>38</v>
      </c>
      <c r="G4" s="9">
        <v>272.45</v>
      </c>
      <c r="H4" s="9">
        <v>251</v>
      </c>
      <c r="I4" s="9">
        <v>0</v>
      </c>
      <c r="J4" s="9" t="s">
        <v>90</v>
      </c>
      <c r="K4" s="9">
        <v>187.55</v>
      </c>
      <c r="L4" s="9">
        <v>1</v>
      </c>
      <c r="M4" s="9" t="s">
        <v>73</v>
      </c>
      <c r="N4" s="9">
        <v>189.24</v>
      </c>
      <c r="O4" s="9">
        <v>186.81</v>
      </c>
      <c r="P4" s="9" t="s">
        <v>17</v>
      </c>
      <c r="Q4" s="9">
        <v>0</v>
      </c>
      <c r="R4" s="9">
        <v>0</v>
      </c>
      <c r="S4" s="9">
        <v>0</v>
      </c>
      <c r="T4" s="9">
        <v>0</v>
      </c>
      <c r="U4" s="9" t="s">
        <v>74</v>
      </c>
      <c r="V4" s="9" t="s">
        <v>92</v>
      </c>
      <c r="W4" s="7"/>
      <c r="X4" s="10"/>
      <c r="Y4" s="11"/>
      <c r="Z4" s="12"/>
      <c r="AA4" s="12"/>
      <c r="AB4" s="12"/>
      <c r="AC4" s="13"/>
      <c r="AD4" s="7"/>
      <c r="AE4" s="7"/>
      <c r="AF4" s="7"/>
      <c r="AG4" s="7"/>
      <c r="AH4" s="7"/>
      <c r="AI4" s="7"/>
      <c r="AJ4" s="7"/>
      <c r="AK4" s="7"/>
    </row>
    <row r="5" spans="1:37" ht="15" x14ac:dyDescent="0.25">
      <c r="A5" s="14">
        <v>8</v>
      </c>
      <c r="B5" s="7" t="s">
        <v>129</v>
      </c>
      <c r="C5" s="9">
        <v>3</v>
      </c>
      <c r="D5" s="9" t="s">
        <v>40</v>
      </c>
      <c r="E5" s="9">
        <v>0</v>
      </c>
      <c r="F5" s="9" t="s">
        <v>38</v>
      </c>
      <c r="G5" s="9">
        <v>459.99</v>
      </c>
      <c r="H5" s="9">
        <v>252</v>
      </c>
      <c r="I5" s="9">
        <v>0</v>
      </c>
      <c r="J5" s="9" t="s">
        <v>90</v>
      </c>
      <c r="K5" s="9">
        <v>186.87</v>
      </c>
      <c r="L5" s="9">
        <v>1</v>
      </c>
      <c r="M5" s="9" t="s">
        <v>73</v>
      </c>
      <c r="N5" s="9">
        <v>182.49</v>
      </c>
      <c r="O5" s="9">
        <v>187.21</v>
      </c>
      <c r="P5" s="9" t="s">
        <v>17</v>
      </c>
      <c r="Q5" s="9">
        <v>0</v>
      </c>
      <c r="R5" s="9">
        <v>0</v>
      </c>
      <c r="S5" s="9">
        <v>0</v>
      </c>
      <c r="T5" s="9">
        <v>0</v>
      </c>
      <c r="U5" s="9" t="s">
        <v>74</v>
      </c>
      <c r="V5" s="9" t="s">
        <v>92</v>
      </c>
      <c r="W5" s="7"/>
      <c r="X5" s="10"/>
      <c r="Y5" s="11"/>
      <c r="Z5" s="12"/>
      <c r="AA5" s="12"/>
      <c r="AB5" s="12"/>
      <c r="AC5" s="13"/>
      <c r="AD5" s="7"/>
      <c r="AE5" s="7"/>
      <c r="AF5" s="7"/>
      <c r="AG5" s="7"/>
      <c r="AH5" s="7"/>
      <c r="AI5" s="7"/>
      <c r="AJ5" s="7"/>
      <c r="AK5" s="7"/>
    </row>
    <row r="6" spans="1:37" ht="15" x14ac:dyDescent="0.25">
      <c r="A6" s="14">
        <v>8</v>
      </c>
      <c r="B6" s="7" t="s">
        <v>129</v>
      </c>
      <c r="C6" s="9">
        <v>4</v>
      </c>
      <c r="D6" s="9" t="s">
        <v>40</v>
      </c>
      <c r="E6" s="9">
        <v>0</v>
      </c>
      <c r="F6" s="9" t="s">
        <v>38</v>
      </c>
      <c r="G6" s="9">
        <v>646.86</v>
      </c>
      <c r="H6" s="9">
        <v>254</v>
      </c>
      <c r="I6" s="9">
        <v>0</v>
      </c>
      <c r="J6" s="9" t="s">
        <v>90</v>
      </c>
      <c r="K6" s="9">
        <v>188.96</v>
      </c>
      <c r="L6" s="9">
        <v>1</v>
      </c>
      <c r="M6" s="9" t="s">
        <v>73</v>
      </c>
      <c r="N6" s="9">
        <v>203.31</v>
      </c>
      <c r="O6" s="9">
        <v>187.91</v>
      </c>
      <c r="P6" s="9" t="s">
        <v>17</v>
      </c>
      <c r="Q6" s="9">
        <v>0</v>
      </c>
      <c r="R6" s="9">
        <v>0</v>
      </c>
      <c r="S6" s="9">
        <v>0</v>
      </c>
      <c r="T6" s="9">
        <v>0</v>
      </c>
      <c r="U6" s="9" t="s">
        <v>74</v>
      </c>
      <c r="V6" s="9" t="s">
        <v>92</v>
      </c>
      <c r="W6" s="7"/>
      <c r="X6" s="10"/>
      <c r="Y6" s="11"/>
      <c r="Z6" s="12"/>
      <c r="AA6" s="12"/>
      <c r="AB6" s="12"/>
      <c r="AC6" s="13"/>
      <c r="AD6" s="7"/>
      <c r="AE6" s="7"/>
      <c r="AF6" s="7"/>
      <c r="AG6" s="7"/>
      <c r="AH6" s="7"/>
      <c r="AI6" s="7"/>
      <c r="AJ6" s="7"/>
      <c r="AK6" s="7"/>
    </row>
    <row r="7" spans="1:37" ht="15" x14ac:dyDescent="0.25">
      <c r="A7" s="14">
        <v>8</v>
      </c>
      <c r="B7" s="7" t="s">
        <v>129</v>
      </c>
      <c r="C7" s="9">
        <v>5</v>
      </c>
      <c r="D7" s="9" t="s">
        <v>40</v>
      </c>
      <c r="E7" s="9">
        <v>0</v>
      </c>
      <c r="F7" s="9" t="s">
        <v>38</v>
      </c>
      <c r="G7" s="9">
        <v>835.82</v>
      </c>
      <c r="H7" s="9">
        <v>253</v>
      </c>
      <c r="I7" s="9">
        <v>0</v>
      </c>
      <c r="J7" s="9" t="s">
        <v>90</v>
      </c>
      <c r="K7" s="9">
        <v>180.34</v>
      </c>
      <c r="L7" s="9">
        <v>1</v>
      </c>
      <c r="M7" s="9" t="s">
        <v>73</v>
      </c>
      <c r="N7" s="9">
        <v>182.78</v>
      </c>
      <c r="O7" s="9">
        <v>184.65</v>
      </c>
      <c r="P7" s="9" t="s">
        <v>17</v>
      </c>
      <c r="Q7" s="9">
        <v>0</v>
      </c>
      <c r="R7" s="9">
        <v>0</v>
      </c>
      <c r="S7" s="9">
        <v>0</v>
      </c>
      <c r="T7" s="9">
        <v>0</v>
      </c>
      <c r="U7" s="9" t="s">
        <v>74</v>
      </c>
      <c r="V7" s="9" t="s">
        <v>92</v>
      </c>
      <c r="W7" s="7"/>
      <c r="X7" s="10"/>
      <c r="Y7" s="11"/>
      <c r="Z7" s="12"/>
      <c r="AA7" s="12"/>
      <c r="AB7" s="12"/>
      <c r="AC7" s="13"/>
      <c r="AD7" s="7"/>
      <c r="AE7" s="7"/>
      <c r="AF7" s="7"/>
      <c r="AG7" s="7"/>
      <c r="AH7" s="7"/>
      <c r="AI7" s="7"/>
      <c r="AJ7" s="7"/>
      <c r="AK7" s="7"/>
    </row>
    <row r="8" spans="1:37" ht="15" x14ac:dyDescent="0.25">
      <c r="A8" s="14">
        <v>8</v>
      </c>
      <c r="B8" s="7" t="s">
        <v>129</v>
      </c>
      <c r="C8" s="9">
        <v>6</v>
      </c>
      <c r="D8" s="9" t="s">
        <v>40</v>
      </c>
      <c r="E8" s="9">
        <v>0</v>
      </c>
      <c r="F8" s="9" t="s">
        <v>38</v>
      </c>
      <c r="G8" s="9">
        <v>1016.16</v>
      </c>
      <c r="H8" s="9">
        <v>252.44</v>
      </c>
      <c r="I8" s="9">
        <v>0</v>
      </c>
      <c r="J8" s="9" t="s">
        <v>90</v>
      </c>
      <c r="K8" s="9">
        <v>197.47</v>
      </c>
      <c r="L8" s="9">
        <v>1</v>
      </c>
      <c r="M8" s="9" t="s">
        <v>73</v>
      </c>
      <c r="N8" s="9">
        <v>178.61</v>
      </c>
      <c r="O8" s="9">
        <v>188.9</v>
      </c>
      <c r="P8" s="9" t="s">
        <v>17</v>
      </c>
      <c r="Q8" s="9">
        <v>0</v>
      </c>
      <c r="R8" s="9">
        <v>0</v>
      </c>
      <c r="S8" s="9">
        <v>0</v>
      </c>
      <c r="T8" s="9">
        <v>0</v>
      </c>
      <c r="U8" s="9" t="s">
        <v>74</v>
      </c>
      <c r="V8" s="9" t="s">
        <v>92</v>
      </c>
      <c r="W8" s="7"/>
      <c r="X8" s="10"/>
      <c r="Y8" s="11"/>
      <c r="Z8" s="12"/>
      <c r="AA8" s="12"/>
      <c r="AB8" s="12"/>
      <c r="AC8" s="13"/>
      <c r="AD8" s="7"/>
      <c r="AE8" s="7"/>
      <c r="AF8" s="7"/>
      <c r="AG8" s="7"/>
      <c r="AH8" s="7"/>
      <c r="AI8" s="7"/>
      <c r="AJ8" s="7"/>
      <c r="AK8" s="7"/>
    </row>
    <row r="9" spans="1:37" ht="15" x14ac:dyDescent="0.25">
      <c r="A9" s="14">
        <v>8</v>
      </c>
      <c r="B9" s="7" t="s">
        <v>129</v>
      </c>
      <c r="C9" s="9">
        <v>7</v>
      </c>
      <c r="D9" s="9" t="s">
        <v>40</v>
      </c>
      <c r="E9" s="9">
        <v>0</v>
      </c>
      <c r="F9" s="9" t="s">
        <v>38</v>
      </c>
      <c r="G9" s="9">
        <v>1213.6300000000001</v>
      </c>
      <c r="H9" s="9">
        <v>254</v>
      </c>
      <c r="I9" s="9">
        <v>0</v>
      </c>
      <c r="J9" s="9" t="s">
        <v>90</v>
      </c>
      <c r="K9" s="9">
        <v>182.42</v>
      </c>
      <c r="L9" s="9">
        <v>1</v>
      </c>
      <c r="M9" s="9" t="s">
        <v>73</v>
      </c>
      <c r="N9" s="9">
        <v>223.31</v>
      </c>
      <c r="O9" s="9">
        <v>189.94</v>
      </c>
      <c r="P9" s="9" t="s">
        <v>17</v>
      </c>
      <c r="Q9" s="9">
        <v>0</v>
      </c>
      <c r="R9" s="9">
        <v>0</v>
      </c>
      <c r="S9" s="9">
        <v>0</v>
      </c>
      <c r="T9" s="9">
        <v>0</v>
      </c>
      <c r="U9" s="9" t="s">
        <v>74</v>
      </c>
      <c r="V9" s="9" t="s">
        <v>92</v>
      </c>
      <c r="W9" s="7"/>
      <c r="X9" s="10"/>
      <c r="Y9" s="11"/>
      <c r="Z9" s="12"/>
      <c r="AA9" s="12"/>
      <c r="AB9" s="12"/>
      <c r="AC9" s="13"/>
      <c r="AD9" s="7"/>
      <c r="AE9" s="7"/>
      <c r="AF9" s="7"/>
      <c r="AG9" s="7"/>
      <c r="AH9" s="7"/>
      <c r="AI9" s="7"/>
      <c r="AJ9" s="7"/>
      <c r="AK9" s="7"/>
    </row>
    <row r="10" spans="1:37" ht="15" x14ac:dyDescent="0.25">
      <c r="A10" s="14">
        <v>8</v>
      </c>
      <c r="B10" s="7" t="s">
        <v>129</v>
      </c>
      <c r="C10" s="9">
        <v>8</v>
      </c>
      <c r="D10" s="9" t="s">
        <v>40</v>
      </c>
      <c r="E10" s="9">
        <v>0</v>
      </c>
      <c r="F10" s="9" t="s">
        <v>38</v>
      </c>
      <c r="G10" s="9">
        <v>1396.05</v>
      </c>
      <c r="H10" s="9">
        <v>249</v>
      </c>
      <c r="I10" s="9">
        <v>0</v>
      </c>
      <c r="J10" s="9" t="s">
        <v>90</v>
      </c>
      <c r="K10" s="9">
        <v>183.39</v>
      </c>
      <c r="L10" s="9">
        <v>1</v>
      </c>
      <c r="M10" s="9" t="s">
        <v>73</v>
      </c>
      <c r="N10" s="9">
        <v>158</v>
      </c>
      <c r="O10" s="9">
        <v>182.91</v>
      </c>
      <c r="P10" s="9" t="s">
        <v>17</v>
      </c>
      <c r="Q10" s="9">
        <v>0</v>
      </c>
      <c r="R10" s="9">
        <v>0</v>
      </c>
      <c r="S10" s="9">
        <v>0</v>
      </c>
      <c r="T10" s="9">
        <v>0</v>
      </c>
      <c r="U10" s="9" t="s">
        <v>74</v>
      </c>
      <c r="V10" s="9" t="s">
        <v>92</v>
      </c>
      <c r="W10" s="7"/>
      <c r="X10" s="10"/>
      <c r="Y10" s="11"/>
      <c r="Z10" s="12"/>
      <c r="AA10" s="12"/>
      <c r="AB10" s="12"/>
      <c r="AC10" s="13"/>
      <c r="AD10" s="7"/>
      <c r="AE10" s="7"/>
      <c r="AF10" s="7"/>
      <c r="AG10" s="7"/>
      <c r="AH10" s="7"/>
      <c r="AI10" s="7"/>
      <c r="AJ10" s="7"/>
      <c r="AK10" s="7"/>
    </row>
    <row r="11" spans="1:37" ht="15" x14ac:dyDescent="0.25">
      <c r="A11" s="14">
        <v>8</v>
      </c>
      <c r="B11" s="7" t="s">
        <v>129</v>
      </c>
      <c r="C11" s="9">
        <v>9</v>
      </c>
      <c r="D11" s="9" t="s">
        <v>40</v>
      </c>
      <c r="E11" s="9">
        <v>0</v>
      </c>
      <c r="F11" s="9" t="s">
        <v>38</v>
      </c>
      <c r="G11" s="9">
        <v>1579.44</v>
      </c>
      <c r="H11" s="9">
        <v>249</v>
      </c>
      <c r="I11" s="9">
        <v>0</v>
      </c>
      <c r="J11" s="9" t="s">
        <v>90</v>
      </c>
      <c r="K11" s="9">
        <v>172.09</v>
      </c>
      <c r="L11" s="9">
        <v>1</v>
      </c>
      <c r="M11" s="9" t="s">
        <v>73</v>
      </c>
      <c r="N11" s="9">
        <v>154.87</v>
      </c>
      <c r="O11" s="9">
        <v>177.74</v>
      </c>
      <c r="P11" s="9" t="s">
        <v>17</v>
      </c>
      <c r="Q11" s="9">
        <v>0</v>
      </c>
      <c r="R11" s="9">
        <v>0</v>
      </c>
      <c r="S11" s="9">
        <v>0</v>
      </c>
      <c r="T11" s="9">
        <v>0</v>
      </c>
      <c r="U11" s="9" t="s">
        <v>74</v>
      </c>
      <c r="V11" s="9" t="s">
        <v>92</v>
      </c>
      <c r="W11" s="7"/>
      <c r="X11" s="10"/>
      <c r="Y11" s="11"/>
      <c r="Z11" s="12"/>
      <c r="AA11" s="12"/>
      <c r="AB11" s="12"/>
      <c r="AC11" s="13"/>
      <c r="AD11" s="7"/>
      <c r="AE11" s="7"/>
      <c r="AF11" s="7"/>
      <c r="AG11" s="7"/>
      <c r="AH11" s="7"/>
      <c r="AI11" s="7"/>
      <c r="AJ11" s="7"/>
      <c r="AK11" s="7"/>
    </row>
    <row r="12" spans="1:37" ht="15" x14ac:dyDescent="0.25">
      <c r="A12" s="14">
        <v>8</v>
      </c>
      <c r="B12" s="7" t="s">
        <v>129</v>
      </c>
      <c r="C12" s="9">
        <v>10</v>
      </c>
      <c r="D12" s="9" t="s">
        <v>44</v>
      </c>
      <c r="E12" s="9">
        <v>0</v>
      </c>
      <c r="F12" s="9" t="s">
        <v>38</v>
      </c>
      <c r="G12" s="9">
        <v>1751.52</v>
      </c>
      <c r="H12" s="9">
        <v>254</v>
      </c>
      <c r="I12" s="9" t="s">
        <v>88</v>
      </c>
      <c r="J12" s="9" t="s">
        <v>138</v>
      </c>
      <c r="K12" s="9">
        <v>152.80000000000001</v>
      </c>
      <c r="L12" s="9">
        <v>1</v>
      </c>
      <c r="M12" s="9" t="s">
        <v>75</v>
      </c>
      <c r="N12" s="9">
        <v>184.21</v>
      </c>
      <c r="O12" s="9">
        <v>162.44999999999999</v>
      </c>
      <c r="P12" s="9" t="s">
        <v>93</v>
      </c>
      <c r="Q12" s="9">
        <v>0</v>
      </c>
      <c r="R12" s="9">
        <v>0</v>
      </c>
      <c r="S12" s="9">
        <v>0</v>
      </c>
      <c r="T12" s="9">
        <v>0</v>
      </c>
      <c r="U12" s="9" t="s">
        <v>74</v>
      </c>
      <c r="V12" s="9" t="s">
        <v>92</v>
      </c>
      <c r="W12" s="7"/>
      <c r="X12" s="10"/>
      <c r="Y12" s="11"/>
      <c r="Z12" s="12"/>
      <c r="AA12" s="12"/>
      <c r="AB12" s="12"/>
      <c r="AC12" s="13"/>
      <c r="AD12" s="7"/>
      <c r="AE12" s="7"/>
      <c r="AF12" s="7"/>
      <c r="AG12" s="7"/>
      <c r="AH12" s="7"/>
      <c r="AI12" s="7"/>
      <c r="AJ12" s="7"/>
      <c r="AK12" s="7"/>
    </row>
    <row r="13" spans="1:37" ht="15" x14ac:dyDescent="0.25">
      <c r="A13" s="14">
        <v>8</v>
      </c>
      <c r="B13" s="7" t="s">
        <v>129</v>
      </c>
      <c r="C13" s="9">
        <v>11</v>
      </c>
      <c r="D13" s="9" t="s">
        <v>40</v>
      </c>
      <c r="E13" s="9">
        <v>0</v>
      </c>
      <c r="F13" s="9" t="s">
        <v>38</v>
      </c>
      <c r="G13" s="9">
        <v>1904.33</v>
      </c>
      <c r="H13" s="9">
        <v>253.88</v>
      </c>
      <c r="I13" s="9">
        <v>0</v>
      </c>
      <c r="J13" s="9" t="s">
        <v>90</v>
      </c>
      <c r="K13" s="9">
        <v>176.84</v>
      </c>
      <c r="L13" s="9">
        <v>1</v>
      </c>
      <c r="M13" s="9" t="s">
        <v>73</v>
      </c>
      <c r="N13" s="9">
        <v>151.44999999999999</v>
      </c>
      <c r="O13" s="9">
        <v>164.82</v>
      </c>
      <c r="P13" s="9" t="s">
        <v>17</v>
      </c>
      <c r="Q13" s="9">
        <v>0</v>
      </c>
      <c r="R13" s="9">
        <v>0</v>
      </c>
      <c r="S13" s="9">
        <v>0</v>
      </c>
      <c r="T13" s="9">
        <v>0</v>
      </c>
      <c r="U13" s="9" t="s">
        <v>74</v>
      </c>
      <c r="V13" s="9" t="s">
        <v>92</v>
      </c>
      <c r="W13" s="7"/>
      <c r="X13" s="10"/>
      <c r="Y13" s="11"/>
      <c r="Z13" s="12"/>
      <c r="AA13" s="12"/>
      <c r="AB13" s="12"/>
      <c r="AC13" s="13"/>
      <c r="AD13" s="7"/>
      <c r="AE13" s="7"/>
      <c r="AF13" s="7"/>
      <c r="AG13" s="7"/>
      <c r="AH13" s="7"/>
      <c r="AI13" s="7"/>
      <c r="AJ13" s="7"/>
      <c r="AK13" s="7"/>
    </row>
    <row r="14" spans="1:37" ht="15" x14ac:dyDescent="0.25">
      <c r="A14" s="14">
        <v>8</v>
      </c>
      <c r="B14" s="7" t="s">
        <v>129</v>
      </c>
      <c r="C14" s="9">
        <v>12</v>
      </c>
      <c r="D14" s="9" t="s">
        <v>40</v>
      </c>
      <c r="E14" s="9">
        <v>0</v>
      </c>
      <c r="F14" s="9" t="s">
        <v>38</v>
      </c>
      <c r="G14" s="9">
        <v>2081.16</v>
      </c>
      <c r="H14" s="9">
        <v>256.91000000000003</v>
      </c>
      <c r="I14" s="9">
        <v>0</v>
      </c>
      <c r="J14" s="9" t="s">
        <v>90</v>
      </c>
      <c r="K14" s="9">
        <v>198.69</v>
      </c>
      <c r="L14" s="9">
        <v>1</v>
      </c>
      <c r="M14" s="9" t="s">
        <v>73</v>
      </c>
      <c r="N14" s="9">
        <v>178.17</v>
      </c>
      <c r="O14" s="9">
        <v>187.76</v>
      </c>
      <c r="P14" s="9" t="s">
        <v>17</v>
      </c>
      <c r="Q14" s="9">
        <v>0</v>
      </c>
      <c r="R14" s="9">
        <v>0</v>
      </c>
      <c r="S14" s="9">
        <v>0</v>
      </c>
      <c r="T14" s="9">
        <v>0</v>
      </c>
      <c r="U14" s="9" t="s">
        <v>74</v>
      </c>
      <c r="V14" s="9" t="s">
        <v>92</v>
      </c>
      <c r="W14" s="7"/>
      <c r="X14" s="10"/>
      <c r="Y14" s="11"/>
      <c r="Z14" s="12"/>
      <c r="AA14" s="12"/>
      <c r="AB14" s="12"/>
      <c r="AC14" s="13"/>
      <c r="AD14" s="7"/>
      <c r="AE14" s="7"/>
      <c r="AF14" s="7"/>
      <c r="AG14" s="7"/>
      <c r="AH14" s="7"/>
      <c r="AI14" s="7"/>
      <c r="AJ14" s="7"/>
      <c r="AK14" s="7"/>
    </row>
    <row r="15" spans="1:37" ht="15" x14ac:dyDescent="0.25">
      <c r="A15" s="14">
        <v>8</v>
      </c>
      <c r="B15" s="7" t="s">
        <v>129</v>
      </c>
      <c r="C15" s="9">
        <v>13</v>
      </c>
      <c r="D15" s="9" t="s">
        <v>40</v>
      </c>
      <c r="E15" s="9">
        <v>0</v>
      </c>
      <c r="F15" s="9" t="s">
        <v>38</v>
      </c>
      <c r="G15" s="9">
        <v>2279.85</v>
      </c>
      <c r="H15" s="9">
        <v>262</v>
      </c>
      <c r="I15" s="9">
        <v>0</v>
      </c>
      <c r="J15" s="9" t="s">
        <v>90</v>
      </c>
      <c r="K15" s="9">
        <v>99.7</v>
      </c>
      <c r="L15" s="9">
        <v>1</v>
      </c>
      <c r="M15" s="9" t="s">
        <v>73</v>
      </c>
      <c r="N15" s="9">
        <v>150.74</v>
      </c>
      <c r="O15" s="9">
        <v>149.19</v>
      </c>
      <c r="P15" s="9" t="s">
        <v>17</v>
      </c>
      <c r="Q15" s="9">
        <v>0</v>
      </c>
      <c r="R15" s="9">
        <v>0</v>
      </c>
      <c r="S15" s="9">
        <v>0</v>
      </c>
      <c r="T15" s="9">
        <v>0</v>
      </c>
      <c r="U15" s="9" t="s">
        <v>74</v>
      </c>
      <c r="V15" s="9" t="s">
        <v>92</v>
      </c>
      <c r="W15" s="7"/>
      <c r="X15" s="10"/>
      <c r="Y15" s="11"/>
      <c r="Z15" s="12"/>
      <c r="AA15" s="12"/>
      <c r="AB15" s="12"/>
      <c r="AC15" s="13"/>
      <c r="AD15" s="7"/>
      <c r="AE15" s="7"/>
      <c r="AF15" s="7"/>
      <c r="AG15" s="7"/>
      <c r="AH15" s="7"/>
      <c r="AI15" s="7"/>
      <c r="AJ15" s="7"/>
      <c r="AK15" s="7"/>
    </row>
    <row r="16" spans="1:37" ht="15" x14ac:dyDescent="0.25">
      <c r="A16" s="14">
        <v>8</v>
      </c>
      <c r="B16" s="7" t="s">
        <v>129</v>
      </c>
      <c r="C16" s="9">
        <v>14</v>
      </c>
      <c r="D16" s="9" t="s">
        <v>44</v>
      </c>
      <c r="E16" s="9">
        <v>0</v>
      </c>
      <c r="F16" s="9" t="s">
        <v>38</v>
      </c>
      <c r="G16" s="9">
        <v>2379.5500000000002</v>
      </c>
      <c r="H16" s="9">
        <v>267</v>
      </c>
      <c r="I16" s="9" t="s">
        <v>88</v>
      </c>
      <c r="J16" s="9" t="s">
        <v>94</v>
      </c>
      <c r="K16" s="9">
        <v>161.63999999999999</v>
      </c>
      <c r="L16" s="9">
        <v>1</v>
      </c>
      <c r="M16" s="9" t="s">
        <v>75</v>
      </c>
      <c r="N16" s="9">
        <v>163.15</v>
      </c>
      <c r="O16" s="9">
        <v>130.66999999999999</v>
      </c>
      <c r="P16" s="9" t="s">
        <v>93</v>
      </c>
      <c r="Q16" s="9">
        <v>0</v>
      </c>
      <c r="R16" s="9">
        <v>0</v>
      </c>
      <c r="S16" s="9">
        <v>0</v>
      </c>
      <c r="T16" s="9">
        <v>0</v>
      </c>
      <c r="U16" s="9" t="s">
        <v>74</v>
      </c>
      <c r="V16" s="9" t="s">
        <v>92</v>
      </c>
      <c r="W16" s="7"/>
      <c r="X16" s="10"/>
      <c r="Y16" s="11"/>
      <c r="Z16" s="12"/>
      <c r="AA16" s="12"/>
      <c r="AB16" s="12"/>
      <c r="AC16" s="13"/>
      <c r="AD16" s="7"/>
      <c r="AE16" s="7"/>
      <c r="AF16" s="7"/>
      <c r="AG16" s="7"/>
      <c r="AH16" s="7"/>
      <c r="AI16" s="7"/>
      <c r="AJ16" s="7"/>
      <c r="AK16" s="7"/>
    </row>
    <row r="17" spans="1:37" ht="15" x14ac:dyDescent="0.25">
      <c r="A17" s="14">
        <v>8</v>
      </c>
      <c r="B17" s="7" t="s">
        <v>129</v>
      </c>
      <c r="C17" s="9">
        <v>15</v>
      </c>
      <c r="D17" s="9" t="s">
        <v>40</v>
      </c>
      <c r="E17" s="9">
        <v>0</v>
      </c>
      <c r="F17" s="9" t="s">
        <v>38</v>
      </c>
      <c r="G17" s="9">
        <v>2541.19</v>
      </c>
      <c r="H17" s="9">
        <v>264.97000000000003</v>
      </c>
      <c r="I17" s="9">
        <v>0</v>
      </c>
      <c r="J17" s="9" t="s">
        <v>90</v>
      </c>
      <c r="K17" s="9">
        <v>199.36</v>
      </c>
      <c r="L17" s="9">
        <v>1</v>
      </c>
      <c r="M17" s="9" t="s">
        <v>73</v>
      </c>
      <c r="N17" s="9">
        <v>192.32</v>
      </c>
      <c r="O17" s="9">
        <v>180.5</v>
      </c>
      <c r="P17" s="9" t="s">
        <v>17</v>
      </c>
      <c r="Q17" s="9">
        <v>0</v>
      </c>
      <c r="R17" s="9">
        <v>0</v>
      </c>
      <c r="S17" s="9">
        <v>0</v>
      </c>
      <c r="T17" s="9">
        <v>0</v>
      </c>
      <c r="U17" s="9" t="s">
        <v>74</v>
      </c>
      <c r="V17" s="9" t="s">
        <v>92</v>
      </c>
      <c r="W17" s="7"/>
      <c r="X17" s="10"/>
      <c r="Y17" s="11"/>
      <c r="Z17" s="12"/>
      <c r="AA17" s="12"/>
      <c r="AB17" s="12"/>
      <c r="AC17" s="13"/>
      <c r="AD17" s="7"/>
      <c r="AE17" s="7"/>
      <c r="AF17" s="7"/>
      <c r="AG17" s="7"/>
      <c r="AH17" s="7"/>
      <c r="AI17" s="7"/>
      <c r="AJ17" s="7"/>
      <c r="AK17" s="7"/>
    </row>
    <row r="18" spans="1:37" ht="15" x14ac:dyDescent="0.25">
      <c r="A18" s="14">
        <v>8</v>
      </c>
      <c r="B18" s="7" t="s">
        <v>129</v>
      </c>
      <c r="C18" s="9">
        <v>16</v>
      </c>
      <c r="D18" s="9" t="s">
        <v>40</v>
      </c>
      <c r="E18" s="9">
        <v>0</v>
      </c>
      <c r="F18" s="9" t="s">
        <v>38</v>
      </c>
      <c r="G18" s="9">
        <v>2740.55</v>
      </c>
      <c r="H18" s="9">
        <v>261.01</v>
      </c>
      <c r="I18" s="9">
        <v>0</v>
      </c>
      <c r="J18" s="9" t="s">
        <v>90</v>
      </c>
      <c r="K18" s="9">
        <v>234.76</v>
      </c>
      <c r="L18" s="9">
        <v>1</v>
      </c>
      <c r="M18" s="9" t="s">
        <v>73</v>
      </c>
      <c r="N18" s="9">
        <v>198.25</v>
      </c>
      <c r="O18" s="9">
        <v>217.06</v>
      </c>
      <c r="P18" s="9" t="s">
        <v>17</v>
      </c>
      <c r="Q18" s="9">
        <v>0</v>
      </c>
      <c r="R18" s="9">
        <v>0</v>
      </c>
      <c r="S18" s="9">
        <v>0</v>
      </c>
      <c r="T18" s="9">
        <v>0</v>
      </c>
      <c r="U18" s="9" t="s">
        <v>74</v>
      </c>
      <c r="V18" s="9" t="s">
        <v>92</v>
      </c>
      <c r="W18" s="7"/>
      <c r="X18" s="10"/>
      <c r="Y18" s="11"/>
      <c r="Z18" s="12"/>
      <c r="AA18" s="12"/>
      <c r="AB18" s="12"/>
      <c r="AC18" s="13"/>
      <c r="AD18" s="7"/>
      <c r="AE18" s="7"/>
      <c r="AF18" s="7"/>
      <c r="AG18" s="7"/>
      <c r="AH18" s="7"/>
      <c r="AI18" s="7"/>
      <c r="AJ18" s="7"/>
      <c r="AK18" s="7"/>
    </row>
    <row r="19" spans="1:37" ht="15" x14ac:dyDescent="0.25">
      <c r="A19" s="14">
        <v>8</v>
      </c>
      <c r="B19" s="7" t="s">
        <v>129</v>
      </c>
      <c r="C19" s="9">
        <v>17</v>
      </c>
      <c r="D19" s="9" t="s">
        <v>40</v>
      </c>
      <c r="E19" s="9">
        <v>0</v>
      </c>
      <c r="F19" s="9" t="s">
        <v>38</v>
      </c>
      <c r="G19" s="9">
        <v>2975.31</v>
      </c>
      <c r="H19" s="9">
        <v>260.93</v>
      </c>
      <c r="I19" s="9">
        <v>0</v>
      </c>
      <c r="J19" s="9" t="s">
        <v>90</v>
      </c>
      <c r="K19" s="9">
        <v>188.9</v>
      </c>
      <c r="L19" s="9">
        <v>1</v>
      </c>
      <c r="M19" s="9" t="s">
        <v>73</v>
      </c>
      <c r="N19" s="9">
        <v>196.38</v>
      </c>
      <c r="O19" s="9">
        <v>211.83</v>
      </c>
      <c r="P19" s="9" t="s">
        <v>17</v>
      </c>
      <c r="Q19" s="9">
        <v>0</v>
      </c>
      <c r="R19" s="9">
        <v>0</v>
      </c>
      <c r="S19" s="9">
        <v>0</v>
      </c>
      <c r="T19" s="9">
        <v>0</v>
      </c>
      <c r="U19" s="9" t="s">
        <v>74</v>
      </c>
      <c r="V19" s="9" t="s">
        <v>92</v>
      </c>
      <c r="W19" s="7"/>
      <c r="X19" s="10"/>
      <c r="Y19" s="11"/>
      <c r="Z19" s="12"/>
      <c r="AA19" s="12"/>
      <c r="AB19" s="12"/>
      <c r="AC19" s="13"/>
      <c r="AD19" s="7"/>
      <c r="AE19" s="7"/>
      <c r="AF19" s="7"/>
      <c r="AG19" s="7"/>
      <c r="AH19" s="7"/>
      <c r="AI19" s="7"/>
      <c r="AJ19" s="7"/>
      <c r="AK19" s="7"/>
    </row>
    <row r="20" spans="1:37" ht="15" x14ac:dyDescent="0.25">
      <c r="A20" s="14">
        <v>8</v>
      </c>
      <c r="B20" s="7" t="s">
        <v>129</v>
      </c>
      <c r="C20" s="9">
        <v>18</v>
      </c>
      <c r="D20" s="9" t="s">
        <v>45</v>
      </c>
      <c r="E20" s="9">
        <v>0</v>
      </c>
      <c r="F20" s="9" t="s">
        <v>38</v>
      </c>
      <c r="G20" s="9">
        <v>3164.21</v>
      </c>
      <c r="H20" s="9">
        <v>264</v>
      </c>
      <c r="I20" s="9" t="s">
        <v>88</v>
      </c>
      <c r="J20" s="9" t="s">
        <v>95</v>
      </c>
      <c r="K20" s="9">
        <v>249.33</v>
      </c>
      <c r="L20" s="9">
        <v>1</v>
      </c>
      <c r="M20" s="9" t="s">
        <v>73</v>
      </c>
      <c r="N20" s="9">
        <v>295.98</v>
      </c>
      <c r="O20" s="9">
        <v>219.11</v>
      </c>
      <c r="P20" s="9" t="s">
        <v>91</v>
      </c>
      <c r="Q20" s="9">
        <v>0</v>
      </c>
      <c r="R20" s="9">
        <v>0</v>
      </c>
      <c r="S20" s="9">
        <v>0</v>
      </c>
      <c r="T20" s="9">
        <v>0</v>
      </c>
      <c r="U20" s="9" t="s">
        <v>74</v>
      </c>
      <c r="V20" s="9" t="s">
        <v>92</v>
      </c>
      <c r="W20" s="7"/>
      <c r="X20" s="10"/>
      <c r="Y20" s="11"/>
      <c r="Z20" s="12"/>
      <c r="AA20" s="12"/>
      <c r="AB20" s="12"/>
      <c r="AC20" s="13"/>
      <c r="AD20" s="7"/>
      <c r="AE20" s="7"/>
      <c r="AF20" s="7"/>
      <c r="AG20" s="7"/>
      <c r="AH20" s="7"/>
      <c r="AI20" s="7"/>
      <c r="AJ20" s="7"/>
      <c r="AK20" s="7"/>
    </row>
    <row r="21" spans="1:37" ht="15" x14ac:dyDescent="0.25">
      <c r="A21" s="14">
        <v>8</v>
      </c>
      <c r="B21" s="4" t="s">
        <v>129</v>
      </c>
      <c r="C21" s="25">
        <v>19</v>
      </c>
      <c r="D21" s="25" t="s">
        <v>40</v>
      </c>
      <c r="E21">
        <v>0</v>
      </c>
      <c r="F21" s="25" t="s">
        <v>38</v>
      </c>
      <c r="G21" s="25">
        <v>3413.54</v>
      </c>
      <c r="H21" s="25">
        <v>251.01</v>
      </c>
      <c r="I21" s="25">
        <v>0</v>
      </c>
      <c r="J21" s="25" t="s">
        <v>90</v>
      </c>
      <c r="K21" s="25">
        <v>190.57</v>
      </c>
      <c r="L21" s="25">
        <v>1</v>
      </c>
      <c r="M21" s="25" t="s">
        <v>73</v>
      </c>
      <c r="N21" s="25">
        <v>174.26</v>
      </c>
      <c r="O21" s="25">
        <v>219.95</v>
      </c>
      <c r="P21" s="25" t="s">
        <v>17</v>
      </c>
      <c r="Q21" s="25">
        <v>0</v>
      </c>
      <c r="R21" s="25">
        <v>0</v>
      </c>
      <c r="S21" s="25">
        <v>0</v>
      </c>
      <c r="T21" s="25">
        <v>0</v>
      </c>
      <c r="U21" s="25" t="s">
        <v>74</v>
      </c>
      <c r="V21" s="25" t="s">
        <v>92</v>
      </c>
      <c r="W21" s="7"/>
      <c r="X21" s="10"/>
      <c r="Y21" s="11"/>
      <c r="Z21" s="12"/>
      <c r="AA21" s="12"/>
      <c r="AB21" s="12"/>
      <c r="AC21" s="13"/>
      <c r="AD21" s="7"/>
      <c r="AE21" s="7"/>
      <c r="AF21" s="7"/>
      <c r="AG21" s="7"/>
      <c r="AH21" s="7"/>
      <c r="AI21" s="7"/>
      <c r="AJ21" s="7"/>
      <c r="AK21" s="7"/>
    </row>
    <row r="22" spans="1:37" ht="15" x14ac:dyDescent="0.25">
      <c r="A22" s="14">
        <v>8</v>
      </c>
      <c r="B22" s="4" t="s">
        <v>129</v>
      </c>
      <c r="C22" s="25">
        <v>20</v>
      </c>
      <c r="D22" s="26" t="s">
        <v>45</v>
      </c>
      <c r="E22">
        <v>0</v>
      </c>
      <c r="F22" s="25" t="s">
        <v>38</v>
      </c>
      <c r="G22" s="25">
        <v>3604.1</v>
      </c>
      <c r="H22" s="25">
        <v>248</v>
      </c>
      <c r="I22" s="25" t="s">
        <v>84</v>
      </c>
      <c r="J22" s="25" t="s">
        <v>139</v>
      </c>
      <c r="K22" s="25">
        <v>180.05</v>
      </c>
      <c r="L22" s="25">
        <v>1</v>
      </c>
      <c r="M22" s="25" t="s">
        <v>73</v>
      </c>
      <c r="N22" s="25">
        <v>155.86000000000001</v>
      </c>
      <c r="O22" s="25">
        <v>185.31</v>
      </c>
      <c r="P22" s="25" t="s">
        <v>91</v>
      </c>
      <c r="Q22" s="25">
        <v>0</v>
      </c>
      <c r="R22" s="25">
        <v>0</v>
      </c>
      <c r="S22" s="25">
        <v>0</v>
      </c>
      <c r="T22" s="25">
        <v>0</v>
      </c>
      <c r="U22" s="25" t="s">
        <v>74</v>
      </c>
      <c r="V22" s="25" t="s">
        <v>92</v>
      </c>
      <c r="W22" s="7"/>
      <c r="X22" s="10"/>
      <c r="Y22" s="11"/>
      <c r="Z22" s="12"/>
      <c r="AA22" s="12"/>
      <c r="AB22" s="12"/>
      <c r="AC22" s="13"/>
      <c r="AD22" s="7"/>
      <c r="AE22" s="7"/>
      <c r="AF22" s="7"/>
      <c r="AG22" s="7"/>
      <c r="AH22" s="7"/>
      <c r="AI22" s="7"/>
      <c r="AJ22" s="7"/>
      <c r="AK22" s="7"/>
    </row>
    <row r="23" spans="1:37" ht="15" x14ac:dyDescent="0.25">
      <c r="A23" s="14">
        <v>8</v>
      </c>
      <c r="B23" s="4" t="s">
        <v>129</v>
      </c>
      <c r="C23" s="25">
        <v>21</v>
      </c>
      <c r="D23" s="25" t="s">
        <v>40</v>
      </c>
      <c r="E23">
        <v>0</v>
      </c>
      <c r="F23" s="25" t="s">
        <v>38</v>
      </c>
      <c r="G23" s="25">
        <v>3784.16</v>
      </c>
      <c r="H23" s="25">
        <v>251</v>
      </c>
      <c r="I23" s="25">
        <v>0</v>
      </c>
      <c r="J23" s="25" t="s">
        <v>90</v>
      </c>
      <c r="K23" s="25">
        <v>135.27000000000001</v>
      </c>
      <c r="L23" s="25">
        <v>1</v>
      </c>
      <c r="M23" s="26" t="s">
        <v>73</v>
      </c>
      <c r="N23" s="25">
        <v>175.98</v>
      </c>
      <c r="O23" s="25">
        <v>157.66</v>
      </c>
      <c r="P23" s="25" t="s">
        <v>17</v>
      </c>
      <c r="Q23" s="25">
        <v>0</v>
      </c>
      <c r="R23" s="25">
        <v>0</v>
      </c>
      <c r="S23" s="25">
        <v>0</v>
      </c>
      <c r="T23" s="25">
        <v>0</v>
      </c>
      <c r="U23" s="25" t="s">
        <v>74</v>
      </c>
      <c r="V23" s="25" t="s">
        <v>92</v>
      </c>
      <c r="W23" s="7"/>
      <c r="X23" s="10"/>
      <c r="Y23" s="11"/>
      <c r="Z23" s="12"/>
      <c r="AA23" s="12"/>
      <c r="AB23" s="12"/>
      <c r="AC23" s="13"/>
      <c r="AD23" s="7"/>
      <c r="AE23" s="7"/>
      <c r="AF23" s="7"/>
      <c r="AG23" s="7"/>
      <c r="AH23" s="7"/>
      <c r="AI23" s="7"/>
      <c r="AJ23" s="7"/>
      <c r="AK23" s="7"/>
    </row>
    <row r="24" spans="1:37" ht="15" x14ac:dyDescent="0.25">
      <c r="A24" s="14">
        <v>8</v>
      </c>
      <c r="B24" s="4" t="s">
        <v>129</v>
      </c>
      <c r="C24" s="25">
        <v>22</v>
      </c>
      <c r="D24" s="25" t="s">
        <v>78</v>
      </c>
      <c r="E24">
        <v>0</v>
      </c>
      <c r="F24" s="25" t="s">
        <v>38</v>
      </c>
      <c r="G24" s="25">
        <v>3919.43</v>
      </c>
      <c r="H24" s="25">
        <v>251</v>
      </c>
      <c r="I24" s="25" t="s">
        <v>128</v>
      </c>
      <c r="J24" s="25" t="s">
        <v>90</v>
      </c>
      <c r="K24" s="25">
        <v>0</v>
      </c>
      <c r="L24" s="25">
        <v>1</v>
      </c>
      <c r="M24" s="25" t="s">
        <v>75</v>
      </c>
      <c r="N24" s="25">
        <v>64.86</v>
      </c>
      <c r="O24" s="25">
        <v>67.64</v>
      </c>
      <c r="P24" s="25" t="s">
        <v>91</v>
      </c>
      <c r="Q24" s="25">
        <v>0</v>
      </c>
      <c r="R24" s="25">
        <v>0</v>
      </c>
      <c r="S24" s="25">
        <v>0</v>
      </c>
      <c r="T24" s="25">
        <v>0</v>
      </c>
      <c r="U24" s="25" t="s">
        <v>74</v>
      </c>
      <c r="V24" s="25" t="s">
        <v>92</v>
      </c>
      <c r="W24" s="7"/>
      <c r="X24" s="10"/>
      <c r="Y24" s="11"/>
      <c r="Z24" s="12"/>
      <c r="AA24" s="12"/>
      <c r="AB24" s="12"/>
      <c r="AC24" s="13"/>
      <c r="AD24" s="7"/>
      <c r="AE24" s="7"/>
      <c r="AF24" s="7"/>
      <c r="AG24" s="7"/>
      <c r="AH24" s="7"/>
      <c r="AI24" s="7"/>
      <c r="AJ24" s="7"/>
      <c r="AK24" s="7"/>
    </row>
    <row r="25" spans="1:37" ht="15" x14ac:dyDescent="0.25">
      <c r="A25" s="14">
        <v>9</v>
      </c>
      <c r="B25" s="4" t="s">
        <v>130</v>
      </c>
      <c r="C25" s="28">
        <v>0</v>
      </c>
      <c r="D25" s="28" t="s">
        <v>114</v>
      </c>
      <c r="E25" s="28"/>
      <c r="F25" s="28" t="s">
        <v>38</v>
      </c>
      <c r="G25" s="28">
        <v>0</v>
      </c>
      <c r="H25" s="28">
        <v>267</v>
      </c>
      <c r="I25" s="28" t="s">
        <v>80</v>
      </c>
      <c r="J25" s="28" t="s">
        <v>90</v>
      </c>
      <c r="K25" s="28">
        <v>52.64</v>
      </c>
      <c r="L25" s="28">
        <v>1</v>
      </c>
      <c r="M25" s="28" t="s">
        <v>73</v>
      </c>
      <c r="N25" s="28">
        <v>25.58</v>
      </c>
      <c r="O25" s="28">
        <v>26.32</v>
      </c>
      <c r="P25" s="28" t="s">
        <v>17</v>
      </c>
      <c r="Q25" s="28">
        <v>0</v>
      </c>
      <c r="R25" s="28">
        <v>0</v>
      </c>
      <c r="S25" s="28">
        <v>0</v>
      </c>
      <c r="T25" s="28">
        <v>0</v>
      </c>
      <c r="U25" s="28"/>
      <c r="V25" s="28"/>
      <c r="W25" s="7"/>
      <c r="X25" s="10"/>
      <c r="Y25" s="11"/>
      <c r="Z25" s="12"/>
      <c r="AA25" s="12"/>
      <c r="AB25" s="12"/>
      <c r="AC25" s="13"/>
      <c r="AD25" s="7"/>
      <c r="AE25" s="7"/>
      <c r="AF25" s="7"/>
      <c r="AG25" s="7"/>
      <c r="AH25" s="7"/>
      <c r="AI25" s="7"/>
      <c r="AJ25" s="7"/>
      <c r="AK25" s="7"/>
    </row>
    <row r="26" spans="1:37" ht="15" x14ac:dyDescent="0.25">
      <c r="A26" s="14">
        <v>9</v>
      </c>
      <c r="B26" s="4" t="s">
        <v>130</v>
      </c>
      <c r="C26" s="28">
        <v>1</v>
      </c>
      <c r="D26" s="28" t="s">
        <v>136</v>
      </c>
      <c r="E26" s="28"/>
      <c r="F26" s="28" t="s">
        <v>38</v>
      </c>
      <c r="G26" s="28">
        <v>52.64</v>
      </c>
      <c r="H26" s="28">
        <v>266</v>
      </c>
      <c r="I26" s="28" t="s">
        <v>82</v>
      </c>
      <c r="J26" s="28" t="s">
        <v>140</v>
      </c>
      <c r="K26" s="28">
        <v>117.97</v>
      </c>
      <c r="L26" s="28">
        <v>1</v>
      </c>
      <c r="M26" s="28" t="s">
        <v>75</v>
      </c>
      <c r="N26" s="28">
        <v>96.94</v>
      </c>
      <c r="O26" s="28">
        <v>85.31</v>
      </c>
      <c r="P26" s="28" t="s">
        <v>91</v>
      </c>
      <c r="Q26" s="28">
        <v>0</v>
      </c>
      <c r="R26" s="28">
        <v>0</v>
      </c>
      <c r="S26" s="28">
        <v>0</v>
      </c>
      <c r="T26" s="28">
        <v>0</v>
      </c>
      <c r="U26" s="28" t="s">
        <v>39</v>
      </c>
      <c r="V26" s="28" t="s">
        <v>92</v>
      </c>
      <c r="W26" s="7"/>
      <c r="X26" s="10"/>
      <c r="Y26" s="11"/>
      <c r="Z26" s="12"/>
      <c r="AA26" s="12"/>
      <c r="AB26" s="12"/>
      <c r="AC26" s="13"/>
      <c r="AD26" s="7"/>
      <c r="AE26" s="7"/>
      <c r="AF26" s="7"/>
      <c r="AG26" s="7"/>
      <c r="AH26" s="7"/>
      <c r="AI26" s="7"/>
      <c r="AJ26" s="7"/>
      <c r="AK26" s="7"/>
    </row>
    <row r="27" spans="1:37" ht="15" x14ac:dyDescent="0.25">
      <c r="A27" s="14">
        <v>9</v>
      </c>
      <c r="B27" s="4" t="s">
        <v>130</v>
      </c>
      <c r="C27" s="28">
        <v>2</v>
      </c>
      <c r="D27" s="28" t="s">
        <v>44</v>
      </c>
      <c r="E27" s="28"/>
      <c r="F27" s="28" t="s">
        <v>38</v>
      </c>
      <c r="G27" s="28">
        <v>170.62</v>
      </c>
      <c r="H27" s="28">
        <v>264</v>
      </c>
      <c r="I27" s="28" t="s">
        <v>141</v>
      </c>
      <c r="J27" s="28" t="s">
        <v>142</v>
      </c>
      <c r="K27" s="28">
        <v>456.04</v>
      </c>
      <c r="L27" s="28">
        <v>1</v>
      </c>
      <c r="M27" s="28" t="s">
        <v>75</v>
      </c>
      <c r="N27" s="28">
        <v>396.81</v>
      </c>
      <c r="O27" s="28">
        <v>287.01</v>
      </c>
      <c r="P27" s="28" t="s">
        <v>93</v>
      </c>
      <c r="Q27" s="28">
        <v>0</v>
      </c>
      <c r="R27" s="28">
        <v>2</v>
      </c>
      <c r="S27" s="28">
        <v>0</v>
      </c>
      <c r="T27" s="28">
        <v>0</v>
      </c>
      <c r="U27" s="28" t="s">
        <v>74</v>
      </c>
      <c r="V27" s="28" t="s">
        <v>92</v>
      </c>
      <c r="W27" s="7"/>
      <c r="X27" s="10"/>
      <c r="Y27" s="11"/>
      <c r="Z27" s="12"/>
      <c r="AA27" s="12"/>
      <c r="AB27" s="12"/>
      <c r="AC27" s="13"/>
      <c r="AD27" s="7"/>
      <c r="AE27" s="7"/>
      <c r="AF27" s="7"/>
      <c r="AG27" s="7"/>
      <c r="AH27" s="7"/>
      <c r="AI27" s="7"/>
      <c r="AJ27" s="7"/>
      <c r="AK27" s="7"/>
    </row>
    <row r="28" spans="1:37" ht="15" x14ac:dyDescent="0.25">
      <c r="A28" s="14">
        <v>9</v>
      </c>
      <c r="B28" s="4" t="s">
        <v>130</v>
      </c>
      <c r="C28" s="28">
        <v>3</v>
      </c>
      <c r="D28" s="28" t="s">
        <v>44</v>
      </c>
      <c r="E28" s="28"/>
      <c r="F28" s="28" t="s">
        <v>38</v>
      </c>
      <c r="G28" s="28">
        <v>626.66</v>
      </c>
      <c r="H28" s="28">
        <v>231</v>
      </c>
      <c r="I28" s="28" t="s">
        <v>83</v>
      </c>
      <c r="J28" s="28" t="s">
        <v>143</v>
      </c>
      <c r="K28" s="28">
        <v>200.53</v>
      </c>
      <c r="L28" s="28">
        <v>1</v>
      </c>
      <c r="M28" s="28" t="s">
        <v>89</v>
      </c>
      <c r="N28" s="28">
        <v>193.42</v>
      </c>
      <c r="O28" s="28">
        <v>328.28</v>
      </c>
      <c r="P28" s="28" t="s">
        <v>93</v>
      </c>
      <c r="Q28" s="28">
        <v>0</v>
      </c>
      <c r="R28" s="28">
        <v>0</v>
      </c>
      <c r="S28" s="28">
        <v>0</v>
      </c>
      <c r="T28" s="28">
        <v>0</v>
      </c>
      <c r="U28" s="28" t="s">
        <v>74</v>
      </c>
      <c r="V28" s="28" t="s">
        <v>127</v>
      </c>
      <c r="W28" s="7"/>
      <c r="X28" s="10"/>
      <c r="Y28" s="11"/>
      <c r="Z28" s="12"/>
      <c r="AA28" s="12"/>
      <c r="AB28" s="12"/>
      <c r="AC28" s="13"/>
      <c r="AD28" s="7"/>
      <c r="AE28" s="7"/>
      <c r="AF28" s="7"/>
      <c r="AG28" s="7"/>
      <c r="AH28" s="7"/>
      <c r="AI28" s="7"/>
      <c r="AJ28" s="7"/>
      <c r="AK28" s="7"/>
    </row>
    <row r="29" spans="1:37" ht="15" x14ac:dyDescent="0.25">
      <c r="A29" s="14">
        <v>9</v>
      </c>
      <c r="B29" s="4" t="s">
        <v>130</v>
      </c>
      <c r="C29" s="28">
        <v>4</v>
      </c>
      <c r="D29" s="28" t="s">
        <v>78</v>
      </c>
      <c r="E29" s="28"/>
      <c r="F29" s="28" t="s">
        <v>38</v>
      </c>
      <c r="G29" s="28">
        <v>827.19</v>
      </c>
      <c r="H29" s="28">
        <v>234.5</v>
      </c>
      <c r="I29" s="28" t="s">
        <v>84</v>
      </c>
      <c r="J29" s="28" t="s">
        <v>90</v>
      </c>
      <c r="K29" s="28">
        <v>0</v>
      </c>
      <c r="L29" s="28">
        <v>1</v>
      </c>
      <c r="M29" s="28" t="s">
        <v>89</v>
      </c>
      <c r="N29" s="28">
        <v>117.81</v>
      </c>
      <c r="O29" s="28">
        <v>100.27</v>
      </c>
      <c r="P29" s="28" t="s">
        <v>91</v>
      </c>
      <c r="Q29" s="28">
        <v>0</v>
      </c>
      <c r="R29" s="28">
        <v>0</v>
      </c>
      <c r="S29" s="28">
        <v>0</v>
      </c>
      <c r="T29" s="28">
        <v>0</v>
      </c>
      <c r="U29" s="28" t="s">
        <v>74</v>
      </c>
      <c r="V29" s="28" t="s">
        <v>127</v>
      </c>
      <c r="W29" s="7"/>
      <c r="X29" s="10"/>
      <c r="Y29" s="11"/>
      <c r="Z29" s="12"/>
      <c r="AA29" s="12"/>
      <c r="AB29" s="12"/>
      <c r="AC29" s="13"/>
      <c r="AD29" s="7"/>
      <c r="AE29" s="7"/>
      <c r="AF29" s="7"/>
      <c r="AG29" s="7"/>
      <c r="AH29" s="7"/>
      <c r="AI29" s="7"/>
      <c r="AJ29" s="7"/>
      <c r="AK29" s="7"/>
    </row>
    <row r="30" spans="1:37" ht="15" x14ac:dyDescent="0.25">
      <c r="A30" s="14">
        <v>10</v>
      </c>
      <c r="B30" s="4" t="s">
        <v>131</v>
      </c>
      <c r="C30" s="28">
        <v>0</v>
      </c>
      <c r="D30" s="28" t="s">
        <v>144</v>
      </c>
      <c r="E30" s="28"/>
      <c r="F30" s="28" t="s">
        <v>38</v>
      </c>
      <c r="G30" s="28">
        <v>0</v>
      </c>
      <c r="H30" s="28">
        <v>267</v>
      </c>
      <c r="I30" s="28"/>
      <c r="J30" s="28" t="s">
        <v>90</v>
      </c>
      <c r="K30" s="28">
        <v>52.47</v>
      </c>
      <c r="L30" s="28">
        <v>0</v>
      </c>
      <c r="M30" s="28" t="s">
        <v>73</v>
      </c>
      <c r="N30" s="28">
        <v>13.8</v>
      </c>
      <c r="O30" s="28">
        <v>26.23</v>
      </c>
      <c r="P30" s="28" t="s">
        <v>17</v>
      </c>
      <c r="Q30" s="28">
        <v>0</v>
      </c>
      <c r="R30" s="28">
        <v>0</v>
      </c>
      <c r="S30" s="28">
        <v>0</v>
      </c>
      <c r="T30" s="28">
        <v>0</v>
      </c>
      <c r="U30" s="28"/>
      <c r="V30" s="28"/>
      <c r="W30" s="7"/>
      <c r="X30" s="10"/>
      <c r="Y30" s="11"/>
      <c r="Z30" s="12"/>
      <c r="AA30" s="12"/>
      <c r="AB30" s="12"/>
      <c r="AC30" s="13"/>
      <c r="AD30" s="7"/>
      <c r="AE30" s="7"/>
      <c r="AF30" s="7"/>
      <c r="AG30" s="7"/>
      <c r="AH30" s="7"/>
      <c r="AI30" s="7"/>
      <c r="AJ30" s="7"/>
      <c r="AK30" s="7"/>
    </row>
    <row r="31" spans="1:37" ht="15" x14ac:dyDescent="0.25">
      <c r="A31" s="14">
        <v>10</v>
      </c>
      <c r="B31" s="4" t="s">
        <v>131</v>
      </c>
      <c r="C31" s="28">
        <v>1</v>
      </c>
      <c r="D31" s="28" t="s">
        <v>135</v>
      </c>
      <c r="E31" s="28"/>
      <c r="F31" s="28" t="s">
        <v>38</v>
      </c>
      <c r="G31" s="28">
        <v>52.47</v>
      </c>
      <c r="H31" s="28">
        <v>268</v>
      </c>
      <c r="I31" s="28" t="s">
        <v>88</v>
      </c>
      <c r="J31" s="28" t="s">
        <v>145</v>
      </c>
      <c r="K31" s="28">
        <v>185.19</v>
      </c>
      <c r="L31" s="28">
        <v>1</v>
      </c>
      <c r="M31" s="28" t="s">
        <v>75</v>
      </c>
      <c r="N31" s="28">
        <v>140.07</v>
      </c>
      <c r="O31" s="28">
        <v>118.83</v>
      </c>
      <c r="P31" s="28" t="s">
        <v>91</v>
      </c>
      <c r="Q31" s="28">
        <v>0</v>
      </c>
      <c r="R31" s="28">
        <v>0</v>
      </c>
      <c r="S31" s="28">
        <v>0</v>
      </c>
      <c r="T31" s="28">
        <v>0</v>
      </c>
      <c r="U31" s="28" t="s">
        <v>39</v>
      </c>
      <c r="V31" s="28" t="s">
        <v>92</v>
      </c>
      <c r="W31" s="7"/>
      <c r="X31" s="10"/>
      <c r="Y31" s="11"/>
      <c r="Z31" s="12"/>
      <c r="AA31" s="12"/>
      <c r="AB31" s="12"/>
      <c r="AC31" s="13"/>
      <c r="AD31" s="7"/>
      <c r="AE31" s="7"/>
      <c r="AF31" s="7"/>
      <c r="AG31" s="7"/>
      <c r="AH31" s="7"/>
      <c r="AI31" s="7"/>
      <c r="AJ31" s="7"/>
      <c r="AK31" s="7"/>
    </row>
    <row r="32" spans="1:37" ht="15" x14ac:dyDescent="0.25">
      <c r="A32" s="14">
        <v>10</v>
      </c>
      <c r="B32" s="4" t="s">
        <v>131</v>
      </c>
      <c r="C32" s="28">
        <v>2</v>
      </c>
      <c r="D32" s="28" t="s">
        <v>40</v>
      </c>
      <c r="E32" s="28"/>
      <c r="F32" s="28" t="s">
        <v>38</v>
      </c>
      <c r="G32" s="28">
        <v>237.66</v>
      </c>
      <c r="H32" s="28">
        <v>265.97000000000003</v>
      </c>
      <c r="I32" s="28"/>
      <c r="J32" s="28" t="s">
        <v>90</v>
      </c>
      <c r="K32" s="28">
        <v>110.85</v>
      </c>
      <c r="L32" s="28">
        <v>1</v>
      </c>
      <c r="M32" s="28" t="s">
        <v>73</v>
      </c>
      <c r="N32" s="28">
        <v>114.67</v>
      </c>
      <c r="O32" s="28">
        <v>148.02000000000001</v>
      </c>
      <c r="P32" s="28" t="s">
        <v>17</v>
      </c>
      <c r="Q32" s="28">
        <v>0</v>
      </c>
      <c r="R32" s="28">
        <v>0</v>
      </c>
      <c r="S32" s="28">
        <v>0</v>
      </c>
      <c r="T32" s="28">
        <v>0</v>
      </c>
      <c r="U32" s="28" t="s">
        <v>74</v>
      </c>
      <c r="V32" s="28" t="s">
        <v>92</v>
      </c>
      <c r="W32" s="7"/>
      <c r="X32" s="10"/>
      <c r="Y32" s="11"/>
      <c r="Z32" s="12"/>
      <c r="AA32" s="12"/>
      <c r="AB32" s="12"/>
      <c r="AC32" s="13"/>
      <c r="AD32" s="7"/>
      <c r="AE32" s="7"/>
      <c r="AF32" s="7"/>
      <c r="AG32" s="7"/>
      <c r="AH32" s="7"/>
      <c r="AI32" s="7"/>
      <c r="AJ32" s="7"/>
      <c r="AK32" s="7"/>
    </row>
    <row r="33" spans="1:37" ht="15" x14ac:dyDescent="0.25">
      <c r="A33" s="14">
        <v>10</v>
      </c>
      <c r="B33" s="4" t="s">
        <v>131</v>
      </c>
      <c r="C33" s="28">
        <v>3</v>
      </c>
      <c r="D33" s="28" t="s">
        <v>40</v>
      </c>
      <c r="E33" s="28"/>
      <c r="F33" s="28" t="s">
        <v>38</v>
      </c>
      <c r="G33" s="28">
        <v>348.52</v>
      </c>
      <c r="H33" s="28">
        <v>269.99</v>
      </c>
      <c r="I33" s="28"/>
      <c r="J33" s="28" t="s">
        <v>90</v>
      </c>
      <c r="K33" s="28">
        <v>170.04</v>
      </c>
      <c r="L33" s="28">
        <v>1</v>
      </c>
      <c r="M33" s="28" t="s">
        <v>73</v>
      </c>
      <c r="N33" s="28">
        <v>198.31</v>
      </c>
      <c r="O33" s="28">
        <v>140.44999999999999</v>
      </c>
      <c r="P33" s="28" t="s">
        <v>17</v>
      </c>
      <c r="Q33" s="28">
        <v>0</v>
      </c>
      <c r="R33" s="28">
        <v>0</v>
      </c>
      <c r="S33" s="28">
        <v>0</v>
      </c>
      <c r="T33" s="28">
        <v>0</v>
      </c>
      <c r="U33" s="28" t="s">
        <v>74</v>
      </c>
      <c r="V33" s="28" t="s">
        <v>92</v>
      </c>
      <c r="W33" s="7"/>
      <c r="X33" s="10"/>
      <c r="Y33" s="11"/>
      <c r="Z33" s="12"/>
      <c r="AA33" s="12"/>
      <c r="AB33" s="12"/>
      <c r="AC33" s="13"/>
      <c r="AD33" s="7"/>
      <c r="AE33" s="7"/>
      <c r="AF33" s="7"/>
      <c r="AG33" s="7"/>
      <c r="AH33" s="7"/>
      <c r="AI33" s="7"/>
      <c r="AJ33" s="7"/>
      <c r="AK33" s="7"/>
    </row>
    <row r="34" spans="1:37" ht="15" x14ac:dyDescent="0.25">
      <c r="A34" s="14">
        <v>10</v>
      </c>
      <c r="B34" s="4" t="s">
        <v>131</v>
      </c>
      <c r="C34" s="28">
        <v>4</v>
      </c>
      <c r="D34" s="28" t="s">
        <v>44</v>
      </c>
      <c r="E34" s="28"/>
      <c r="F34" s="28" t="s">
        <v>38</v>
      </c>
      <c r="G34" s="28">
        <v>518.55999999999995</v>
      </c>
      <c r="H34" s="28">
        <v>265</v>
      </c>
      <c r="I34" s="28"/>
      <c r="J34" s="28" t="s">
        <v>90</v>
      </c>
      <c r="K34" s="28">
        <v>590.70000000000005</v>
      </c>
      <c r="L34" s="28">
        <v>1</v>
      </c>
      <c r="M34" s="28" t="s">
        <v>75</v>
      </c>
      <c r="N34" s="28">
        <v>343.77</v>
      </c>
      <c r="O34" s="28">
        <v>380.37</v>
      </c>
      <c r="P34" s="28" t="s">
        <v>93</v>
      </c>
      <c r="Q34" s="28">
        <v>0</v>
      </c>
      <c r="R34" s="28">
        <v>2</v>
      </c>
      <c r="S34" s="28">
        <v>0</v>
      </c>
      <c r="T34" s="28">
        <v>0</v>
      </c>
      <c r="U34" s="28" t="s">
        <v>74</v>
      </c>
      <c r="V34" s="28" t="s">
        <v>92</v>
      </c>
      <c r="W34" s="7"/>
      <c r="X34" s="10"/>
      <c r="Y34" s="11"/>
      <c r="Z34" s="12"/>
      <c r="AA34" s="12"/>
      <c r="AB34" s="12"/>
      <c r="AC34" s="13"/>
      <c r="AD34" s="7"/>
      <c r="AE34" s="7"/>
      <c r="AF34" s="7"/>
      <c r="AG34" s="7"/>
      <c r="AH34" s="7"/>
      <c r="AI34" s="7"/>
      <c r="AJ34" s="7"/>
      <c r="AK34" s="7"/>
    </row>
    <row r="35" spans="1:37" ht="15" x14ac:dyDescent="0.25">
      <c r="A35" s="14">
        <v>10</v>
      </c>
      <c r="B35" s="4" t="s">
        <v>131</v>
      </c>
      <c r="C35" s="28">
        <v>5</v>
      </c>
      <c r="D35" s="28" t="s">
        <v>78</v>
      </c>
      <c r="E35" s="28"/>
      <c r="F35" s="28" t="s">
        <v>38</v>
      </c>
      <c r="G35" s="28">
        <v>1109.26</v>
      </c>
      <c r="H35" s="28">
        <v>267</v>
      </c>
      <c r="I35" s="28" t="s">
        <v>84</v>
      </c>
      <c r="J35" s="28" t="s">
        <v>90</v>
      </c>
      <c r="K35" s="28">
        <v>0</v>
      </c>
      <c r="L35" s="28">
        <v>1</v>
      </c>
      <c r="M35" s="28" t="s">
        <v>89</v>
      </c>
      <c r="N35" s="28">
        <v>301.98</v>
      </c>
      <c r="O35" s="28">
        <v>295.35000000000002</v>
      </c>
      <c r="P35" s="28" t="s">
        <v>91</v>
      </c>
      <c r="Q35" s="28">
        <v>0</v>
      </c>
      <c r="R35" s="28">
        <v>0</v>
      </c>
      <c r="S35" s="28">
        <v>0</v>
      </c>
      <c r="T35" s="28">
        <v>0</v>
      </c>
      <c r="U35" s="28" t="s">
        <v>74</v>
      </c>
      <c r="V35" s="28" t="s">
        <v>127</v>
      </c>
      <c r="W35" s="7"/>
      <c r="X35" s="10"/>
      <c r="Y35" s="11"/>
      <c r="Z35" s="12"/>
      <c r="AA35" s="12"/>
      <c r="AB35" s="12"/>
      <c r="AC35" s="13"/>
      <c r="AD35" s="7"/>
      <c r="AE35" s="7"/>
      <c r="AF35" s="7"/>
      <c r="AG35" s="7"/>
      <c r="AH35" s="7"/>
      <c r="AI35" s="7"/>
      <c r="AJ35" s="7"/>
      <c r="AK35" s="7"/>
    </row>
    <row r="36" spans="1:37" ht="15" x14ac:dyDescent="0.25">
      <c r="A36" s="14">
        <v>11</v>
      </c>
      <c r="B36" s="4" t="s">
        <v>132</v>
      </c>
      <c r="C36" s="28">
        <v>0</v>
      </c>
      <c r="D36" s="28" t="s">
        <v>144</v>
      </c>
      <c r="E36" s="28"/>
      <c r="F36" s="28" t="s">
        <v>38</v>
      </c>
      <c r="G36" s="28">
        <v>0</v>
      </c>
      <c r="H36" s="28">
        <v>256</v>
      </c>
      <c r="I36" s="28"/>
      <c r="J36" s="28" t="s">
        <v>90</v>
      </c>
      <c r="K36" s="28">
        <v>48.73</v>
      </c>
      <c r="L36" s="28">
        <v>0</v>
      </c>
      <c r="M36" s="28" t="s">
        <v>75</v>
      </c>
      <c r="N36" s="28">
        <v>29.52</v>
      </c>
      <c r="O36" s="28">
        <v>24.36</v>
      </c>
      <c r="P36" s="28" t="s">
        <v>17</v>
      </c>
      <c r="Q36" s="28">
        <v>0</v>
      </c>
      <c r="R36" s="28">
        <v>0</v>
      </c>
      <c r="S36" s="28">
        <v>0</v>
      </c>
      <c r="T36" s="28">
        <v>0</v>
      </c>
      <c r="U36" s="28"/>
      <c r="V36" s="28"/>
      <c r="W36" s="7"/>
      <c r="X36" s="10"/>
      <c r="Y36" s="11"/>
      <c r="Z36" s="12"/>
      <c r="AA36" s="12"/>
      <c r="AB36" s="12"/>
      <c r="AC36" s="13"/>
      <c r="AD36" s="7"/>
      <c r="AE36" s="7"/>
      <c r="AF36" s="7"/>
      <c r="AG36" s="7"/>
      <c r="AH36" s="7"/>
      <c r="AI36" s="7"/>
      <c r="AJ36" s="7"/>
      <c r="AK36" s="7"/>
    </row>
    <row r="37" spans="1:37" ht="15" x14ac:dyDescent="0.25">
      <c r="A37" s="14">
        <v>11</v>
      </c>
      <c r="B37" s="4" t="s">
        <v>132</v>
      </c>
      <c r="C37" s="28">
        <v>1</v>
      </c>
      <c r="D37" s="28" t="s">
        <v>42</v>
      </c>
      <c r="E37" s="28"/>
      <c r="F37" s="28" t="s">
        <v>38</v>
      </c>
      <c r="G37" s="28">
        <v>48.73</v>
      </c>
      <c r="H37" s="28">
        <v>254</v>
      </c>
      <c r="I37" s="28" t="s">
        <v>81</v>
      </c>
      <c r="J37" s="28" t="s">
        <v>96</v>
      </c>
      <c r="K37" s="28">
        <v>126.44</v>
      </c>
      <c r="L37" s="28">
        <v>1</v>
      </c>
      <c r="M37" s="28" t="s">
        <v>75</v>
      </c>
      <c r="N37" s="28">
        <v>50.91</v>
      </c>
      <c r="O37" s="28">
        <v>87.59</v>
      </c>
      <c r="P37" s="28" t="s">
        <v>91</v>
      </c>
      <c r="Q37" s="28">
        <v>0</v>
      </c>
      <c r="R37" s="28">
        <v>0</v>
      </c>
      <c r="S37" s="28">
        <v>0</v>
      </c>
      <c r="T37" s="28">
        <v>0</v>
      </c>
      <c r="U37" s="28" t="s">
        <v>74</v>
      </c>
      <c r="V37" s="28" t="s">
        <v>92</v>
      </c>
      <c r="W37" s="7"/>
      <c r="X37" s="10"/>
      <c r="Y37" s="11"/>
      <c r="Z37" s="12"/>
      <c r="AA37" s="12"/>
      <c r="AB37" s="12"/>
      <c r="AC37" s="13"/>
      <c r="AD37" s="7"/>
      <c r="AE37" s="7"/>
      <c r="AF37" s="7"/>
      <c r="AG37" s="7"/>
      <c r="AH37" s="7"/>
      <c r="AI37" s="7"/>
      <c r="AJ37" s="7"/>
      <c r="AK37" s="7"/>
    </row>
    <row r="38" spans="1:37" ht="15" x14ac:dyDescent="0.25">
      <c r="A38" s="14">
        <v>11</v>
      </c>
      <c r="B38" s="4" t="s">
        <v>132</v>
      </c>
      <c r="C38" s="28">
        <v>2</v>
      </c>
      <c r="D38" s="28" t="s">
        <v>40</v>
      </c>
      <c r="E38" s="28"/>
      <c r="F38" s="28" t="s">
        <v>38</v>
      </c>
      <c r="G38" s="28">
        <v>175.17</v>
      </c>
      <c r="H38" s="28">
        <v>260</v>
      </c>
      <c r="I38" s="28"/>
      <c r="J38" s="28" t="s">
        <v>90</v>
      </c>
      <c r="K38" s="28">
        <v>196.15</v>
      </c>
      <c r="L38" s="28">
        <v>1</v>
      </c>
      <c r="M38" s="28" t="s">
        <v>89</v>
      </c>
      <c r="N38" s="28">
        <v>178.47</v>
      </c>
      <c r="O38" s="28">
        <v>161.30000000000001</v>
      </c>
      <c r="P38" s="28" t="s">
        <v>17</v>
      </c>
      <c r="Q38" s="28">
        <v>0</v>
      </c>
      <c r="R38" s="28">
        <v>0</v>
      </c>
      <c r="S38" s="28">
        <v>0</v>
      </c>
      <c r="T38" s="28">
        <v>0</v>
      </c>
      <c r="U38" s="28" t="s">
        <v>74</v>
      </c>
      <c r="V38" s="28" t="s">
        <v>127</v>
      </c>
      <c r="W38" s="7"/>
      <c r="X38" s="10"/>
      <c r="Y38" s="11"/>
      <c r="Z38" s="12"/>
      <c r="AA38" s="12"/>
      <c r="AB38" s="12"/>
      <c r="AC38" s="13"/>
      <c r="AD38" s="7"/>
      <c r="AE38" s="7"/>
      <c r="AF38" s="7"/>
      <c r="AG38" s="7"/>
      <c r="AH38" s="7"/>
      <c r="AI38" s="7"/>
      <c r="AJ38" s="7"/>
      <c r="AK38" s="7"/>
    </row>
    <row r="39" spans="1:37" ht="15" x14ac:dyDescent="0.25">
      <c r="A39" s="14">
        <v>11</v>
      </c>
      <c r="B39" s="4" t="s">
        <v>132</v>
      </c>
      <c r="C39" s="28">
        <v>3</v>
      </c>
      <c r="D39" s="28" t="s">
        <v>45</v>
      </c>
      <c r="E39" s="28"/>
      <c r="F39" s="28" t="s">
        <v>38</v>
      </c>
      <c r="G39" s="28">
        <v>371.32</v>
      </c>
      <c r="H39" s="28">
        <v>263</v>
      </c>
      <c r="I39" s="28" t="s">
        <v>82</v>
      </c>
      <c r="J39" s="28" t="s">
        <v>146</v>
      </c>
      <c r="K39" s="28">
        <v>127.39</v>
      </c>
      <c r="L39" s="28">
        <v>1</v>
      </c>
      <c r="M39" s="28" t="s">
        <v>89</v>
      </c>
      <c r="N39" s="28">
        <v>192.94</v>
      </c>
      <c r="O39" s="28">
        <v>161.77000000000001</v>
      </c>
      <c r="P39" s="28" t="s">
        <v>91</v>
      </c>
      <c r="Q39" s="28">
        <v>0</v>
      </c>
      <c r="R39" s="28">
        <v>0</v>
      </c>
      <c r="S39" s="28">
        <v>0</v>
      </c>
      <c r="T39" s="28">
        <v>0</v>
      </c>
      <c r="U39" s="28" t="s">
        <v>74</v>
      </c>
      <c r="V39" s="28" t="s">
        <v>127</v>
      </c>
      <c r="W39" s="7"/>
      <c r="X39" s="10"/>
      <c r="Y39" s="11"/>
      <c r="Z39" s="12"/>
      <c r="AA39" s="12"/>
      <c r="AB39" s="12"/>
      <c r="AC39" s="13"/>
      <c r="AD39" s="7"/>
      <c r="AE39" s="7"/>
      <c r="AF39" s="7"/>
      <c r="AG39" s="7"/>
      <c r="AH39" s="7"/>
      <c r="AI39" s="7"/>
      <c r="AJ39" s="7"/>
      <c r="AK39" s="7"/>
    </row>
    <row r="40" spans="1:37" ht="15" x14ac:dyDescent="0.25">
      <c r="A40" s="14">
        <v>11</v>
      </c>
      <c r="B40" s="4" t="s">
        <v>132</v>
      </c>
      <c r="C40" s="28">
        <v>4</v>
      </c>
      <c r="D40" s="28" t="s">
        <v>40</v>
      </c>
      <c r="E40" s="28"/>
      <c r="F40" s="28" t="s">
        <v>38</v>
      </c>
      <c r="G40" s="28">
        <v>498.71</v>
      </c>
      <c r="H40" s="28">
        <v>259.97000000000003</v>
      </c>
      <c r="I40" s="28"/>
      <c r="J40" s="28" t="s">
        <v>90</v>
      </c>
      <c r="K40" s="28">
        <v>170.35</v>
      </c>
      <c r="L40" s="28">
        <v>1</v>
      </c>
      <c r="M40" s="28" t="s">
        <v>89</v>
      </c>
      <c r="N40" s="28">
        <v>124.28</v>
      </c>
      <c r="O40" s="28">
        <v>148.87</v>
      </c>
      <c r="P40" s="28" t="s">
        <v>17</v>
      </c>
      <c r="Q40" s="28">
        <v>0</v>
      </c>
      <c r="R40" s="28">
        <v>0</v>
      </c>
      <c r="S40" s="28">
        <v>0</v>
      </c>
      <c r="T40" s="28">
        <v>0</v>
      </c>
      <c r="U40" s="28" t="s">
        <v>74</v>
      </c>
      <c r="V40" s="28" t="s">
        <v>127</v>
      </c>
      <c r="W40" s="7"/>
      <c r="X40" s="10"/>
      <c r="Y40" s="11"/>
      <c r="Z40" s="12"/>
      <c r="AA40" s="12"/>
      <c r="AB40" s="12"/>
      <c r="AC40" s="13"/>
      <c r="AD40" s="7"/>
      <c r="AE40" s="7"/>
      <c r="AF40" s="7"/>
      <c r="AG40" s="7"/>
      <c r="AH40" s="7"/>
      <c r="AI40" s="7"/>
      <c r="AJ40" s="7"/>
      <c r="AK40" s="7"/>
    </row>
    <row r="41" spans="1:37" ht="15" x14ac:dyDescent="0.25">
      <c r="A41" s="14">
        <v>11</v>
      </c>
      <c r="B41" s="4" t="s">
        <v>132</v>
      </c>
      <c r="C41" s="28">
        <v>5</v>
      </c>
      <c r="D41" s="28" t="s">
        <v>40</v>
      </c>
      <c r="E41" s="28"/>
      <c r="F41" s="28" t="s">
        <v>38</v>
      </c>
      <c r="G41" s="28">
        <v>669.06</v>
      </c>
      <c r="H41" s="28">
        <v>261.70999999999998</v>
      </c>
      <c r="I41" s="28"/>
      <c r="J41" s="28" t="s">
        <v>90</v>
      </c>
      <c r="K41" s="28">
        <v>161.06</v>
      </c>
      <c r="L41" s="28">
        <v>1</v>
      </c>
      <c r="M41" s="28" t="s">
        <v>89</v>
      </c>
      <c r="N41" s="28">
        <v>230.12</v>
      </c>
      <c r="O41" s="28">
        <v>165.71</v>
      </c>
      <c r="P41" s="28" t="s">
        <v>17</v>
      </c>
      <c r="Q41" s="28">
        <v>0</v>
      </c>
      <c r="R41" s="28">
        <v>0</v>
      </c>
      <c r="S41" s="28">
        <v>0</v>
      </c>
      <c r="T41" s="28">
        <v>0</v>
      </c>
      <c r="U41" s="28" t="s">
        <v>74</v>
      </c>
      <c r="V41" s="28" t="s">
        <v>127</v>
      </c>
      <c r="W41" s="7"/>
      <c r="X41" s="10"/>
      <c r="Y41" s="11"/>
      <c r="Z41" s="12"/>
      <c r="AA41" s="12"/>
      <c r="AB41" s="12"/>
      <c r="AC41" s="13"/>
      <c r="AD41" s="7"/>
      <c r="AE41" s="7"/>
      <c r="AF41" s="7"/>
      <c r="AG41" s="7"/>
      <c r="AH41" s="7"/>
      <c r="AI41" s="7"/>
      <c r="AJ41" s="7"/>
      <c r="AK41" s="7"/>
    </row>
    <row r="42" spans="1:37" ht="15" x14ac:dyDescent="0.25">
      <c r="A42" s="14">
        <v>11</v>
      </c>
      <c r="B42" s="4" t="s">
        <v>132</v>
      </c>
      <c r="C42" s="28">
        <v>6</v>
      </c>
      <c r="D42" s="28" t="s">
        <v>40</v>
      </c>
      <c r="E42" s="28"/>
      <c r="F42" s="28" t="s">
        <v>38</v>
      </c>
      <c r="G42" s="28">
        <v>830.12</v>
      </c>
      <c r="H42" s="28">
        <v>250.99</v>
      </c>
      <c r="I42" s="28"/>
      <c r="J42" s="28" t="s">
        <v>90</v>
      </c>
      <c r="K42" s="28">
        <v>275.51</v>
      </c>
      <c r="L42" s="28">
        <v>1</v>
      </c>
      <c r="M42" s="28" t="s">
        <v>89</v>
      </c>
      <c r="N42" s="28">
        <v>159.30000000000001</v>
      </c>
      <c r="O42" s="28">
        <v>218.28</v>
      </c>
      <c r="P42" s="28" t="s">
        <v>17</v>
      </c>
      <c r="Q42" s="28">
        <v>0</v>
      </c>
      <c r="R42" s="28">
        <v>0</v>
      </c>
      <c r="S42" s="28">
        <v>0</v>
      </c>
      <c r="T42" s="28">
        <v>0</v>
      </c>
      <c r="U42" s="28" t="s">
        <v>74</v>
      </c>
      <c r="V42" s="28" t="s">
        <v>127</v>
      </c>
      <c r="W42" s="7"/>
      <c r="X42" s="10"/>
      <c r="Y42" s="11"/>
      <c r="Z42" s="12"/>
      <c r="AA42" s="12"/>
      <c r="AB42" s="12"/>
      <c r="AC42" s="13"/>
      <c r="AD42" s="7"/>
      <c r="AE42" s="7"/>
      <c r="AF42" s="7"/>
      <c r="AG42" s="7"/>
      <c r="AH42" s="7"/>
      <c r="AI42" s="7"/>
      <c r="AJ42" s="7"/>
      <c r="AK42" s="7"/>
    </row>
    <row r="43" spans="1:37" ht="15" x14ac:dyDescent="0.25">
      <c r="A43" s="14">
        <v>11</v>
      </c>
      <c r="B43" s="4" t="s">
        <v>132</v>
      </c>
      <c r="C43" s="28">
        <v>7</v>
      </c>
      <c r="D43" s="28" t="s">
        <v>40</v>
      </c>
      <c r="E43" s="28"/>
      <c r="F43" s="28" t="s">
        <v>38</v>
      </c>
      <c r="G43" s="28">
        <v>1105.6300000000001</v>
      </c>
      <c r="H43" s="28">
        <v>251.99</v>
      </c>
      <c r="I43" s="28"/>
      <c r="J43" s="28" t="s">
        <v>90</v>
      </c>
      <c r="K43" s="28">
        <v>293.99</v>
      </c>
      <c r="L43" s="28">
        <v>1</v>
      </c>
      <c r="M43" s="28" t="s">
        <v>89</v>
      </c>
      <c r="N43" s="28">
        <v>153.56</v>
      </c>
      <c r="O43" s="28">
        <v>284.75</v>
      </c>
      <c r="P43" s="28" t="s">
        <v>17</v>
      </c>
      <c r="Q43" s="28">
        <v>0</v>
      </c>
      <c r="R43" s="28">
        <v>0</v>
      </c>
      <c r="S43" s="28">
        <v>0</v>
      </c>
      <c r="T43" s="28">
        <v>0</v>
      </c>
      <c r="U43" s="28" t="s">
        <v>74</v>
      </c>
      <c r="V43" s="28" t="s">
        <v>127</v>
      </c>
      <c r="W43" s="7"/>
      <c r="X43" s="10"/>
      <c r="Y43" s="11"/>
      <c r="Z43" s="12"/>
      <c r="AA43" s="12"/>
      <c r="AB43" s="12"/>
      <c r="AC43" s="13"/>
      <c r="AD43" s="7"/>
      <c r="AE43" s="7"/>
      <c r="AF43" s="7"/>
      <c r="AG43" s="7"/>
      <c r="AH43" s="7"/>
      <c r="AI43" s="7"/>
      <c r="AJ43" s="7"/>
      <c r="AK43" s="7"/>
    </row>
    <row r="44" spans="1:37" ht="15" x14ac:dyDescent="0.25">
      <c r="A44" s="14">
        <v>11</v>
      </c>
      <c r="B44" s="4" t="s">
        <v>132</v>
      </c>
      <c r="C44" s="28">
        <v>8</v>
      </c>
      <c r="D44" s="28" t="s">
        <v>45</v>
      </c>
      <c r="E44" s="28"/>
      <c r="F44" s="28" t="s">
        <v>38</v>
      </c>
      <c r="G44" s="28">
        <v>1399.62</v>
      </c>
      <c r="H44" s="28">
        <v>283</v>
      </c>
      <c r="I44" s="28" t="s">
        <v>85</v>
      </c>
      <c r="J44" s="28" t="s">
        <v>147</v>
      </c>
      <c r="K44" s="28">
        <v>319.68</v>
      </c>
      <c r="L44" s="28">
        <v>1</v>
      </c>
      <c r="M44" s="28" t="s">
        <v>89</v>
      </c>
      <c r="N44" s="28">
        <v>377.11</v>
      </c>
      <c r="O44" s="28">
        <v>306.83</v>
      </c>
      <c r="P44" s="28" t="s">
        <v>91</v>
      </c>
      <c r="Q44" s="28">
        <v>0</v>
      </c>
      <c r="R44" s="28">
        <v>2</v>
      </c>
      <c r="S44" s="28">
        <v>0</v>
      </c>
      <c r="T44" s="28">
        <v>0</v>
      </c>
      <c r="U44" s="28" t="s">
        <v>74</v>
      </c>
      <c r="V44" s="28" t="s">
        <v>127</v>
      </c>
      <c r="W44" s="7"/>
      <c r="X44" s="10"/>
      <c r="Y44" s="11"/>
      <c r="Z44" s="12"/>
      <c r="AA44" s="12"/>
      <c r="AB44" s="12"/>
      <c r="AC44" s="13"/>
      <c r="AD44" s="7"/>
      <c r="AE44" s="7"/>
      <c r="AF44" s="7"/>
      <c r="AG44" s="7"/>
      <c r="AH44" s="7"/>
      <c r="AI44" s="7"/>
      <c r="AJ44" s="7"/>
      <c r="AK44" s="7"/>
    </row>
    <row r="45" spans="1:37" ht="15" x14ac:dyDescent="0.25">
      <c r="A45" s="14">
        <v>11</v>
      </c>
      <c r="B45" s="4" t="s">
        <v>132</v>
      </c>
      <c r="C45" s="28">
        <v>9</v>
      </c>
      <c r="D45" s="28" t="s">
        <v>45</v>
      </c>
      <c r="E45" s="28"/>
      <c r="F45" s="28" t="s">
        <v>38</v>
      </c>
      <c r="G45" s="28">
        <v>1719.3</v>
      </c>
      <c r="H45" s="28">
        <v>299</v>
      </c>
      <c r="I45" s="28" t="s">
        <v>86</v>
      </c>
      <c r="J45" s="28" t="s">
        <v>148</v>
      </c>
      <c r="K45" s="28">
        <v>294.44</v>
      </c>
      <c r="L45" s="28">
        <v>1</v>
      </c>
      <c r="M45" s="28" t="s">
        <v>89</v>
      </c>
      <c r="N45" s="28">
        <v>416.42</v>
      </c>
      <c r="O45" s="28">
        <v>307.06</v>
      </c>
      <c r="P45" s="28" t="s">
        <v>91</v>
      </c>
      <c r="Q45" s="28">
        <v>0</v>
      </c>
      <c r="R45" s="28">
        <v>0</v>
      </c>
      <c r="S45" s="28">
        <v>0</v>
      </c>
      <c r="T45" s="28">
        <v>0</v>
      </c>
      <c r="U45" s="28" t="s">
        <v>74</v>
      </c>
      <c r="V45" s="28" t="s">
        <v>127</v>
      </c>
      <c r="W45" s="7"/>
      <c r="X45" s="10"/>
      <c r="Y45" s="11"/>
      <c r="Z45" s="12"/>
      <c r="AA45" s="12"/>
      <c r="AB45" s="12"/>
      <c r="AC45" s="13"/>
      <c r="AD45" s="7"/>
      <c r="AE45" s="7"/>
      <c r="AF45" s="7"/>
      <c r="AG45" s="7"/>
      <c r="AH45" s="7"/>
      <c r="AI45" s="7"/>
      <c r="AJ45" s="7"/>
      <c r="AK45" s="7"/>
    </row>
    <row r="46" spans="1:37" ht="15" x14ac:dyDescent="0.25">
      <c r="A46" s="14">
        <v>11</v>
      </c>
      <c r="B46" s="4" t="s">
        <v>132</v>
      </c>
      <c r="C46" s="28">
        <v>10</v>
      </c>
      <c r="D46" s="28" t="s">
        <v>45</v>
      </c>
      <c r="E46" s="28"/>
      <c r="F46" s="28" t="s">
        <v>38</v>
      </c>
      <c r="G46" s="28">
        <v>2013.74</v>
      </c>
      <c r="H46" s="28">
        <v>290</v>
      </c>
      <c r="I46" s="28" t="s">
        <v>149</v>
      </c>
      <c r="J46" s="28" t="s">
        <v>150</v>
      </c>
      <c r="K46" s="28">
        <v>483.03</v>
      </c>
      <c r="L46" s="28">
        <v>1</v>
      </c>
      <c r="M46" s="28" t="s">
        <v>89</v>
      </c>
      <c r="N46" s="28">
        <v>413.94</v>
      </c>
      <c r="O46" s="28">
        <v>388.73</v>
      </c>
      <c r="P46" s="28" t="s">
        <v>91</v>
      </c>
      <c r="Q46" s="28">
        <v>0</v>
      </c>
      <c r="R46" s="28">
        <v>2</v>
      </c>
      <c r="S46" s="28">
        <v>0</v>
      </c>
      <c r="T46" s="28">
        <v>0</v>
      </c>
      <c r="U46" s="28" t="s">
        <v>74</v>
      </c>
      <c r="V46" s="28" t="s">
        <v>127</v>
      </c>
      <c r="W46" s="7"/>
      <c r="X46" s="10"/>
      <c r="Y46" s="11"/>
      <c r="Z46" s="12"/>
      <c r="AA46" s="12"/>
      <c r="AB46" s="12"/>
      <c r="AC46" s="13"/>
      <c r="AD46" s="7"/>
      <c r="AE46" s="7"/>
      <c r="AF46" s="7"/>
      <c r="AG46" s="7"/>
      <c r="AH46" s="7"/>
      <c r="AI46" s="7"/>
      <c r="AJ46" s="7"/>
      <c r="AK46" s="7"/>
    </row>
    <row r="47" spans="1:37" ht="15" x14ac:dyDescent="0.25">
      <c r="A47" s="14">
        <v>11</v>
      </c>
      <c r="B47" s="4" t="s">
        <v>132</v>
      </c>
      <c r="C47" s="28">
        <v>11</v>
      </c>
      <c r="D47" s="28" t="s">
        <v>44</v>
      </c>
      <c r="E47" s="28"/>
      <c r="F47" s="28" t="s">
        <v>38</v>
      </c>
      <c r="G47" s="28">
        <v>2496.77</v>
      </c>
      <c r="H47" s="28">
        <v>272</v>
      </c>
      <c r="I47" s="28" t="s">
        <v>87</v>
      </c>
      <c r="J47" s="28" t="s">
        <v>151</v>
      </c>
      <c r="K47" s="28">
        <v>494.68</v>
      </c>
      <c r="L47" s="28">
        <v>1</v>
      </c>
      <c r="M47" s="28" t="s">
        <v>89</v>
      </c>
      <c r="N47" s="28">
        <v>502.13</v>
      </c>
      <c r="O47" s="28">
        <v>488.85</v>
      </c>
      <c r="P47" s="28" t="s">
        <v>93</v>
      </c>
      <c r="Q47" s="28">
        <v>0</v>
      </c>
      <c r="R47" s="28">
        <v>2</v>
      </c>
      <c r="S47" s="28">
        <v>0</v>
      </c>
      <c r="T47" s="28">
        <v>0</v>
      </c>
      <c r="U47" s="28" t="s">
        <v>74</v>
      </c>
      <c r="V47" s="28" t="s">
        <v>127</v>
      </c>
      <c r="W47" s="7"/>
      <c r="X47" s="10"/>
      <c r="Y47" s="11"/>
      <c r="Z47" s="12"/>
      <c r="AA47" s="12"/>
      <c r="AB47" s="12"/>
      <c r="AC47" s="13"/>
      <c r="AD47" s="7"/>
      <c r="AE47" s="7"/>
      <c r="AF47" s="7"/>
      <c r="AG47" s="7"/>
      <c r="AH47" s="7"/>
      <c r="AI47" s="7"/>
      <c r="AJ47" s="7"/>
      <c r="AK47" s="7"/>
    </row>
    <row r="48" spans="1:37" ht="15" x14ac:dyDescent="0.25">
      <c r="A48" s="14">
        <v>11</v>
      </c>
      <c r="B48" s="4" t="s">
        <v>132</v>
      </c>
      <c r="C48" s="28">
        <v>12</v>
      </c>
      <c r="D48" s="28" t="s">
        <v>78</v>
      </c>
      <c r="E48" s="28"/>
      <c r="F48" s="28" t="s">
        <v>38</v>
      </c>
      <c r="G48" s="28">
        <v>2991.45</v>
      </c>
      <c r="H48" s="28">
        <v>250</v>
      </c>
      <c r="I48" s="28" t="s">
        <v>84</v>
      </c>
      <c r="J48" s="28" t="s">
        <v>90</v>
      </c>
      <c r="K48" s="28">
        <v>0</v>
      </c>
      <c r="L48" s="28">
        <v>1</v>
      </c>
      <c r="M48" s="28" t="s">
        <v>89</v>
      </c>
      <c r="N48" s="28">
        <v>173.74</v>
      </c>
      <c r="O48" s="28">
        <v>247.34</v>
      </c>
      <c r="P48" s="28" t="s">
        <v>91</v>
      </c>
      <c r="Q48" s="28">
        <v>0</v>
      </c>
      <c r="R48" s="28">
        <v>0</v>
      </c>
      <c r="S48" s="28">
        <v>0</v>
      </c>
      <c r="T48" s="28">
        <v>0</v>
      </c>
      <c r="U48" s="28" t="s">
        <v>74</v>
      </c>
      <c r="V48" s="28" t="s">
        <v>127</v>
      </c>
      <c r="W48" s="7"/>
      <c r="X48" s="10"/>
      <c r="Y48" s="11"/>
      <c r="Z48" s="12"/>
      <c r="AA48" s="12"/>
      <c r="AB48" s="12"/>
      <c r="AC48" s="13"/>
      <c r="AD48" s="7"/>
      <c r="AE48" s="7"/>
      <c r="AF48" s="7"/>
      <c r="AG48" s="7"/>
      <c r="AH48" s="7"/>
      <c r="AI48" s="7"/>
      <c r="AJ48" s="7"/>
      <c r="AK48" s="7"/>
    </row>
    <row r="49" spans="1:37" ht="15" x14ac:dyDescent="0.25">
      <c r="A49" s="14">
        <v>12</v>
      </c>
      <c r="B49" s="4" t="s">
        <v>133</v>
      </c>
      <c r="C49" s="28">
        <v>0</v>
      </c>
      <c r="D49" s="28" t="s">
        <v>43</v>
      </c>
      <c r="E49" s="28"/>
      <c r="F49" s="28" t="s">
        <v>38</v>
      </c>
      <c r="G49" s="28">
        <v>0</v>
      </c>
      <c r="H49" s="28">
        <v>246.12</v>
      </c>
      <c r="I49" s="28" t="s">
        <v>97</v>
      </c>
      <c r="J49" s="28" t="s">
        <v>90</v>
      </c>
      <c r="K49" s="28">
        <v>72.22</v>
      </c>
      <c r="L49" s="28">
        <v>0</v>
      </c>
      <c r="M49" s="28" t="s">
        <v>89</v>
      </c>
      <c r="N49" s="28">
        <v>-90.82</v>
      </c>
      <c r="O49" s="28">
        <v>36.11</v>
      </c>
      <c r="P49" s="28" t="s">
        <v>17</v>
      </c>
      <c r="Q49" s="28">
        <v>0</v>
      </c>
      <c r="R49" s="28">
        <v>0</v>
      </c>
      <c r="S49" s="28">
        <v>0</v>
      </c>
      <c r="T49" s="28">
        <v>0</v>
      </c>
      <c r="U49" s="28"/>
      <c r="V49" s="28"/>
      <c r="W49" s="7"/>
      <c r="X49" s="10"/>
      <c r="Y49" s="11"/>
      <c r="Z49" s="12"/>
      <c r="AA49" s="12"/>
      <c r="AB49" s="12"/>
      <c r="AC49" s="13"/>
      <c r="AD49" s="7"/>
      <c r="AE49" s="7"/>
      <c r="AF49" s="7"/>
      <c r="AG49" s="7"/>
      <c r="AH49" s="7"/>
      <c r="AI49" s="7"/>
      <c r="AJ49" s="7"/>
      <c r="AK49" s="7"/>
    </row>
    <row r="50" spans="1:37" ht="15" x14ac:dyDescent="0.25">
      <c r="A50" s="14">
        <v>12</v>
      </c>
      <c r="B50" s="4" t="s">
        <v>133</v>
      </c>
      <c r="C50" s="28">
        <v>1</v>
      </c>
      <c r="D50" s="28" t="s">
        <v>135</v>
      </c>
      <c r="E50" s="28"/>
      <c r="F50" s="28" t="s">
        <v>38</v>
      </c>
      <c r="G50" s="28">
        <v>72.22</v>
      </c>
      <c r="H50" s="28">
        <v>256.11</v>
      </c>
      <c r="I50" s="28" t="s">
        <v>79</v>
      </c>
      <c r="J50" s="28" t="s">
        <v>98</v>
      </c>
      <c r="K50" s="28">
        <v>273.04000000000002</v>
      </c>
      <c r="L50" s="28">
        <v>1</v>
      </c>
      <c r="M50" s="28" t="s">
        <v>89</v>
      </c>
      <c r="N50" s="28">
        <v>201.81</v>
      </c>
      <c r="O50" s="28">
        <v>172.63</v>
      </c>
      <c r="P50" s="28" t="s">
        <v>91</v>
      </c>
      <c r="Q50" s="28">
        <v>0</v>
      </c>
      <c r="R50" s="28">
        <v>0</v>
      </c>
      <c r="S50" s="28">
        <v>0</v>
      </c>
      <c r="T50" s="28">
        <v>0</v>
      </c>
      <c r="U50" s="28" t="s">
        <v>39</v>
      </c>
      <c r="V50" s="28" t="s">
        <v>127</v>
      </c>
      <c r="W50" s="7"/>
      <c r="X50" s="10"/>
      <c r="Y50" s="11"/>
      <c r="Z50" s="12"/>
      <c r="AA50" s="12"/>
      <c r="AB50" s="12"/>
      <c r="AC50" s="13"/>
      <c r="AD50" s="7"/>
      <c r="AE50" s="7"/>
      <c r="AF50" s="7"/>
      <c r="AG50" s="7"/>
      <c r="AH50" s="7"/>
      <c r="AI50" s="7"/>
      <c r="AJ50" s="7"/>
      <c r="AK50" s="7"/>
    </row>
    <row r="51" spans="1:37" ht="15" x14ac:dyDescent="0.25">
      <c r="A51" s="14">
        <v>12</v>
      </c>
      <c r="B51" s="4" t="s">
        <v>133</v>
      </c>
      <c r="C51" s="28">
        <v>2</v>
      </c>
      <c r="D51" s="28" t="s">
        <v>40</v>
      </c>
      <c r="E51" s="28"/>
      <c r="F51" s="28" t="s">
        <v>38</v>
      </c>
      <c r="G51" s="28">
        <v>345.26</v>
      </c>
      <c r="H51" s="28">
        <v>273</v>
      </c>
      <c r="I51" s="28"/>
      <c r="J51" s="28" t="s">
        <v>90</v>
      </c>
      <c r="K51" s="28">
        <v>252.99</v>
      </c>
      <c r="L51" s="28">
        <v>1</v>
      </c>
      <c r="M51" s="28" t="s">
        <v>89</v>
      </c>
      <c r="N51" s="28">
        <v>393.68</v>
      </c>
      <c r="O51" s="28">
        <v>263.02</v>
      </c>
      <c r="P51" s="28" t="s">
        <v>17</v>
      </c>
      <c r="Q51" s="28">
        <v>0</v>
      </c>
      <c r="R51" s="28">
        <v>0</v>
      </c>
      <c r="S51" s="28">
        <v>0</v>
      </c>
      <c r="T51" s="28">
        <v>0</v>
      </c>
      <c r="U51" s="28" t="s">
        <v>74</v>
      </c>
      <c r="V51" s="28" t="s">
        <v>127</v>
      </c>
      <c r="W51" s="7"/>
      <c r="X51" s="10"/>
      <c r="Y51" s="11"/>
      <c r="Z51" s="12"/>
      <c r="AA51" s="12"/>
      <c r="AB51" s="12"/>
      <c r="AC51" s="13"/>
      <c r="AD51" s="7"/>
      <c r="AE51" s="7"/>
      <c r="AF51" s="7"/>
      <c r="AG51" s="7"/>
      <c r="AH51" s="7"/>
      <c r="AI51" s="7"/>
      <c r="AJ51" s="7"/>
      <c r="AK51" s="7"/>
    </row>
    <row r="52" spans="1:37" ht="15" x14ac:dyDescent="0.25">
      <c r="A52" s="14">
        <v>12</v>
      </c>
      <c r="B52" s="4" t="s">
        <v>133</v>
      </c>
      <c r="C52" s="28">
        <v>3</v>
      </c>
      <c r="D52" s="28" t="s">
        <v>45</v>
      </c>
      <c r="E52" s="28"/>
      <c r="F52" s="28" t="s">
        <v>38</v>
      </c>
      <c r="G52" s="28">
        <v>598.25</v>
      </c>
      <c r="H52" s="28">
        <v>267.83</v>
      </c>
      <c r="I52" s="28" t="s">
        <v>77</v>
      </c>
      <c r="J52" s="28" t="s">
        <v>99</v>
      </c>
      <c r="K52" s="28">
        <v>145.88999999999999</v>
      </c>
      <c r="L52" s="28">
        <v>1</v>
      </c>
      <c r="M52" s="28" t="s">
        <v>89</v>
      </c>
      <c r="N52" s="28">
        <v>225.44</v>
      </c>
      <c r="O52" s="28">
        <v>199.44</v>
      </c>
      <c r="P52" s="28" t="s">
        <v>91</v>
      </c>
      <c r="Q52" s="28">
        <v>0</v>
      </c>
      <c r="R52" s="28">
        <v>0</v>
      </c>
      <c r="S52" s="28">
        <v>0</v>
      </c>
      <c r="T52" s="28">
        <v>0</v>
      </c>
      <c r="U52" s="28" t="s">
        <v>74</v>
      </c>
      <c r="V52" s="28" t="s">
        <v>127</v>
      </c>
      <c r="W52" s="7"/>
      <c r="X52" s="10"/>
      <c r="Y52" s="11"/>
      <c r="Z52" s="12"/>
      <c r="AA52" s="12"/>
      <c r="AB52" s="12"/>
      <c r="AC52" s="13"/>
      <c r="AD52" s="7"/>
      <c r="AE52" s="7"/>
      <c r="AF52" s="7"/>
      <c r="AG52" s="7"/>
      <c r="AH52" s="7"/>
      <c r="AI52" s="7"/>
      <c r="AJ52" s="7"/>
      <c r="AK52" s="7"/>
    </row>
    <row r="53" spans="1:37" ht="15" x14ac:dyDescent="0.25">
      <c r="A53" s="14">
        <v>12</v>
      </c>
      <c r="B53" s="4" t="s">
        <v>133</v>
      </c>
      <c r="C53" s="28">
        <v>4</v>
      </c>
      <c r="D53" s="28" t="s">
        <v>44</v>
      </c>
      <c r="E53" s="28"/>
      <c r="F53" s="28" t="s">
        <v>38</v>
      </c>
      <c r="G53" s="28">
        <v>744.14</v>
      </c>
      <c r="H53" s="28">
        <v>261.12</v>
      </c>
      <c r="I53" s="28" t="s">
        <v>100</v>
      </c>
      <c r="J53" s="28" t="s">
        <v>101</v>
      </c>
      <c r="K53" s="28">
        <v>408.7</v>
      </c>
      <c r="L53" s="28">
        <v>1</v>
      </c>
      <c r="M53" s="28" t="s">
        <v>89</v>
      </c>
      <c r="N53" s="28">
        <v>-0.03</v>
      </c>
      <c r="O53" s="28">
        <v>277.3</v>
      </c>
      <c r="P53" s="28" t="s">
        <v>93</v>
      </c>
      <c r="Q53" s="28">
        <v>0</v>
      </c>
      <c r="R53" s="28">
        <v>2</v>
      </c>
      <c r="S53" s="28">
        <v>0</v>
      </c>
      <c r="T53" s="28">
        <v>0</v>
      </c>
      <c r="U53" s="28" t="s">
        <v>74</v>
      </c>
      <c r="V53" s="28" t="s">
        <v>127</v>
      </c>
      <c r="W53" s="7"/>
      <c r="X53" s="10"/>
      <c r="Y53" s="11"/>
      <c r="Z53" s="12"/>
      <c r="AA53" s="12"/>
      <c r="AB53" s="12"/>
      <c r="AC53" s="13"/>
      <c r="AD53" s="7"/>
      <c r="AE53" s="7"/>
      <c r="AF53" s="7"/>
      <c r="AG53" s="7"/>
      <c r="AH53" s="7"/>
      <c r="AI53" s="7"/>
      <c r="AJ53" s="7"/>
      <c r="AK53" s="7"/>
    </row>
    <row r="54" spans="1:37" ht="15" x14ac:dyDescent="0.25">
      <c r="A54" s="14">
        <v>12</v>
      </c>
      <c r="B54" s="4" t="s">
        <v>133</v>
      </c>
      <c r="C54" s="28">
        <v>5</v>
      </c>
      <c r="D54" s="28" t="s">
        <v>42</v>
      </c>
      <c r="E54" s="28"/>
      <c r="F54" s="28" t="s">
        <v>38</v>
      </c>
      <c r="G54" s="28">
        <v>1152.8499999999999</v>
      </c>
      <c r="H54" s="28">
        <v>313.12</v>
      </c>
      <c r="I54" s="28"/>
      <c r="J54" s="28" t="s">
        <v>90</v>
      </c>
      <c r="K54" s="28">
        <v>49.99</v>
      </c>
      <c r="L54" s="28">
        <v>1</v>
      </c>
      <c r="M54" s="28" t="s">
        <v>89</v>
      </c>
      <c r="N54" s="28">
        <v>421.97</v>
      </c>
      <c r="O54" s="28">
        <v>229.34</v>
      </c>
      <c r="P54" s="28" t="s">
        <v>91</v>
      </c>
      <c r="Q54" s="28">
        <v>0</v>
      </c>
      <c r="R54" s="28">
        <v>0</v>
      </c>
      <c r="S54" s="28">
        <v>0</v>
      </c>
      <c r="T54" s="28">
        <v>0</v>
      </c>
      <c r="U54" s="28" t="s">
        <v>74</v>
      </c>
      <c r="V54" s="28" t="s">
        <v>127</v>
      </c>
      <c r="W54" s="7"/>
      <c r="X54" s="10"/>
      <c r="Y54" s="11"/>
      <c r="Z54" s="12"/>
      <c r="AA54" s="12"/>
      <c r="AB54" s="12"/>
      <c r="AC54" s="13"/>
      <c r="AD54" s="7"/>
      <c r="AE54" s="7"/>
      <c r="AF54" s="7"/>
      <c r="AG54" s="7"/>
      <c r="AH54" s="7"/>
      <c r="AI54" s="7"/>
      <c r="AJ54" s="7"/>
      <c r="AK54" s="7"/>
    </row>
    <row r="55" spans="1:37" ht="15" x14ac:dyDescent="0.25">
      <c r="A55" s="14">
        <v>12</v>
      </c>
      <c r="B55" s="4" t="s">
        <v>133</v>
      </c>
      <c r="C55" s="28">
        <v>6</v>
      </c>
      <c r="D55" s="28" t="s">
        <v>42</v>
      </c>
      <c r="E55" s="28"/>
      <c r="F55" s="28" t="s">
        <v>38</v>
      </c>
      <c r="G55" s="28">
        <v>1202.83</v>
      </c>
      <c r="H55" s="28">
        <v>316.98</v>
      </c>
      <c r="I55" s="28"/>
      <c r="J55" s="28" t="s">
        <v>90</v>
      </c>
      <c r="K55" s="28">
        <v>209.29</v>
      </c>
      <c r="L55" s="28">
        <v>1</v>
      </c>
      <c r="M55" s="28" t="s">
        <v>89</v>
      </c>
      <c r="N55" s="28">
        <v>289.98</v>
      </c>
      <c r="O55" s="28">
        <v>129.63999999999999</v>
      </c>
      <c r="P55" s="28" t="s">
        <v>91</v>
      </c>
      <c r="Q55" s="28">
        <v>0</v>
      </c>
      <c r="R55" s="28">
        <v>0</v>
      </c>
      <c r="S55" s="28">
        <v>0</v>
      </c>
      <c r="T55" s="28">
        <v>0</v>
      </c>
      <c r="U55" s="28" t="s">
        <v>74</v>
      </c>
      <c r="V55" s="28" t="s">
        <v>127</v>
      </c>
      <c r="W55" s="7"/>
      <c r="X55" s="10"/>
      <c r="Y55" s="11"/>
      <c r="Z55" s="12"/>
      <c r="AA55" s="12"/>
      <c r="AB55" s="12"/>
      <c r="AC55" s="13"/>
      <c r="AD55" s="7"/>
      <c r="AE55" s="7"/>
      <c r="AF55" s="7"/>
      <c r="AG55" s="7"/>
      <c r="AH55" s="7"/>
      <c r="AI55" s="7"/>
      <c r="AJ55" s="7"/>
      <c r="AK55" s="7"/>
    </row>
    <row r="56" spans="1:37" ht="15" x14ac:dyDescent="0.25">
      <c r="A56" s="14">
        <v>12</v>
      </c>
      <c r="B56" s="4" t="s">
        <v>133</v>
      </c>
      <c r="C56" s="28">
        <v>7</v>
      </c>
      <c r="D56" s="28" t="s">
        <v>40</v>
      </c>
      <c r="E56" s="28"/>
      <c r="F56" s="28" t="s">
        <v>38</v>
      </c>
      <c r="G56" s="28">
        <v>1412.12</v>
      </c>
      <c r="H56" s="28">
        <v>297.51</v>
      </c>
      <c r="I56" s="28"/>
      <c r="J56" s="28" t="s">
        <v>90</v>
      </c>
      <c r="K56" s="28">
        <v>203.96</v>
      </c>
      <c r="L56" s="28">
        <v>1</v>
      </c>
      <c r="M56" s="28" t="s">
        <v>89</v>
      </c>
      <c r="N56" s="28">
        <v>164.58</v>
      </c>
      <c r="O56" s="28">
        <v>206.63</v>
      </c>
      <c r="P56" s="28" t="s">
        <v>17</v>
      </c>
      <c r="Q56" s="28">
        <v>0</v>
      </c>
      <c r="R56" s="28">
        <v>0</v>
      </c>
      <c r="S56" s="28">
        <v>0</v>
      </c>
      <c r="T56" s="28">
        <v>0</v>
      </c>
      <c r="U56" s="28" t="s">
        <v>74</v>
      </c>
      <c r="V56" s="28" t="s">
        <v>127</v>
      </c>
      <c r="W56" s="7"/>
      <c r="X56" s="10"/>
      <c r="Y56" s="11"/>
      <c r="Z56" s="12"/>
      <c r="AA56" s="12"/>
      <c r="AB56" s="12"/>
      <c r="AC56" s="13"/>
      <c r="AD56" s="7"/>
      <c r="AE56" s="7"/>
      <c r="AF56" s="7"/>
      <c r="AG56" s="7"/>
      <c r="AH56" s="7"/>
      <c r="AI56" s="7"/>
      <c r="AJ56" s="7"/>
      <c r="AK56" s="7"/>
    </row>
    <row r="57" spans="1:37" ht="15" x14ac:dyDescent="0.25">
      <c r="A57" s="14">
        <v>12</v>
      </c>
      <c r="B57" s="4" t="s">
        <v>133</v>
      </c>
      <c r="C57" s="28">
        <v>8</v>
      </c>
      <c r="D57" s="28" t="s">
        <v>45</v>
      </c>
      <c r="E57" s="28"/>
      <c r="F57" s="28" t="s">
        <v>38</v>
      </c>
      <c r="G57" s="28">
        <v>1616.08</v>
      </c>
      <c r="H57" s="28">
        <v>285.08</v>
      </c>
      <c r="I57" s="28" t="s">
        <v>102</v>
      </c>
      <c r="J57" s="28" t="s">
        <v>103</v>
      </c>
      <c r="K57" s="28">
        <v>287.68</v>
      </c>
      <c r="L57" s="28">
        <v>1</v>
      </c>
      <c r="M57" s="28" t="s">
        <v>89</v>
      </c>
      <c r="N57" s="28">
        <v>313.8</v>
      </c>
      <c r="O57" s="28">
        <v>245.82</v>
      </c>
      <c r="P57" s="28" t="s">
        <v>91</v>
      </c>
      <c r="Q57" s="28">
        <v>0</v>
      </c>
      <c r="R57" s="28">
        <v>0</v>
      </c>
      <c r="S57" s="28">
        <v>0</v>
      </c>
      <c r="T57" s="28">
        <v>0</v>
      </c>
      <c r="U57" s="28" t="s">
        <v>74</v>
      </c>
      <c r="V57" s="28" t="s">
        <v>127</v>
      </c>
      <c r="W57" s="7"/>
      <c r="X57" s="10"/>
      <c r="Y57" s="11"/>
      <c r="Z57" s="12"/>
      <c r="AA57" s="12"/>
      <c r="AB57" s="12"/>
      <c r="AC57" s="13"/>
      <c r="AD57" s="7"/>
      <c r="AE57" s="7"/>
      <c r="AF57" s="7"/>
      <c r="AG57" s="7"/>
      <c r="AH57" s="7"/>
      <c r="AI57" s="7"/>
      <c r="AJ57" s="7"/>
      <c r="AK57" s="7"/>
    </row>
    <row r="58" spans="1:37" ht="15" x14ac:dyDescent="0.25">
      <c r="A58" s="14">
        <v>12</v>
      </c>
      <c r="B58" s="4" t="s">
        <v>133</v>
      </c>
      <c r="C58" s="28">
        <v>9</v>
      </c>
      <c r="D58" s="28" t="s">
        <v>44</v>
      </c>
      <c r="E58" s="28"/>
      <c r="F58" s="28" t="s">
        <v>38</v>
      </c>
      <c r="G58" s="28">
        <v>1903.76</v>
      </c>
      <c r="H58" s="28">
        <v>258.12</v>
      </c>
      <c r="I58" s="28" t="s">
        <v>76</v>
      </c>
      <c r="J58" s="28" t="s">
        <v>152</v>
      </c>
      <c r="K58" s="28">
        <v>405.46</v>
      </c>
      <c r="L58" s="28">
        <v>1</v>
      </c>
      <c r="M58" s="28" t="s">
        <v>89</v>
      </c>
      <c r="N58" s="28">
        <v>266.33999999999997</v>
      </c>
      <c r="O58" s="28">
        <v>346.57</v>
      </c>
      <c r="P58" s="28" t="s">
        <v>93</v>
      </c>
      <c r="Q58" s="28">
        <v>0</v>
      </c>
      <c r="R58" s="28">
        <v>2</v>
      </c>
      <c r="S58" s="28">
        <v>0</v>
      </c>
      <c r="T58" s="28">
        <v>0</v>
      </c>
      <c r="U58" s="28" t="s">
        <v>74</v>
      </c>
      <c r="V58" s="28" t="s">
        <v>127</v>
      </c>
      <c r="W58" s="7"/>
      <c r="X58" s="10"/>
      <c r="Y58" s="11"/>
      <c r="Z58" s="12"/>
      <c r="AA58" s="12"/>
      <c r="AB58" s="12"/>
      <c r="AC58" s="13"/>
      <c r="AD58" s="7"/>
      <c r="AE58" s="7"/>
      <c r="AF58" s="7"/>
      <c r="AG58" s="7"/>
      <c r="AH58" s="7"/>
      <c r="AI58" s="7"/>
      <c r="AJ58" s="7"/>
      <c r="AK58" s="7"/>
    </row>
    <row r="59" spans="1:37" ht="15" x14ac:dyDescent="0.25">
      <c r="A59" s="14">
        <v>12</v>
      </c>
      <c r="B59" s="4" t="s">
        <v>133</v>
      </c>
      <c r="C59" s="28">
        <v>10</v>
      </c>
      <c r="D59" s="28" t="s">
        <v>42</v>
      </c>
      <c r="E59" s="28"/>
      <c r="F59" s="28" t="s">
        <v>38</v>
      </c>
      <c r="G59" s="28">
        <v>2309.2199999999998</v>
      </c>
      <c r="H59" s="28">
        <v>242</v>
      </c>
      <c r="I59" s="28" t="s">
        <v>153</v>
      </c>
      <c r="J59" s="28" t="s">
        <v>154</v>
      </c>
      <c r="K59" s="28">
        <v>32.76</v>
      </c>
      <c r="L59" s="28">
        <v>1</v>
      </c>
      <c r="M59" s="28" t="s">
        <v>89</v>
      </c>
      <c r="N59" s="28">
        <v>182.92</v>
      </c>
      <c r="O59" s="28">
        <v>219.11</v>
      </c>
      <c r="P59" s="28" t="s">
        <v>91</v>
      </c>
      <c r="Q59" s="28">
        <v>0</v>
      </c>
      <c r="R59" s="28">
        <v>0</v>
      </c>
      <c r="S59" s="28">
        <v>0</v>
      </c>
      <c r="T59" s="28">
        <v>0</v>
      </c>
      <c r="U59" s="28" t="s">
        <v>74</v>
      </c>
      <c r="V59" s="28" t="s">
        <v>127</v>
      </c>
      <c r="W59" s="7"/>
      <c r="X59" s="10"/>
      <c r="Y59" s="11"/>
      <c r="Z59" s="12"/>
      <c r="AA59" s="12"/>
      <c r="AB59" s="12"/>
      <c r="AC59" s="13"/>
      <c r="AD59" s="7"/>
      <c r="AE59" s="7"/>
      <c r="AF59" s="7"/>
      <c r="AG59" s="7"/>
      <c r="AH59" s="7"/>
      <c r="AI59" s="7"/>
      <c r="AJ59" s="7"/>
      <c r="AK59" s="7"/>
    </row>
    <row r="60" spans="1:37" ht="15" x14ac:dyDescent="0.25">
      <c r="A60" s="14">
        <v>12</v>
      </c>
      <c r="B60" s="4" t="s">
        <v>133</v>
      </c>
      <c r="C60" s="28">
        <v>11</v>
      </c>
      <c r="D60" s="28" t="s">
        <v>42</v>
      </c>
      <c r="E60" s="28"/>
      <c r="F60" s="28" t="s">
        <v>38</v>
      </c>
      <c r="G60" s="28">
        <v>2341.9699999999998</v>
      </c>
      <c r="H60" s="28">
        <v>238</v>
      </c>
      <c r="I60" s="28" t="s">
        <v>155</v>
      </c>
      <c r="J60" s="28" t="s">
        <v>156</v>
      </c>
      <c r="K60" s="28">
        <v>79.28</v>
      </c>
      <c r="L60" s="28">
        <v>1</v>
      </c>
      <c r="M60" s="28" t="s">
        <v>89</v>
      </c>
      <c r="N60" s="28">
        <v>2.15</v>
      </c>
      <c r="O60" s="28">
        <v>56.02</v>
      </c>
      <c r="P60" s="28" t="s">
        <v>91</v>
      </c>
      <c r="Q60" s="28">
        <v>0</v>
      </c>
      <c r="R60" s="28">
        <v>0</v>
      </c>
      <c r="S60" s="28">
        <v>0</v>
      </c>
      <c r="T60" s="28">
        <v>0</v>
      </c>
      <c r="U60" s="28" t="s">
        <v>74</v>
      </c>
      <c r="V60" s="28" t="s">
        <v>127</v>
      </c>
      <c r="W60" s="7"/>
      <c r="X60" s="10"/>
      <c r="Y60" s="11"/>
      <c r="Z60" s="12"/>
      <c r="AA60" s="12"/>
      <c r="AB60" s="12"/>
      <c r="AC60" s="13"/>
      <c r="AD60" s="7"/>
      <c r="AE60" s="7"/>
      <c r="AF60" s="7"/>
      <c r="AG60" s="7"/>
      <c r="AH60" s="7"/>
      <c r="AI60" s="7"/>
      <c r="AJ60" s="7"/>
      <c r="AK60" s="7"/>
    </row>
    <row r="61" spans="1:37" ht="15" x14ac:dyDescent="0.25">
      <c r="A61" s="14">
        <v>12</v>
      </c>
      <c r="B61" s="4" t="s">
        <v>133</v>
      </c>
      <c r="C61" s="28">
        <v>12</v>
      </c>
      <c r="D61" s="28" t="s">
        <v>40</v>
      </c>
      <c r="E61" s="28"/>
      <c r="F61" s="28" t="s">
        <v>38</v>
      </c>
      <c r="G61" s="28">
        <v>2421.25</v>
      </c>
      <c r="H61" s="28">
        <v>239.98</v>
      </c>
      <c r="I61" s="28"/>
      <c r="J61" s="28" t="s">
        <v>90</v>
      </c>
      <c r="K61" s="28">
        <v>54.9</v>
      </c>
      <c r="L61" s="28">
        <v>1</v>
      </c>
      <c r="M61" s="28" t="s">
        <v>89</v>
      </c>
      <c r="N61" s="28">
        <v>92.18</v>
      </c>
      <c r="O61" s="28">
        <v>67.09</v>
      </c>
      <c r="P61" s="28" t="s">
        <v>17</v>
      </c>
      <c r="Q61" s="28">
        <v>0</v>
      </c>
      <c r="R61" s="28">
        <v>0</v>
      </c>
      <c r="S61" s="28">
        <v>0</v>
      </c>
      <c r="T61" s="28">
        <v>0</v>
      </c>
      <c r="U61" s="28" t="s">
        <v>74</v>
      </c>
      <c r="V61" s="28" t="s">
        <v>127</v>
      </c>
      <c r="W61" s="7"/>
      <c r="X61" s="10"/>
      <c r="Y61" s="11"/>
      <c r="Z61" s="12"/>
      <c r="AA61" s="12"/>
      <c r="AB61" s="12"/>
      <c r="AC61" s="13"/>
      <c r="AD61" s="7"/>
      <c r="AE61" s="7"/>
      <c r="AF61" s="7"/>
      <c r="AG61" s="7"/>
      <c r="AH61" s="7"/>
      <c r="AI61" s="7"/>
      <c r="AJ61" s="7"/>
      <c r="AK61" s="7"/>
    </row>
    <row r="62" spans="1:37" ht="15" x14ac:dyDescent="0.25">
      <c r="A62" s="14">
        <v>12</v>
      </c>
      <c r="B62" s="4" t="s">
        <v>133</v>
      </c>
      <c r="C62" s="28">
        <v>13</v>
      </c>
      <c r="D62" s="28" t="s">
        <v>108</v>
      </c>
      <c r="E62" s="28"/>
      <c r="F62" s="28" t="s">
        <v>38</v>
      </c>
      <c r="G62" s="28">
        <v>2476.16</v>
      </c>
      <c r="H62" s="28">
        <v>240</v>
      </c>
      <c r="I62" s="28" t="s">
        <v>88</v>
      </c>
      <c r="J62" s="28" t="s">
        <v>157</v>
      </c>
      <c r="K62" s="28">
        <v>196.37</v>
      </c>
      <c r="L62" s="28">
        <v>1</v>
      </c>
      <c r="M62" s="28" t="s">
        <v>89</v>
      </c>
      <c r="N62" s="28">
        <v>98.27</v>
      </c>
      <c r="O62" s="28">
        <v>125.64</v>
      </c>
      <c r="P62" s="28" t="s">
        <v>93</v>
      </c>
      <c r="Q62" s="28">
        <v>0</v>
      </c>
      <c r="R62" s="28">
        <v>0</v>
      </c>
      <c r="S62" s="28">
        <v>0</v>
      </c>
      <c r="T62" s="28">
        <v>0</v>
      </c>
      <c r="U62" s="28" t="s">
        <v>74</v>
      </c>
      <c r="V62" s="28" t="s">
        <v>127</v>
      </c>
      <c r="W62" s="7"/>
      <c r="X62" s="10"/>
      <c r="Y62" s="11"/>
      <c r="Z62" s="12"/>
      <c r="AA62" s="12"/>
      <c r="AB62" s="12"/>
      <c r="AC62" s="13"/>
      <c r="AD62" s="7"/>
      <c r="AE62" s="7"/>
      <c r="AF62" s="7"/>
      <c r="AG62" s="7"/>
      <c r="AH62" s="7"/>
      <c r="AI62" s="7"/>
      <c r="AJ62" s="7"/>
      <c r="AK62" s="7"/>
    </row>
    <row r="63" spans="1:37" ht="15" x14ac:dyDescent="0.25">
      <c r="A63" s="14">
        <v>12</v>
      </c>
      <c r="B63" s="4" t="s">
        <v>133</v>
      </c>
      <c r="C63" s="28">
        <v>14</v>
      </c>
      <c r="D63" s="28" t="s">
        <v>40</v>
      </c>
      <c r="E63" s="28"/>
      <c r="F63" s="28" t="s">
        <v>38</v>
      </c>
      <c r="G63" s="28">
        <v>2672.52</v>
      </c>
      <c r="H63" s="28">
        <v>242.99</v>
      </c>
      <c r="I63" s="28"/>
      <c r="J63" s="28" t="s">
        <v>90</v>
      </c>
      <c r="K63" s="28">
        <v>181.19</v>
      </c>
      <c r="L63" s="28">
        <v>1</v>
      </c>
      <c r="M63" s="28" t="s">
        <v>89</v>
      </c>
      <c r="N63" s="28">
        <v>249.05</v>
      </c>
      <c r="O63" s="28">
        <v>188.78</v>
      </c>
      <c r="P63" s="28" t="s">
        <v>17</v>
      </c>
      <c r="Q63" s="28">
        <v>0</v>
      </c>
      <c r="R63" s="28">
        <v>0</v>
      </c>
      <c r="S63" s="28">
        <v>0</v>
      </c>
      <c r="T63" s="28">
        <v>0</v>
      </c>
      <c r="U63" s="28" t="s">
        <v>74</v>
      </c>
      <c r="V63" s="28" t="s">
        <v>127</v>
      </c>
      <c r="W63" s="7"/>
      <c r="X63" s="10"/>
      <c r="Y63" s="11"/>
      <c r="Z63" s="12"/>
      <c r="AA63" s="12"/>
      <c r="AB63" s="12"/>
      <c r="AC63" s="13"/>
      <c r="AD63" s="7"/>
      <c r="AE63" s="7"/>
      <c r="AF63" s="7"/>
      <c r="AG63" s="7"/>
      <c r="AH63" s="7"/>
      <c r="AI63" s="7"/>
      <c r="AJ63" s="7"/>
      <c r="AK63" s="7"/>
    </row>
    <row r="64" spans="1:37" ht="15" x14ac:dyDescent="0.25">
      <c r="A64" s="14">
        <v>12</v>
      </c>
      <c r="B64" s="4" t="s">
        <v>133</v>
      </c>
      <c r="C64" s="28">
        <v>15</v>
      </c>
      <c r="D64" s="28" t="s">
        <v>40</v>
      </c>
      <c r="E64" s="28"/>
      <c r="F64" s="28" t="s">
        <v>38</v>
      </c>
      <c r="G64" s="28">
        <v>2853.71</v>
      </c>
      <c r="H64" s="28">
        <v>237.98</v>
      </c>
      <c r="I64" s="28"/>
      <c r="J64" s="28" t="s">
        <v>90</v>
      </c>
      <c r="K64" s="28">
        <v>176.55</v>
      </c>
      <c r="L64" s="28">
        <v>1</v>
      </c>
      <c r="M64" s="28" t="s">
        <v>89</v>
      </c>
      <c r="N64" s="28">
        <v>106.32</v>
      </c>
      <c r="O64" s="28">
        <v>178.87</v>
      </c>
      <c r="P64" s="28" t="s">
        <v>17</v>
      </c>
      <c r="Q64" s="28">
        <v>0</v>
      </c>
      <c r="R64" s="28">
        <v>0</v>
      </c>
      <c r="S64" s="28">
        <v>0</v>
      </c>
      <c r="T64" s="28">
        <v>0</v>
      </c>
      <c r="U64" s="28" t="s">
        <v>74</v>
      </c>
      <c r="V64" s="28" t="s">
        <v>127</v>
      </c>
      <c r="W64" s="7"/>
      <c r="X64" s="10"/>
      <c r="Y64" s="11"/>
      <c r="Z64" s="12"/>
      <c r="AA64" s="12"/>
      <c r="AB64" s="12"/>
      <c r="AC64" s="13"/>
      <c r="AD64" s="7"/>
      <c r="AE64" s="7"/>
      <c r="AF64" s="7"/>
      <c r="AG64" s="7"/>
      <c r="AH64" s="7"/>
      <c r="AI64" s="7"/>
      <c r="AJ64" s="7"/>
      <c r="AK64" s="7"/>
    </row>
    <row r="65" spans="1:37" ht="15" x14ac:dyDescent="0.25">
      <c r="A65" s="14">
        <v>12</v>
      </c>
      <c r="B65" s="4" t="s">
        <v>133</v>
      </c>
      <c r="C65" s="28">
        <v>16</v>
      </c>
      <c r="D65" s="28" t="s">
        <v>40</v>
      </c>
      <c r="E65" s="28"/>
      <c r="F65" s="28" t="s">
        <v>38</v>
      </c>
      <c r="G65" s="28">
        <v>3030.26</v>
      </c>
      <c r="H65" s="28">
        <v>242.98</v>
      </c>
      <c r="I65" s="28"/>
      <c r="J65" s="28" t="s">
        <v>90</v>
      </c>
      <c r="K65" s="28">
        <v>308.35000000000002</v>
      </c>
      <c r="L65" s="28">
        <v>1</v>
      </c>
      <c r="M65" s="28" t="s">
        <v>89</v>
      </c>
      <c r="N65" s="28">
        <v>262.33999999999997</v>
      </c>
      <c r="O65" s="28">
        <v>242.45</v>
      </c>
      <c r="P65" s="28" t="s">
        <v>17</v>
      </c>
      <c r="Q65" s="28">
        <v>0</v>
      </c>
      <c r="R65" s="28">
        <v>0</v>
      </c>
      <c r="S65" s="28">
        <v>0</v>
      </c>
      <c r="T65" s="28">
        <v>0</v>
      </c>
      <c r="U65" s="28" t="s">
        <v>74</v>
      </c>
      <c r="V65" s="28" t="s">
        <v>127</v>
      </c>
      <c r="W65" s="7"/>
      <c r="X65" s="10"/>
      <c r="Y65" s="11"/>
      <c r="Z65" s="12"/>
      <c r="AA65" s="12"/>
      <c r="AB65" s="12"/>
      <c r="AC65" s="13"/>
      <c r="AD65" s="7"/>
      <c r="AE65" s="7"/>
      <c r="AF65" s="7"/>
      <c r="AG65" s="7"/>
      <c r="AH65" s="7"/>
      <c r="AI65" s="7"/>
      <c r="AJ65" s="7"/>
      <c r="AK65" s="7"/>
    </row>
    <row r="66" spans="1:37" ht="15" x14ac:dyDescent="0.25">
      <c r="A66" s="14">
        <v>12</v>
      </c>
      <c r="B66" s="4" t="s">
        <v>133</v>
      </c>
      <c r="C66" s="28">
        <v>17</v>
      </c>
      <c r="D66" s="28" t="s">
        <v>45</v>
      </c>
      <c r="E66" s="28"/>
      <c r="F66" s="28" t="s">
        <v>38</v>
      </c>
      <c r="G66" s="28">
        <v>3338.61</v>
      </c>
      <c r="H66" s="28">
        <v>246.22</v>
      </c>
      <c r="I66" s="28" t="s">
        <v>104</v>
      </c>
      <c r="J66" s="28" t="s">
        <v>158</v>
      </c>
      <c r="K66" s="28">
        <v>246.91</v>
      </c>
      <c r="L66" s="28">
        <v>1</v>
      </c>
      <c r="M66" s="28" t="s">
        <v>89</v>
      </c>
      <c r="N66" s="28">
        <v>235.61</v>
      </c>
      <c r="O66" s="28">
        <v>277.63</v>
      </c>
      <c r="P66" s="28" t="s">
        <v>91</v>
      </c>
      <c r="Q66" s="28">
        <v>0</v>
      </c>
      <c r="R66" s="28">
        <v>0</v>
      </c>
      <c r="S66" s="28">
        <v>0</v>
      </c>
      <c r="T66" s="28">
        <v>0</v>
      </c>
      <c r="U66" s="28" t="s">
        <v>74</v>
      </c>
      <c r="V66" s="28" t="s">
        <v>127</v>
      </c>
      <c r="W66" s="7"/>
      <c r="X66" s="10"/>
      <c r="Y66" s="11"/>
      <c r="Z66" s="12"/>
      <c r="AA66" s="12"/>
      <c r="AB66" s="12"/>
      <c r="AC66" s="13"/>
      <c r="AD66" s="7"/>
      <c r="AE66" s="7"/>
      <c r="AF66" s="7"/>
      <c r="AG66" s="7"/>
      <c r="AH66" s="7"/>
      <c r="AI66" s="7"/>
      <c r="AJ66" s="7"/>
      <c r="AK66" s="7"/>
    </row>
    <row r="67" spans="1:37" ht="15" x14ac:dyDescent="0.25">
      <c r="A67" s="14">
        <v>12</v>
      </c>
      <c r="B67" s="4" t="s">
        <v>133</v>
      </c>
      <c r="C67" s="28">
        <v>18</v>
      </c>
      <c r="D67" s="28" t="s">
        <v>40</v>
      </c>
      <c r="E67" s="28"/>
      <c r="F67" s="28" t="s">
        <v>38</v>
      </c>
      <c r="G67" s="28">
        <v>3585.52</v>
      </c>
      <c r="H67" s="28">
        <v>256</v>
      </c>
      <c r="I67" s="28"/>
      <c r="J67" s="28" t="s">
        <v>90</v>
      </c>
      <c r="K67" s="28">
        <v>91.14</v>
      </c>
      <c r="L67" s="28">
        <v>1</v>
      </c>
      <c r="M67" s="28" t="s">
        <v>89</v>
      </c>
      <c r="N67" s="28">
        <v>255.34</v>
      </c>
      <c r="O67" s="28">
        <v>169.02</v>
      </c>
      <c r="P67" s="28" t="s">
        <v>17</v>
      </c>
      <c r="Q67" s="28">
        <v>0</v>
      </c>
      <c r="R67" s="28">
        <v>0</v>
      </c>
      <c r="S67" s="28">
        <v>0</v>
      </c>
      <c r="T67" s="28">
        <v>0</v>
      </c>
      <c r="U67" s="28" t="s">
        <v>74</v>
      </c>
      <c r="V67" s="28" t="s">
        <v>127</v>
      </c>
      <c r="W67" s="7"/>
      <c r="X67" s="10"/>
      <c r="Y67" s="11"/>
      <c r="Z67" s="12"/>
      <c r="AA67" s="12"/>
      <c r="AB67" s="12"/>
      <c r="AC67" s="13"/>
      <c r="AD67" s="7"/>
      <c r="AE67" s="7"/>
      <c r="AF67" s="7"/>
      <c r="AG67" s="7"/>
      <c r="AH67" s="7"/>
      <c r="AI67" s="7"/>
      <c r="AJ67" s="7"/>
      <c r="AK67" s="7"/>
    </row>
    <row r="68" spans="1:37" ht="15" x14ac:dyDescent="0.25">
      <c r="A68" s="14">
        <v>12</v>
      </c>
      <c r="B68" s="4" t="s">
        <v>133</v>
      </c>
      <c r="C68" s="28">
        <v>19</v>
      </c>
      <c r="D68" s="28" t="s">
        <v>40</v>
      </c>
      <c r="E68" s="28"/>
      <c r="F68" s="28" t="s">
        <v>38</v>
      </c>
      <c r="G68" s="28">
        <v>3676.65</v>
      </c>
      <c r="H68" s="28">
        <v>252.98</v>
      </c>
      <c r="I68" s="28"/>
      <c r="J68" s="28" t="s">
        <v>90</v>
      </c>
      <c r="K68" s="28">
        <v>267.88</v>
      </c>
      <c r="L68" s="28">
        <v>1</v>
      </c>
      <c r="M68" s="28" t="s">
        <v>89</v>
      </c>
      <c r="N68" s="28">
        <v>101.14</v>
      </c>
      <c r="O68" s="28">
        <v>179.51</v>
      </c>
      <c r="P68" s="28" t="s">
        <v>17</v>
      </c>
      <c r="Q68" s="28">
        <v>0</v>
      </c>
      <c r="R68" s="28">
        <v>0</v>
      </c>
      <c r="S68" s="28">
        <v>0</v>
      </c>
      <c r="T68" s="28">
        <v>0</v>
      </c>
      <c r="U68" s="28" t="s">
        <v>74</v>
      </c>
      <c r="V68" s="28" t="s">
        <v>127</v>
      </c>
      <c r="W68" s="7"/>
      <c r="X68" s="10"/>
      <c r="Y68" s="11"/>
      <c r="Z68" s="12"/>
      <c r="AA68" s="12"/>
      <c r="AB68" s="12"/>
      <c r="AC68" s="13"/>
      <c r="AD68" s="7"/>
      <c r="AE68" s="7"/>
      <c r="AF68" s="7"/>
      <c r="AG68" s="7"/>
      <c r="AH68" s="7"/>
      <c r="AI68" s="7"/>
      <c r="AJ68" s="7"/>
      <c r="AK68" s="7"/>
    </row>
    <row r="69" spans="1:37" ht="15" x14ac:dyDescent="0.25">
      <c r="A69" s="14">
        <v>12</v>
      </c>
      <c r="B69" s="4" t="s">
        <v>133</v>
      </c>
      <c r="C69" s="28">
        <v>20</v>
      </c>
      <c r="D69" s="28" t="s">
        <v>40</v>
      </c>
      <c r="E69" s="28"/>
      <c r="F69" s="28" t="s">
        <v>38</v>
      </c>
      <c r="G69" s="28">
        <v>3944.54</v>
      </c>
      <c r="H69" s="28">
        <v>262</v>
      </c>
      <c r="I69" s="28"/>
      <c r="J69" s="28" t="s">
        <v>90</v>
      </c>
      <c r="K69" s="28">
        <v>119.32</v>
      </c>
      <c r="L69" s="28">
        <v>1</v>
      </c>
      <c r="M69" s="28" t="s">
        <v>89</v>
      </c>
      <c r="N69" s="28">
        <v>263.05</v>
      </c>
      <c r="O69" s="28">
        <v>193.6</v>
      </c>
      <c r="P69" s="28" t="s">
        <v>17</v>
      </c>
      <c r="Q69" s="28">
        <v>0</v>
      </c>
      <c r="R69" s="28">
        <v>0</v>
      </c>
      <c r="S69" s="28">
        <v>0</v>
      </c>
      <c r="T69" s="28">
        <v>0</v>
      </c>
      <c r="U69" s="28" t="s">
        <v>74</v>
      </c>
      <c r="V69" s="28" t="s">
        <v>127</v>
      </c>
      <c r="W69" s="7"/>
      <c r="X69" s="10"/>
      <c r="Y69" s="11"/>
      <c r="Z69" s="12"/>
      <c r="AA69" s="12"/>
      <c r="AB69" s="12"/>
      <c r="AC69" s="13"/>
      <c r="AD69" s="7"/>
      <c r="AE69" s="7"/>
      <c r="AF69" s="7"/>
      <c r="AG69" s="7"/>
      <c r="AH69" s="7"/>
      <c r="AI69" s="7"/>
      <c r="AJ69" s="7"/>
      <c r="AK69" s="7"/>
    </row>
    <row r="70" spans="1:37" ht="15" x14ac:dyDescent="0.25">
      <c r="A70" s="14">
        <v>12</v>
      </c>
      <c r="B70" s="4" t="s">
        <v>133</v>
      </c>
      <c r="C70" s="28">
        <v>21</v>
      </c>
      <c r="D70" s="28" t="s">
        <v>40</v>
      </c>
      <c r="E70" s="28"/>
      <c r="F70" s="28" t="s">
        <v>38</v>
      </c>
      <c r="G70" s="28">
        <v>4063.86</v>
      </c>
      <c r="H70" s="28">
        <v>259.98</v>
      </c>
      <c r="I70" s="28"/>
      <c r="J70" s="28" t="s">
        <v>90</v>
      </c>
      <c r="K70" s="28">
        <v>166.44</v>
      </c>
      <c r="L70" s="28">
        <v>1</v>
      </c>
      <c r="M70" s="28" t="s">
        <v>89</v>
      </c>
      <c r="N70" s="28">
        <v>155.26</v>
      </c>
      <c r="O70" s="28">
        <v>142.88</v>
      </c>
      <c r="P70" s="28" t="s">
        <v>17</v>
      </c>
      <c r="Q70" s="28">
        <v>0</v>
      </c>
      <c r="R70" s="28">
        <v>0</v>
      </c>
      <c r="S70" s="28">
        <v>0</v>
      </c>
      <c r="T70" s="28">
        <v>0</v>
      </c>
      <c r="U70" s="28" t="s">
        <v>74</v>
      </c>
      <c r="V70" s="28" t="s">
        <v>127</v>
      </c>
      <c r="W70" s="7"/>
      <c r="X70" s="10"/>
      <c r="Y70" s="11"/>
      <c r="Z70" s="12"/>
      <c r="AA70" s="12"/>
      <c r="AB70" s="12"/>
      <c r="AC70" s="13"/>
      <c r="AD70" s="7"/>
      <c r="AE70" s="7"/>
      <c r="AF70" s="7"/>
      <c r="AG70" s="7"/>
      <c r="AH70" s="7"/>
      <c r="AI70" s="7"/>
      <c r="AJ70" s="7"/>
      <c r="AK70" s="7"/>
    </row>
    <row r="71" spans="1:37" ht="15" x14ac:dyDescent="0.25">
      <c r="A71" s="14">
        <v>12</v>
      </c>
      <c r="B71" s="4" t="s">
        <v>133</v>
      </c>
      <c r="C71" s="28">
        <v>22</v>
      </c>
      <c r="D71" s="28" t="s">
        <v>40</v>
      </c>
      <c r="E71" s="28"/>
      <c r="F71" s="28" t="s">
        <v>38</v>
      </c>
      <c r="G71" s="28">
        <v>4230.3</v>
      </c>
      <c r="H71" s="28">
        <v>256.08</v>
      </c>
      <c r="I71" s="28"/>
      <c r="J71" s="28" t="s">
        <v>90</v>
      </c>
      <c r="K71" s="28">
        <v>142.05000000000001</v>
      </c>
      <c r="L71" s="28">
        <v>1</v>
      </c>
      <c r="M71" s="28" t="s">
        <v>89</v>
      </c>
      <c r="N71" s="28">
        <v>109.93</v>
      </c>
      <c r="O71" s="28">
        <v>154.25</v>
      </c>
      <c r="P71" s="28" t="s">
        <v>17</v>
      </c>
      <c r="Q71" s="28">
        <v>0</v>
      </c>
      <c r="R71" s="28">
        <v>0</v>
      </c>
      <c r="S71" s="28">
        <v>0</v>
      </c>
      <c r="T71" s="28">
        <v>0</v>
      </c>
      <c r="U71" s="28" t="s">
        <v>74</v>
      </c>
      <c r="V71" s="28" t="s">
        <v>127</v>
      </c>
      <c r="W71" s="7"/>
      <c r="X71" s="10"/>
      <c r="Y71" s="11"/>
      <c r="Z71" s="12"/>
      <c r="AA71" s="12"/>
      <c r="AB71" s="12"/>
      <c r="AC71" s="13"/>
      <c r="AD71" s="7"/>
      <c r="AE71" s="7"/>
      <c r="AF71" s="7"/>
      <c r="AG71" s="7"/>
      <c r="AH71" s="7"/>
      <c r="AI71" s="7"/>
      <c r="AJ71" s="7"/>
      <c r="AK71" s="7"/>
    </row>
    <row r="72" spans="1:37" ht="15" x14ac:dyDescent="0.25">
      <c r="A72" s="14">
        <v>12</v>
      </c>
      <c r="B72" s="4" t="s">
        <v>133</v>
      </c>
      <c r="C72" s="28">
        <v>23</v>
      </c>
      <c r="D72" s="28" t="s">
        <v>40</v>
      </c>
      <c r="E72" s="28"/>
      <c r="F72" s="28" t="s">
        <v>38</v>
      </c>
      <c r="G72" s="28">
        <v>4372.3500000000004</v>
      </c>
      <c r="H72" s="28">
        <v>257.98</v>
      </c>
      <c r="I72" s="28"/>
      <c r="J72" s="28" t="s">
        <v>90</v>
      </c>
      <c r="K72" s="28">
        <v>129.26</v>
      </c>
      <c r="L72" s="28">
        <v>1</v>
      </c>
      <c r="M72" s="28" t="s">
        <v>89</v>
      </c>
      <c r="N72" s="28">
        <v>126.05</v>
      </c>
      <c r="O72" s="28">
        <v>135.66</v>
      </c>
      <c r="P72" s="28" t="s">
        <v>17</v>
      </c>
      <c r="Q72" s="28">
        <v>0</v>
      </c>
      <c r="R72" s="28">
        <v>0</v>
      </c>
      <c r="S72" s="28">
        <v>0</v>
      </c>
      <c r="T72" s="28">
        <v>0</v>
      </c>
      <c r="U72" s="28" t="s">
        <v>74</v>
      </c>
      <c r="V72" s="28" t="s">
        <v>127</v>
      </c>
      <c r="W72" s="7"/>
      <c r="X72" s="10"/>
      <c r="Y72" s="11"/>
      <c r="Z72" s="12"/>
      <c r="AA72" s="12"/>
      <c r="AB72" s="12"/>
      <c r="AC72" s="13"/>
      <c r="AD72" s="7"/>
      <c r="AE72" s="7"/>
      <c r="AF72" s="7"/>
      <c r="AG72" s="7"/>
      <c r="AH72" s="7"/>
      <c r="AI72" s="7"/>
      <c r="AJ72" s="7"/>
      <c r="AK72" s="7"/>
    </row>
    <row r="73" spans="1:37" ht="15" x14ac:dyDescent="0.25">
      <c r="A73" s="14">
        <v>12</v>
      </c>
      <c r="B73" s="4" t="s">
        <v>133</v>
      </c>
      <c r="C73" s="28">
        <v>24</v>
      </c>
      <c r="D73" s="28" t="s">
        <v>40</v>
      </c>
      <c r="E73" s="28"/>
      <c r="F73" s="28" t="s">
        <v>38</v>
      </c>
      <c r="G73" s="28">
        <v>4501.6099999999997</v>
      </c>
      <c r="H73" s="28">
        <v>261</v>
      </c>
      <c r="I73" s="28"/>
      <c r="J73" s="28" t="s">
        <v>90</v>
      </c>
      <c r="K73" s="28">
        <v>187.42</v>
      </c>
      <c r="L73" s="28">
        <v>1</v>
      </c>
      <c r="M73" s="28" t="s">
        <v>89</v>
      </c>
      <c r="N73" s="28">
        <v>149.36000000000001</v>
      </c>
      <c r="O73" s="28">
        <v>158.34</v>
      </c>
      <c r="P73" s="28" t="s">
        <v>17</v>
      </c>
      <c r="Q73" s="28">
        <v>0</v>
      </c>
      <c r="R73" s="28">
        <v>0</v>
      </c>
      <c r="S73" s="28">
        <v>0</v>
      </c>
      <c r="T73" s="28">
        <v>0</v>
      </c>
      <c r="U73" s="28" t="s">
        <v>74</v>
      </c>
      <c r="V73" s="28" t="s">
        <v>127</v>
      </c>
      <c r="W73" s="7"/>
      <c r="X73" s="10"/>
      <c r="Y73" s="11"/>
      <c r="Z73" s="12"/>
      <c r="AA73" s="12"/>
      <c r="AB73" s="12"/>
      <c r="AC73" s="13"/>
      <c r="AD73" s="7"/>
      <c r="AE73" s="7"/>
      <c r="AF73" s="7"/>
      <c r="AG73" s="7"/>
      <c r="AH73" s="7"/>
      <c r="AI73" s="7"/>
      <c r="AJ73" s="7"/>
      <c r="AK73" s="7"/>
    </row>
    <row r="74" spans="1:37" ht="15" x14ac:dyDescent="0.25">
      <c r="A74" s="14">
        <v>12</v>
      </c>
      <c r="B74" s="4" t="s">
        <v>133</v>
      </c>
      <c r="C74" s="28">
        <v>25</v>
      </c>
      <c r="D74" s="28" t="s">
        <v>44</v>
      </c>
      <c r="E74" s="28"/>
      <c r="F74" s="28" t="s">
        <v>38</v>
      </c>
      <c r="G74" s="28">
        <v>4689.04</v>
      </c>
      <c r="H74" s="28">
        <v>266.25</v>
      </c>
      <c r="I74" s="28" t="s">
        <v>105</v>
      </c>
      <c r="J74" s="28" t="s">
        <v>159</v>
      </c>
      <c r="K74" s="28">
        <v>347.51</v>
      </c>
      <c r="L74" s="28">
        <v>1</v>
      </c>
      <c r="M74" s="28" t="s">
        <v>89</v>
      </c>
      <c r="N74" s="28">
        <v>350.15</v>
      </c>
      <c r="O74" s="28">
        <v>267.47000000000003</v>
      </c>
      <c r="P74" s="28" t="s">
        <v>93</v>
      </c>
      <c r="Q74" s="28">
        <v>0</v>
      </c>
      <c r="R74" s="28">
        <v>2</v>
      </c>
      <c r="S74" s="28">
        <v>0</v>
      </c>
      <c r="T74" s="28">
        <v>0</v>
      </c>
      <c r="U74" s="28" t="s">
        <v>74</v>
      </c>
      <c r="V74" s="28" t="s">
        <v>127</v>
      </c>
      <c r="W74" s="7"/>
      <c r="X74" s="10"/>
      <c r="Y74" s="11"/>
      <c r="Z74" s="12"/>
      <c r="AA74" s="12"/>
      <c r="AB74" s="12"/>
      <c r="AC74" s="13"/>
      <c r="AD74" s="7"/>
      <c r="AE74" s="7"/>
      <c r="AF74" s="7"/>
      <c r="AG74" s="7"/>
      <c r="AH74" s="7"/>
      <c r="AI74" s="7"/>
      <c r="AJ74" s="7"/>
      <c r="AK74" s="7"/>
    </row>
    <row r="75" spans="1:37" ht="15" x14ac:dyDescent="0.25">
      <c r="A75" s="14">
        <v>12</v>
      </c>
      <c r="B75" s="4" t="s">
        <v>133</v>
      </c>
      <c r="C75" s="28">
        <v>26</v>
      </c>
      <c r="D75" s="28" t="s">
        <v>40</v>
      </c>
      <c r="E75" s="28"/>
      <c r="F75" s="28" t="s">
        <v>38</v>
      </c>
      <c r="G75" s="28">
        <v>5036.55</v>
      </c>
      <c r="H75" s="28">
        <v>255.89</v>
      </c>
      <c r="I75" s="28"/>
      <c r="J75" s="28" t="s">
        <v>90</v>
      </c>
      <c r="K75" s="28">
        <v>143.34</v>
      </c>
      <c r="L75" s="28">
        <v>1</v>
      </c>
      <c r="M75" s="28" t="s">
        <v>89</v>
      </c>
      <c r="N75" s="28">
        <v>228.71</v>
      </c>
      <c r="O75" s="28">
        <v>245.43</v>
      </c>
      <c r="P75" s="28" t="s">
        <v>17</v>
      </c>
      <c r="Q75" s="28">
        <v>0</v>
      </c>
      <c r="R75" s="28">
        <v>0</v>
      </c>
      <c r="S75" s="28">
        <v>0</v>
      </c>
      <c r="T75" s="28">
        <v>0</v>
      </c>
      <c r="U75" s="28" t="s">
        <v>74</v>
      </c>
      <c r="V75" s="28" t="s">
        <v>127</v>
      </c>
      <c r="W75" s="7"/>
      <c r="X75" s="10"/>
      <c r="Y75" s="11"/>
      <c r="Z75" s="12"/>
      <c r="AA75" s="12"/>
      <c r="AB75" s="12"/>
      <c r="AC75" s="13"/>
      <c r="AD75" s="7"/>
      <c r="AE75" s="7"/>
      <c r="AF75" s="7"/>
      <c r="AG75" s="7"/>
      <c r="AH75" s="7"/>
      <c r="AI75" s="7"/>
      <c r="AJ75" s="7"/>
      <c r="AK75" s="7"/>
    </row>
    <row r="76" spans="1:37" ht="15" x14ac:dyDescent="0.25">
      <c r="A76" s="14">
        <v>12</v>
      </c>
      <c r="B76" s="4" t="s">
        <v>133</v>
      </c>
      <c r="C76" s="28">
        <v>27</v>
      </c>
      <c r="D76" s="28" t="s">
        <v>40</v>
      </c>
      <c r="E76" s="28"/>
      <c r="F76" s="28" t="s">
        <v>38</v>
      </c>
      <c r="G76" s="28">
        <v>5179.8900000000003</v>
      </c>
      <c r="H76" s="28">
        <v>252</v>
      </c>
      <c r="I76" s="28"/>
      <c r="J76" s="28" t="s">
        <v>90</v>
      </c>
      <c r="K76" s="28">
        <v>97.54</v>
      </c>
      <c r="L76" s="28">
        <v>1</v>
      </c>
      <c r="M76" s="28" t="s">
        <v>89</v>
      </c>
      <c r="N76" s="28">
        <v>12.94</v>
      </c>
      <c r="O76" s="28">
        <v>120.44</v>
      </c>
      <c r="P76" s="28" t="s">
        <v>17</v>
      </c>
      <c r="Q76" s="28">
        <v>0</v>
      </c>
      <c r="R76" s="28">
        <v>0</v>
      </c>
      <c r="S76" s="28">
        <v>0</v>
      </c>
      <c r="T76" s="28">
        <v>0</v>
      </c>
      <c r="U76" s="28" t="s">
        <v>74</v>
      </c>
      <c r="V76" s="28" t="s">
        <v>127</v>
      </c>
      <c r="W76" s="7"/>
      <c r="X76" s="10"/>
      <c r="Y76" s="11"/>
      <c r="Z76" s="12"/>
      <c r="AA76" s="12"/>
      <c r="AB76" s="12"/>
      <c r="AC76" s="13"/>
      <c r="AD76" s="7"/>
      <c r="AE76" s="7"/>
      <c r="AF76" s="7"/>
      <c r="AG76" s="7"/>
      <c r="AH76" s="7"/>
      <c r="AI76" s="7"/>
      <c r="AJ76" s="7"/>
      <c r="AK76" s="7"/>
    </row>
    <row r="77" spans="1:37" ht="15" x14ac:dyDescent="0.25">
      <c r="A77" s="14">
        <v>12</v>
      </c>
      <c r="B77" s="4" t="s">
        <v>133</v>
      </c>
      <c r="C77" s="28">
        <v>28</v>
      </c>
      <c r="D77" s="28" t="s">
        <v>45</v>
      </c>
      <c r="E77" s="28"/>
      <c r="F77" s="28" t="s">
        <v>38</v>
      </c>
      <c r="G77" s="28">
        <v>5277.43</v>
      </c>
      <c r="H77" s="28">
        <v>260.63</v>
      </c>
      <c r="I77" s="28" t="s">
        <v>106</v>
      </c>
      <c r="J77" s="28" t="s">
        <v>107</v>
      </c>
      <c r="K77" s="28">
        <v>213.05</v>
      </c>
      <c r="L77" s="28">
        <v>1</v>
      </c>
      <c r="M77" s="28" t="s">
        <v>89</v>
      </c>
      <c r="N77" s="28">
        <v>205.94</v>
      </c>
      <c r="O77" s="28">
        <v>155.29</v>
      </c>
      <c r="P77" s="28" t="s">
        <v>91</v>
      </c>
      <c r="Q77" s="28">
        <v>0</v>
      </c>
      <c r="R77" s="28">
        <v>0</v>
      </c>
      <c r="S77" s="28">
        <v>0</v>
      </c>
      <c r="T77" s="28">
        <v>0</v>
      </c>
      <c r="U77" s="28" t="s">
        <v>74</v>
      </c>
      <c r="V77" s="28" t="s">
        <v>127</v>
      </c>
      <c r="W77" s="7"/>
      <c r="X77" s="10"/>
      <c r="Y77" s="11"/>
      <c r="Z77" s="12"/>
      <c r="AA77" s="12"/>
      <c r="AB77" s="12"/>
      <c r="AC77" s="13"/>
      <c r="AD77" s="7"/>
      <c r="AE77" s="7"/>
      <c r="AF77" s="7"/>
      <c r="AG77" s="7"/>
      <c r="AH77" s="7"/>
      <c r="AI77" s="7"/>
      <c r="AJ77" s="7"/>
      <c r="AK77" s="7"/>
    </row>
    <row r="78" spans="1:37" ht="15" x14ac:dyDescent="0.25">
      <c r="A78" s="14">
        <v>12</v>
      </c>
      <c r="B78" s="4" t="s">
        <v>133</v>
      </c>
      <c r="C78" s="28">
        <v>29</v>
      </c>
      <c r="D78" s="28" t="s">
        <v>108</v>
      </c>
      <c r="E78" s="28"/>
      <c r="F78" s="28" t="s">
        <v>38</v>
      </c>
      <c r="G78" s="28">
        <v>5490.48</v>
      </c>
      <c r="H78" s="28">
        <v>265.08</v>
      </c>
      <c r="I78" s="28" t="s">
        <v>109</v>
      </c>
      <c r="J78" s="28" t="s">
        <v>110</v>
      </c>
      <c r="K78" s="28">
        <v>546.52</v>
      </c>
      <c r="L78" s="28">
        <v>1</v>
      </c>
      <c r="M78" s="28" t="s">
        <v>89</v>
      </c>
      <c r="N78" s="28">
        <v>433.74</v>
      </c>
      <c r="O78" s="28">
        <v>379.79</v>
      </c>
      <c r="P78" s="28" t="s">
        <v>93</v>
      </c>
      <c r="Q78" s="28">
        <v>0</v>
      </c>
      <c r="R78" s="28">
        <v>2</v>
      </c>
      <c r="S78" s="28">
        <v>0</v>
      </c>
      <c r="T78" s="28">
        <v>0</v>
      </c>
      <c r="U78" s="28" t="s">
        <v>74</v>
      </c>
      <c r="V78" s="28" t="s">
        <v>127</v>
      </c>
      <c r="W78" s="7"/>
      <c r="X78" s="10"/>
      <c r="Y78" s="11"/>
      <c r="Z78" s="12"/>
      <c r="AA78" s="12"/>
      <c r="AB78" s="12"/>
      <c r="AC78" s="13"/>
      <c r="AD78" s="7"/>
      <c r="AE78" s="7"/>
      <c r="AF78" s="7"/>
      <c r="AG78" s="7"/>
      <c r="AH78" s="7"/>
      <c r="AI78" s="7"/>
      <c r="AJ78" s="7"/>
      <c r="AK78" s="7"/>
    </row>
    <row r="79" spans="1:37" ht="15" x14ac:dyDescent="0.25">
      <c r="A79" s="14">
        <v>12</v>
      </c>
      <c r="B79" s="4" t="s">
        <v>133</v>
      </c>
      <c r="C79" s="28">
        <v>30</v>
      </c>
      <c r="D79" s="28" t="s">
        <v>44</v>
      </c>
      <c r="E79" s="28"/>
      <c r="F79" s="28" t="s">
        <v>38</v>
      </c>
      <c r="G79" s="28">
        <v>6037</v>
      </c>
      <c r="H79" s="28">
        <v>257.32</v>
      </c>
      <c r="I79" s="28"/>
      <c r="J79" s="28" t="s">
        <v>90</v>
      </c>
      <c r="K79" s="28">
        <v>71.66</v>
      </c>
      <c r="L79" s="28">
        <v>1</v>
      </c>
      <c r="M79" s="28" t="s">
        <v>89</v>
      </c>
      <c r="N79" s="28">
        <v>200.82</v>
      </c>
      <c r="O79" s="28">
        <v>309.08999999999997</v>
      </c>
      <c r="P79" s="28" t="s">
        <v>91</v>
      </c>
      <c r="Q79" s="28">
        <v>0</v>
      </c>
      <c r="R79" s="28">
        <v>0</v>
      </c>
      <c r="S79" s="28">
        <v>0</v>
      </c>
      <c r="T79" s="28">
        <v>0</v>
      </c>
      <c r="U79" s="28" t="s">
        <v>74</v>
      </c>
      <c r="V79" s="28" t="s">
        <v>127</v>
      </c>
      <c r="W79" s="7"/>
      <c r="X79" s="10"/>
      <c r="Y79" s="11"/>
      <c r="Z79" s="12"/>
      <c r="AA79" s="12"/>
      <c r="AB79" s="12"/>
      <c r="AC79" s="13"/>
      <c r="AD79" s="7"/>
      <c r="AE79" s="7"/>
      <c r="AF79" s="7"/>
      <c r="AG79" s="7"/>
      <c r="AH79" s="7"/>
      <c r="AI79" s="7"/>
      <c r="AJ79" s="7"/>
      <c r="AK79" s="7"/>
    </row>
    <row r="80" spans="1:37" ht="15" x14ac:dyDescent="0.25">
      <c r="A80" s="14">
        <v>12</v>
      </c>
      <c r="B80" s="4" t="s">
        <v>133</v>
      </c>
      <c r="C80" s="28">
        <v>31</v>
      </c>
      <c r="D80" s="28" t="s">
        <v>44</v>
      </c>
      <c r="E80" s="28"/>
      <c r="F80" s="28" t="s">
        <v>38</v>
      </c>
      <c r="G80" s="28">
        <v>6108.66</v>
      </c>
      <c r="H80" s="28">
        <v>266.04000000000002</v>
      </c>
      <c r="I80" s="28" t="s">
        <v>111</v>
      </c>
      <c r="J80" s="28" t="s">
        <v>112</v>
      </c>
      <c r="K80" s="28">
        <v>173.15</v>
      </c>
      <c r="L80" s="28">
        <v>1</v>
      </c>
      <c r="M80" s="28" t="s">
        <v>89</v>
      </c>
      <c r="N80" s="28">
        <v>299.26</v>
      </c>
      <c r="O80" s="28">
        <v>122.4</v>
      </c>
      <c r="P80" s="28" t="s">
        <v>91</v>
      </c>
      <c r="Q80" s="28">
        <v>0</v>
      </c>
      <c r="R80" s="28">
        <v>0</v>
      </c>
      <c r="S80" s="28">
        <v>0</v>
      </c>
      <c r="T80" s="28">
        <v>0</v>
      </c>
      <c r="U80" s="28" t="s">
        <v>74</v>
      </c>
      <c r="V80" s="28" t="s">
        <v>127</v>
      </c>
      <c r="W80" s="7"/>
      <c r="X80" s="10"/>
      <c r="Y80" s="11"/>
      <c r="Z80" s="12"/>
      <c r="AA80" s="12"/>
      <c r="AB80" s="12"/>
      <c r="AC80" s="13"/>
      <c r="AD80" s="7"/>
      <c r="AE80" s="7"/>
      <c r="AF80" s="7"/>
      <c r="AG80" s="7"/>
      <c r="AH80" s="7"/>
      <c r="AI80" s="7"/>
      <c r="AJ80" s="7"/>
      <c r="AK80" s="7"/>
    </row>
    <row r="81" spans="1:37" ht="15" x14ac:dyDescent="0.25">
      <c r="A81" s="14">
        <v>12</v>
      </c>
      <c r="B81" s="4" t="s">
        <v>133</v>
      </c>
      <c r="C81" s="28">
        <v>32</v>
      </c>
      <c r="D81" s="28" t="s">
        <v>40</v>
      </c>
      <c r="E81" s="28"/>
      <c r="F81" s="28" t="s">
        <v>38</v>
      </c>
      <c r="G81" s="28">
        <v>6281.81</v>
      </c>
      <c r="H81" s="28">
        <v>252.97</v>
      </c>
      <c r="I81" s="28"/>
      <c r="J81" s="28" t="s">
        <v>90</v>
      </c>
      <c r="K81" s="28">
        <v>163.09</v>
      </c>
      <c r="L81" s="28">
        <v>1</v>
      </c>
      <c r="M81" s="28" t="s">
        <v>89</v>
      </c>
      <c r="N81" s="28">
        <v>89.5</v>
      </c>
      <c r="O81" s="28">
        <v>168.12</v>
      </c>
      <c r="P81" s="28" t="s">
        <v>17</v>
      </c>
      <c r="Q81" s="28">
        <v>0</v>
      </c>
      <c r="R81" s="28">
        <v>0</v>
      </c>
      <c r="S81" s="28">
        <v>0</v>
      </c>
      <c r="T81" s="28">
        <v>0</v>
      </c>
      <c r="U81" s="28" t="s">
        <v>74</v>
      </c>
      <c r="V81" s="28" t="s">
        <v>127</v>
      </c>
      <c r="W81" s="7"/>
      <c r="X81" s="10"/>
      <c r="Y81" s="11"/>
      <c r="Z81" s="12"/>
      <c r="AA81" s="12"/>
      <c r="AB81" s="12"/>
      <c r="AC81" s="13"/>
      <c r="AD81" s="7"/>
      <c r="AE81" s="7"/>
      <c r="AF81" s="7"/>
      <c r="AG81" s="7"/>
      <c r="AH81" s="7"/>
      <c r="AI81" s="7"/>
      <c r="AJ81" s="7"/>
      <c r="AK81" s="7"/>
    </row>
    <row r="82" spans="1:37" ht="15" x14ac:dyDescent="0.25">
      <c r="A82" s="14">
        <v>12</v>
      </c>
      <c r="B82" s="4" t="s">
        <v>133</v>
      </c>
      <c r="C82" s="28">
        <v>33</v>
      </c>
      <c r="D82" s="28" t="s">
        <v>78</v>
      </c>
      <c r="E82" s="28"/>
      <c r="F82" s="28" t="s">
        <v>38</v>
      </c>
      <c r="G82" s="28">
        <v>6444.9</v>
      </c>
      <c r="H82" s="28">
        <v>251.57</v>
      </c>
      <c r="I82" s="28" t="s">
        <v>113</v>
      </c>
      <c r="J82" s="28" t="s">
        <v>90</v>
      </c>
      <c r="K82" s="28">
        <v>0</v>
      </c>
      <c r="L82" s="28">
        <v>1</v>
      </c>
      <c r="M82" s="28" t="s">
        <v>89</v>
      </c>
      <c r="N82" s="28">
        <v>67.61</v>
      </c>
      <c r="O82" s="28">
        <v>81.540000000000006</v>
      </c>
      <c r="P82" s="28" t="s">
        <v>91</v>
      </c>
      <c r="Q82" s="28">
        <v>0</v>
      </c>
      <c r="R82" s="28">
        <v>0</v>
      </c>
      <c r="S82" s="28">
        <v>0</v>
      </c>
      <c r="T82" s="28">
        <v>0</v>
      </c>
      <c r="U82" s="28" t="s">
        <v>74</v>
      </c>
      <c r="V82" s="28" t="s">
        <v>127</v>
      </c>
      <c r="W82" s="7"/>
      <c r="X82" s="10"/>
      <c r="Y82" s="11"/>
      <c r="Z82" s="12"/>
      <c r="AA82" s="12"/>
      <c r="AB82" s="12"/>
      <c r="AC82" s="13"/>
      <c r="AD82" s="7"/>
      <c r="AE82" s="7"/>
      <c r="AF82" s="7"/>
      <c r="AG82" s="7"/>
      <c r="AH82" s="7"/>
      <c r="AI82" s="7"/>
      <c r="AJ82" s="7"/>
      <c r="AK82" s="7"/>
    </row>
    <row r="83" spans="1:37" ht="15" x14ac:dyDescent="0.25">
      <c r="A83" s="14">
        <v>15</v>
      </c>
      <c r="B83" s="4" t="s">
        <v>134</v>
      </c>
      <c r="C83" s="28">
        <v>0</v>
      </c>
      <c r="D83" s="28" t="s">
        <v>144</v>
      </c>
      <c r="E83" s="28"/>
      <c r="F83" s="28" t="s">
        <v>38</v>
      </c>
      <c r="G83" s="28">
        <v>0</v>
      </c>
      <c r="H83" s="28">
        <v>270.05</v>
      </c>
      <c r="I83" s="28" t="s">
        <v>115</v>
      </c>
      <c r="J83" s="28" t="s">
        <v>90</v>
      </c>
      <c r="K83" s="28">
        <v>19.690000000000001</v>
      </c>
      <c r="L83" s="28">
        <v>0</v>
      </c>
      <c r="M83" s="28" t="s">
        <v>73</v>
      </c>
      <c r="N83" s="28">
        <v>18.52</v>
      </c>
      <c r="O83" s="28">
        <v>9.85</v>
      </c>
      <c r="P83" s="28" t="s">
        <v>17</v>
      </c>
      <c r="Q83" s="28">
        <v>0</v>
      </c>
      <c r="R83" s="28">
        <v>0</v>
      </c>
      <c r="S83" s="28">
        <v>0</v>
      </c>
      <c r="T83" s="28">
        <v>0</v>
      </c>
      <c r="U83" s="28"/>
      <c r="V83" s="28"/>
      <c r="W83" s="7"/>
      <c r="X83" s="10"/>
      <c r="Y83" s="11"/>
      <c r="Z83" s="12"/>
      <c r="AA83" s="12"/>
      <c r="AB83" s="12"/>
      <c r="AC83" s="13"/>
      <c r="AD83" s="7"/>
      <c r="AE83" s="7"/>
      <c r="AF83" s="7"/>
      <c r="AG83" s="7"/>
      <c r="AH83" s="7"/>
      <c r="AI83" s="7"/>
      <c r="AJ83" s="7"/>
      <c r="AK83" s="7"/>
    </row>
    <row r="84" spans="1:37" ht="15" x14ac:dyDescent="0.25">
      <c r="A84" s="14">
        <v>15</v>
      </c>
      <c r="B84" s="4" t="s">
        <v>134</v>
      </c>
      <c r="C84" s="28">
        <v>1</v>
      </c>
      <c r="D84" s="28" t="s">
        <v>135</v>
      </c>
      <c r="E84" s="28"/>
      <c r="F84" s="28" t="s">
        <v>38</v>
      </c>
      <c r="G84" s="28">
        <v>19.690000000000001</v>
      </c>
      <c r="H84" s="28">
        <v>267.79000000000002</v>
      </c>
      <c r="I84" s="28"/>
      <c r="J84" s="28" t="s">
        <v>90</v>
      </c>
      <c r="K84" s="28">
        <v>167.64</v>
      </c>
      <c r="L84" s="28">
        <v>1</v>
      </c>
      <c r="M84" s="28" t="s">
        <v>75</v>
      </c>
      <c r="N84" s="28">
        <v>93.85</v>
      </c>
      <c r="O84" s="28">
        <v>93.66</v>
      </c>
      <c r="P84" s="28" t="s">
        <v>91</v>
      </c>
      <c r="Q84" s="28">
        <v>0</v>
      </c>
      <c r="R84" s="28">
        <v>0</v>
      </c>
      <c r="S84" s="28">
        <v>0</v>
      </c>
      <c r="T84" s="28">
        <v>0</v>
      </c>
      <c r="U84" s="28" t="s">
        <v>39</v>
      </c>
      <c r="V84" s="28" t="s">
        <v>92</v>
      </c>
      <c r="W84" s="7"/>
      <c r="X84" s="10"/>
      <c r="Y84" s="11"/>
      <c r="Z84" s="12"/>
      <c r="AA84" s="12"/>
      <c r="AB84" s="12"/>
      <c r="AC84" s="13"/>
      <c r="AD84" s="7"/>
      <c r="AE84" s="7"/>
      <c r="AF84" s="7"/>
      <c r="AG84" s="7"/>
      <c r="AH84" s="7"/>
      <c r="AI84" s="7"/>
      <c r="AJ84" s="7"/>
      <c r="AK84" s="7"/>
    </row>
    <row r="85" spans="1:37" ht="15" x14ac:dyDescent="0.25">
      <c r="A85" s="14">
        <v>15</v>
      </c>
      <c r="B85" s="4" t="s">
        <v>134</v>
      </c>
      <c r="C85" s="28">
        <v>2</v>
      </c>
      <c r="D85" s="28" t="s">
        <v>40</v>
      </c>
      <c r="E85" s="28"/>
      <c r="F85" s="28" t="s">
        <v>38</v>
      </c>
      <c r="G85" s="28">
        <v>187.33</v>
      </c>
      <c r="H85" s="28">
        <v>266.17</v>
      </c>
      <c r="I85" s="28"/>
      <c r="J85" s="28" t="s">
        <v>90</v>
      </c>
      <c r="K85" s="28">
        <v>233.35</v>
      </c>
      <c r="L85" s="28">
        <v>1</v>
      </c>
      <c r="M85" s="28" t="s">
        <v>73</v>
      </c>
      <c r="N85" s="28">
        <v>134.13</v>
      </c>
      <c r="O85" s="28">
        <v>200.49</v>
      </c>
      <c r="P85" s="28" t="s">
        <v>17</v>
      </c>
      <c r="Q85" s="28">
        <v>0</v>
      </c>
      <c r="R85" s="28">
        <v>0</v>
      </c>
      <c r="S85" s="28">
        <v>0</v>
      </c>
      <c r="T85" s="28">
        <v>0</v>
      </c>
      <c r="U85" s="28" t="s">
        <v>74</v>
      </c>
      <c r="V85" s="28" t="s">
        <v>92</v>
      </c>
      <c r="W85" s="7"/>
      <c r="X85" s="10"/>
      <c r="Y85" s="11"/>
      <c r="Z85" s="12"/>
      <c r="AA85" s="12"/>
      <c r="AB85" s="12"/>
      <c r="AC85" s="13"/>
      <c r="AD85" s="7"/>
      <c r="AE85" s="7"/>
      <c r="AF85" s="7"/>
      <c r="AG85" s="7"/>
      <c r="AH85" s="7"/>
      <c r="AI85" s="7"/>
      <c r="AJ85" s="7"/>
      <c r="AK85" s="7"/>
    </row>
    <row r="86" spans="1:37" ht="15" x14ac:dyDescent="0.25">
      <c r="A86" s="14">
        <v>15</v>
      </c>
      <c r="B86" s="4" t="s">
        <v>134</v>
      </c>
      <c r="C86" s="28">
        <v>3</v>
      </c>
      <c r="D86" s="28" t="s">
        <v>40</v>
      </c>
      <c r="E86" s="28"/>
      <c r="F86" s="28" t="s">
        <v>38</v>
      </c>
      <c r="G86" s="28">
        <v>420.68</v>
      </c>
      <c r="H86" s="28">
        <v>275.37</v>
      </c>
      <c r="I86" s="28"/>
      <c r="J86" s="28" t="s">
        <v>90</v>
      </c>
      <c r="K86" s="28">
        <v>177.75</v>
      </c>
      <c r="L86" s="28">
        <v>1</v>
      </c>
      <c r="M86" s="28" t="s">
        <v>73</v>
      </c>
      <c r="N86" s="28">
        <v>314.92</v>
      </c>
      <c r="O86" s="28">
        <v>205.55</v>
      </c>
      <c r="P86" s="28" t="s">
        <v>17</v>
      </c>
      <c r="Q86" s="28">
        <v>0</v>
      </c>
      <c r="R86" s="28">
        <v>0</v>
      </c>
      <c r="S86" s="28">
        <v>0</v>
      </c>
      <c r="T86" s="28">
        <v>0</v>
      </c>
      <c r="U86" s="28" t="s">
        <v>74</v>
      </c>
      <c r="V86" s="28" t="s">
        <v>92</v>
      </c>
      <c r="W86" s="7"/>
      <c r="X86" s="10"/>
      <c r="Y86" s="11"/>
      <c r="Z86" s="12"/>
      <c r="AA86" s="12"/>
      <c r="AB86" s="12"/>
      <c r="AC86" s="13"/>
      <c r="AD86" s="7"/>
      <c r="AE86" s="7"/>
      <c r="AF86" s="7"/>
      <c r="AG86" s="7"/>
      <c r="AH86" s="7"/>
      <c r="AI86" s="7"/>
      <c r="AJ86" s="7"/>
      <c r="AK86" s="7"/>
    </row>
    <row r="87" spans="1:37" ht="15" x14ac:dyDescent="0.25">
      <c r="A87" s="14">
        <v>15</v>
      </c>
      <c r="B87" s="4" t="s">
        <v>134</v>
      </c>
      <c r="C87" s="28">
        <v>4</v>
      </c>
      <c r="D87" s="28" t="s">
        <v>40</v>
      </c>
      <c r="E87" s="28"/>
      <c r="F87" s="28" t="s">
        <v>38</v>
      </c>
      <c r="G87" s="28">
        <v>598.42999999999995</v>
      </c>
      <c r="H87" s="28">
        <v>268.33999999999997</v>
      </c>
      <c r="I87" s="28"/>
      <c r="J87" s="28" t="s">
        <v>90</v>
      </c>
      <c r="K87" s="28">
        <v>232.44</v>
      </c>
      <c r="L87" s="28">
        <v>1</v>
      </c>
      <c r="M87" s="28" t="s">
        <v>73</v>
      </c>
      <c r="N87" s="28">
        <v>217.74</v>
      </c>
      <c r="O87" s="28">
        <v>205.1</v>
      </c>
      <c r="P87" s="28" t="s">
        <v>17</v>
      </c>
      <c r="Q87" s="28">
        <v>0</v>
      </c>
      <c r="R87" s="28">
        <v>0</v>
      </c>
      <c r="S87" s="28">
        <v>0</v>
      </c>
      <c r="T87" s="28">
        <v>0</v>
      </c>
      <c r="U87" s="28" t="s">
        <v>74</v>
      </c>
      <c r="V87" s="28" t="s">
        <v>92</v>
      </c>
      <c r="W87" s="7"/>
      <c r="X87" s="10"/>
      <c r="Y87" s="11"/>
      <c r="Z87" s="12"/>
      <c r="AA87" s="12"/>
      <c r="AB87" s="12"/>
      <c r="AC87" s="13"/>
      <c r="AD87" s="7"/>
      <c r="AE87" s="7"/>
      <c r="AF87" s="7"/>
      <c r="AG87" s="7"/>
      <c r="AH87" s="7"/>
      <c r="AI87" s="7"/>
      <c r="AJ87" s="7"/>
      <c r="AK87" s="7"/>
    </row>
    <row r="88" spans="1:37" ht="15" x14ac:dyDescent="0.25">
      <c r="A88" s="14">
        <v>15</v>
      </c>
      <c r="B88" s="4" t="s">
        <v>134</v>
      </c>
      <c r="C88" s="28">
        <v>5</v>
      </c>
      <c r="D88" s="28" t="s">
        <v>40</v>
      </c>
      <c r="E88" s="28"/>
      <c r="F88" s="28" t="s">
        <v>38</v>
      </c>
      <c r="G88" s="28">
        <v>830.87</v>
      </c>
      <c r="H88" s="28">
        <v>258.3</v>
      </c>
      <c r="I88" s="28"/>
      <c r="J88" s="28" t="s">
        <v>90</v>
      </c>
      <c r="K88" s="28">
        <v>273.62</v>
      </c>
      <c r="L88" s="28">
        <v>1</v>
      </c>
      <c r="M88" s="28" t="s">
        <v>73</v>
      </c>
      <c r="N88" s="28">
        <v>163.79</v>
      </c>
      <c r="O88" s="28">
        <v>253.03</v>
      </c>
      <c r="P88" s="28" t="s">
        <v>17</v>
      </c>
      <c r="Q88" s="28">
        <v>0</v>
      </c>
      <c r="R88" s="28">
        <v>0</v>
      </c>
      <c r="S88" s="28">
        <v>0</v>
      </c>
      <c r="T88" s="28">
        <v>0</v>
      </c>
      <c r="U88" s="28" t="s">
        <v>74</v>
      </c>
      <c r="V88" s="28" t="s">
        <v>92</v>
      </c>
      <c r="W88" s="7"/>
      <c r="X88" s="10"/>
      <c r="Y88" s="11"/>
      <c r="Z88" s="12"/>
      <c r="AA88" s="12"/>
      <c r="AB88" s="12"/>
      <c r="AC88" s="13"/>
      <c r="AD88" s="7"/>
      <c r="AE88" s="7"/>
      <c r="AF88" s="7"/>
      <c r="AG88" s="7"/>
      <c r="AH88" s="7"/>
      <c r="AI88" s="7"/>
      <c r="AJ88" s="7"/>
      <c r="AK88" s="7"/>
    </row>
    <row r="89" spans="1:37" ht="15" x14ac:dyDescent="0.25">
      <c r="A89" s="14">
        <v>15</v>
      </c>
      <c r="B89" s="4" t="s">
        <v>134</v>
      </c>
      <c r="C89" s="28">
        <v>6</v>
      </c>
      <c r="D89" s="28" t="s">
        <v>40</v>
      </c>
      <c r="E89" s="28"/>
      <c r="F89" s="28" t="s">
        <v>38</v>
      </c>
      <c r="G89" s="28">
        <v>1104.49</v>
      </c>
      <c r="H89" s="28">
        <v>262.89999999999998</v>
      </c>
      <c r="I89" s="28"/>
      <c r="J89" s="28" t="s">
        <v>90</v>
      </c>
      <c r="K89" s="28">
        <v>191.38</v>
      </c>
      <c r="L89" s="28">
        <v>1</v>
      </c>
      <c r="M89" s="28" t="s">
        <v>73</v>
      </c>
      <c r="N89" s="28">
        <v>280.51</v>
      </c>
      <c r="O89" s="28">
        <v>232.5</v>
      </c>
      <c r="P89" s="28" t="s">
        <v>17</v>
      </c>
      <c r="Q89" s="28">
        <v>0</v>
      </c>
      <c r="R89" s="28">
        <v>0</v>
      </c>
      <c r="S89" s="28">
        <v>0</v>
      </c>
      <c r="T89" s="28">
        <v>0</v>
      </c>
      <c r="U89" s="28" t="s">
        <v>74</v>
      </c>
      <c r="V89" s="28" t="s">
        <v>92</v>
      </c>
      <c r="W89" s="7"/>
      <c r="X89" s="10"/>
      <c r="Y89" s="11"/>
      <c r="Z89" s="12"/>
      <c r="AA89" s="12"/>
      <c r="AB89" s="12"/>
      <c r="AC89" s="13"/>
      <c r="AD89" s="7"/>
      <c r="AE89" s="7"/>
      <c r="AF89" s="7"/>
      <c r="AG89" s="7"/>
      <c r="AH89" s="7"/>
      <c r="AI89" s="7"/>
      <c r="AJ89" s="7"/>
      <c r="AK89" s="7"/>
    </row>
    <row r="90" spans="1:37" ht="15" x14ac:dyDescent="0.25">
      <c r="A90" s="14">
        <v>15</v>
      </c>
      <c r="B90" s="4" t="s">
        <v>134</v>
      </c>
      <c r="C90" s="28">
        <v>7</v>
      </c>
      <c r="D90" s="28" t="s">
        <v>40</v>
      </c>
      <c r="E90" s="28"/>
      <c r="F90" s="28" t="s">
        <v>38</v>
      </c>
      <c r="G90" s="28">
        <v>1295.8800000000001</v>
      </c>
      <c r="H90" s="28">
        <v>259.85000000000002</v>
      </c>
      <c r="I90" s="28"/>
      <c r="J90" s="28" t="s">
        <v>90</v>
      </c>
      <c r="K90" s="28">
        <v>93.48</v>
      </c>
      <c r="L90" s="28">
        <v>1</v>
      </c>
      <c r="M90" s="28" t="s">
        <v>73</v>
      </c>
      <c r="N90" s="28">
        <v>147.09</v>
      </c>
      <c r="O90" s="28">
        <v>142.43</v>
      </c>
      <c r="P90" s="28" t="s">
        <v>17</v>
      </c>
      <c r="Q90" s="28">
        <v>0</v>
      </c>
      <c r="R90" s="28">
        <v>0</v>
      </c>
      <c r="S90" s="28">
        <v>0</v>
      </c>
      <c r="T90" s="28">
        <v>0</v>
      </c>
      <c r="U90" s="28" t="s">
        <v>74</v>
      </c>
      <c r="V90" s="28" t="s">
        <v>92</v>
      </c>
      <c r="W90" s="7"/>
      <c r="X90" s="10"/>
      <c r="Y90" s="11"/>
      <c r="Z90" s="12"/>
      <c r="AA90" s="12"/>
      <c r="AB90" s="12"/>
      <c r="AC90" s="13"/>
      <c r="AD90" s="7"/>
      <c r="AE90" s="7"/>
      <c r="AF90" s="7"/>
      <c r="AG90" s="7"/>
      <c r="AH90" s="7"/>
      <c r="AI90" s="7"/>
      <c r="AJ90" s="7"/>
      <c r="AK90" s="7"/>
    </row>
    <row r="91" spans="1:37" ht="15" x14ac:dyDescent="0.25">
      <c r="A91" s="14">
        <v>15</v>
      </c>
      <c r="B91" s="4" t="s">
        <v>134</v>
      </c>
      <c r="C91" s="28">
        <v>8</v>
      </c>
      <c r="D91" s="28" t="s">
        <v>40</v>
      </c>
      <c r="E91" s="28"/>
      <c r="F91" s="28" t="s">
        <v>38</v>
      </c>
      <c r="G91" s="28">
        <v>1389.36</v>
      </c>
      <c r="H91" s="28">
        <v>256.89</v>
      </c>
      <c r="I91" s="28"/>
      <c r="J91" s="28" t="s">
        <v>90</v>
      </c>
      <c r="K91" s="28">
        <v>308.52999999999997</v>
      </c>
      <c r="L91" s="28">
        <v>1</v>
      </c>
      <c r="M91" s="28" t="s">
        <v>73</v>
      </c>
      <c r="N91" s="28">
        <v>218.82</v>
      </c>
      <c r="O91" s="28">
        <v>201.01</v>
      </c>
      <c r="P91" s="28" t="s">
        <v>17</v>
      </c>
      <c r="Q91" s="28">
        <v>0</v>
      </c>
      <c r="R91" s="28">
        <v>0</v>
      </c>
      <c r="S91" s="28">
        <v>0</v>
      </c>
      <c r="T91" s="28">
        <v>0</v>
      </c>
      <c r="U91" s="28" t="s">
        <v>74</v>
      </c>
      <c r="V91" s="28" t="s">
        <v>92</v>
      </c>
      <c r="W91" s="7"/>
      <c r="X91" s="10"/>
      <c r="Y91" s="11"/>
      <c r="Z91" s="12"/>
      <c r="AA91" s="12"/>
      <c r="AB91" s="12"/>
      <c r="AC91" s="13"/>
      <c r="AD91" s="7"/>
      <c r="AE91" s="7"/>
      <c r="AF91" s="7"/>
      <c r="AG91" s="7"/>
      <c r="AH91" s="7"/>
      <c r="AI91" s="7"/>
      <c r="AJ91" s="7"/>
      <c r="AK91" s="7"/>
    </row>
    <row r="92" spans="1:37" ht="15" x14ac:dyDescent="0.25">
      <c r="A92" s="14">
        <v>15</v>
      </c>
      <c r="B92" s="4" t="s">
        <v>134</v>
      </c>
      <c r="C92" s="28">
        <v>9</v>
      </c>
      <c r="D92" s="28" t="s">
        <v>44</v>
      </c>
      <c r="E92" s="28"/>
      <c r="F92" s="28" t="s">
        <v>38</v>
      </c>
      <c r="G92" s="28">
        <v>1697.89</v>
      </c>
      <c r="H92" s="28">
        <v>249.09</v>
      </c>
      <c r="I92" s="28"/>
      <c r="J92" s="28" t="s">
        <v>90</v>
      </c>
      <c r="K92" s="28">
        <v>206.87</v>
      </c>
      <c r="L92" s="28">
        <v>1</v>
      </c>
      <c r="M92" s="28" t="s">
        <v>75</v>
      </c>
      <c r="N92" s="28">
        <v>245.75</v>
      </c>
      <c r="O92" s="28">
        <v>257.7</v>
      </c>
      <c r="P92" s="28" t="s">
        <v>93</v>
      </c>
      <c r="Q92" s="28">
        <v>0</v>
      </c>
      <c r="R92" s="28">
        <v>0</v>
      </c>
      <c r="S92" s="28">
        <v>0</v>
      </c>
      <c r="T92" s="28">
        <v>0</v>
      </c>
      <c r="U92" s="28" t="s">
        <v>74</v>
      </c>
      <c r="V92" s="28" t="s">
        <v>92</v>
      </c>
      <c r="W92" s="7"/>
      <c r="X92" s="10"/>
      <c r="Y92" s="11"/>
      <c r="Z92" s="12"/>
      <c r="AA92" s="12"/>
      <c r="AB92" s="12"/>
      <c r="AC92" s="13"/>
      <c r="AD92" s="7"/>
      <c r="AE92" s="7"/>
      <c r="AF92" s="7"/>
      <c r="AG92" s="7"/>
      <c r="AH92" s="7"/>
      <c r="AI92" s="7"/>
      <c r="AJ92" s="7"/>
      <c r="AK92" s="7"/>
    </row>
    <row r="93" spans="1:37" ht="15" x14ac:dyDescent="0.25">
      <c r="A93" s="14">
        <v>15</v>
      </c>
      <c r="B93" s="4" t="s">
        <v>134</v>
      </c>
      <c r="C93" s="28">
        <v>10</v>
      </c>
      <c r="D93" s="28" t="s">
        <v>40</v>
      </c>
      <c r="E93" s="28"/>
      <c r="F93" s="28" t="s">
        <v>38</v>
      </c>
      <c r="G93" s="28">
        <v>1904.77</v>
      </c>
      <c r="H93" s="28">
        <v>244.03</v>
      </c>
      <c r="I93" s="28"/>
      <c r="J93" s="28" t="s">
        <v>90</v>
      </c>
      <c r="K93" s="28">
        <v>155.83000000000001</v>
      </c>
      <c r="L93" s="28">
        <v>1</v>
      </c>
      <c r="M93" s="28" t="s">
        <v>73</v>
      </c>
      <c r="N93" s="28">
        <v>55.02</v>
      </c>
      <c r="O93" s="28">
        <v>181.35</v>
      </c>
      <c r="P93" s="28" t="s">
        <v>17</v>
      </c>
      <c r="Q93" s="28">
        <v>0</v>
      </c>
      <c r="R93" s="28">
        <v>0</v>
      </c>
      <c r="S93" s="28">
        <v>0</v>
      </c>
      <c r="T93" s="28">
        <v>0</v>
      </c>
      <c r="U93" s="28" t="s">
        <v>74</v>
      </c>
      <c r="V93" s="28" t="s">
        <v>92</v>
      </c>
      <c r="W93" s="7"/>
      <c r="X93" s="10"/>
      <c r="Y93" s="11"/>
      <c r="Z93" s="12"/>
      <c r="AA93" s="12"/>
      <c r="AB93" s="12"/>
      <c r="AC93" s="13"/>
      <c r="AD93" s="7"/>
      <c r="AE93" s="7"/>
      <c r="AF93" s="7"/>
      <c r="AG93" s="7"/>
      <c r="AH93" s="7"/>
      <c r="AI93" s="7"/>
      <c r="AJ93" s="7"/>
      <c r="AK93" s="7"/>
    </row>
    <row r="94" spans="1:37" ht="15" x14ac:dyDescent="0.25">
      <c r="A94" s="14">
        <v>15</v>
      </c>
      <c r="B94" s="4" t="s">
        <v>134</v>
      </c>
      <c r="C94" s="28">
        <v>11</v>
      </c>
      <c r="D94" s="28" t="s">
        <v>40</v>
      </c>
      <c r="E94" s="28"/>
      <c r="F94" s="28" t="s">
        <v>38</v>
      </c>
      <c r="G94" s="28">
        <v>2060.6</v>
      </c>
      <c r="H94" s="28">
        <v>256.45</v>
      </c>
      <c r="I94" s="28"/>
      <c r="J94" s="28" t="s">
        <v>90</v>
      </c>
      <c r="K94" s="28">
        <v>139.79</v>
      </c>
      <c r="L94" s="28">
        <v>1</v>
      </c>
      <c r="M94" s="28" t="s">
        <v>73</v>
      </c>
      <c r="N94" s="28">
        <v>231.4</v>
      </c>
      <c r="O94" s="28">
        <v>147.81</v>
      </c>
      <c r="P94" s="28" t="s">
        <v>17</v>
      </c>
      <c r="Q94" s="28">
        <v>0</v>
      </c>
      <c r="R94" s="28">
        <v>0</v>
      </c>
      <c r="S94" s="28">
        <v>0</v>
      </c>
      <c r="T94" s="28">
        <v>0</v>
      </c>
      <c r="U94" s="28" t="s">
        <v>74</v>
      </c>
      <c r="V94" s="28" t="s">
        <v>92</v>
      </c>
      <c r="W94" s="7"/>
      <c r="X94" s="10"/>
      <c r="Y94" s="11"/>
      <c r="Z94" s="12"/>
      <c r="AA94" s="12"/>
      <c r="AB94" s="12"/>
      <c r="AC94" s="13"/>
      <c r="AD94" s="7"/>
      <c r="AE94" s="7"/>
      <c r="AF94" s="7"/>
      <c r="AG94" s="7"/>
      <c r="AH94" s="7"/>
      <c r="AI94" s="7"/>
      <c r="AJ94" s="7"/>
      <c r="AK94" s="7"/>
    </row>
    <row r="95" spans="1:37" ht="15" x14ac:dyDescent="0.25">
      <c r="A95" s="14">
        <v>15</v>
      </c>
      <c r="B95" s="4" t="s">
        <v>134</v>
      </c>
      <c r="C95" s="28">
        <v>12</v>
      </c>
      <c r="D95" s="28" t="s">
        <v>40</v>
      </c>
      <c r="E95" s="28"/>
      <c r="F95" s="28" t="s">
        <v>38</v>
      </c>
      <c r="G95" s="28">
        <v>2200.39</v>
      </c>
      <c r="H95" s="28">
        <v>258</v>
      </c>
      <c r="I95" s="28" t="s">
        <v>88</v>
      </c>
      <c r="J95" s="28" t="s">
        <v>160</v>
      </c>
      <c r="K95" s="28">
        <v>160.33000000000001</v>
      </c>
      <c r="L95" s="28">
        <v>1</v>
      </c>
      <c r="M95" s="28" t="s">
        <v>73</v>
      </c>
      <c r="N95" s="28">
        <v>173.68</v>
      </c>
      <c r="O95" s="28">
        <v>150.06</v>
      </c>
      <c r="P95" s="28" t="s">
        <v>17</v>
      </c>
      <c r="Q95" s="28">
        <v>0</v>
      </c>
      <c r="R95" s="28">
        <v>0</v>
      </c>
      <c r="S95" s="28">
        <v>0</v>
      </c>
      <c r="T95" s="28">
        <v>0</v>
      </c>
      <c r="U95" s="28" t="s">
        <v>74</v>
      </c>
      <c r="V95" s="28" t="s">
        <v>92</v>
      </c>
      <c r="W95" s="7"/>
      <c r="X95" s="10"/>
      <c r="Y95" s="11"/>
      <c r="Z95" s="12"/>
      <c r="AA95" s="12"/>
      <c r="AB95" s="12"/>
      <c r="AC95" s="13"/>
      <c r="AD95" s="7"/>
      <c r="AE95" s="7"/>
      <c r="AF95" s="7"/>
      <c r="AG95" s="7"/>
      <c r="AH95" s="7"/>
      <c r="AI95" s="7"/>
      <c r="AJ95" s="7"/>
      <c r="AK95" s="7"/>
    </row>
    <row r="96" spans="1:37" ht="15" x14ac:dyDescent="0.25">
      <c r="A96" s="14">
        <v>15</v>
      </c>
      <c r="B96" s="4" t="s">
        <v>134</v>
      </c>
      <c r="C96" s="28">
        <v>13</v>
      </c>
      <c r="D96" s="28" t="s">
        <v>44</v>
      </c>
      <c r="E96" s="28"/>
      <c r="F96" s="28" t="s">
        <v>38</v>
      </c>
      <c r="G96" s="28">
        <v>2360.7199999999998</v>
      </c>
      <c r="H96" s="28">
        <v>257</v>
      </c>
      <c r="I96" s="28" t="s">
        <v>88</v>
      </c>
      <c r="J96" s="28" t="s">
        <v>161</v>
      </c>
      <c r="K96" s="28">
        <v>113.69</v>
      </c>
      <c r="L96" s="28">
        <v>1</v>
      </c>
      <c r="M96" s="28" t="s">
        <v>75</v>
      </c>
      <c r="N96" s="28">
        <v>96.38</v>
      </c>
      <c r="O96" s="28">
        <v>137.01</v>
      </c>
      <c r="P96" s="28" t="s">
        <v>93</v>
      </c>
      <c r="Q96" s="28">
        <v>0</v>
      </c>
      <c r="R96" s="28">
        <v>0</v>
      </c>
      <c r="S96" s="28">
        <v>0</v>
      </c>
      <c r="T96" s="28">
        <v>0</v>
      </c>
      <c r="U96" s="28" t="s">
        <v>74</v>
      </c>
      <c r="V96" s="28" t="s">
        <v>92</v>
      </c>
      <c r="W96" s="7"/>
      <c r="X96" s="10"/>
      <c r="Y96" s="11"/>
      <c r="Z96" s="12"/>
      <c r="AA96" s="12"/>
      <c r="AB96" s="12"/>
      <c r="AC96" s="13"/>
      <c r="AD96" s="7"/>
      <c r="AE96" s="7"/>
      <c r="AF96" s="7"/>
      <c r="AG96" s="7"/>
      <c r="AH96" s="7"/>
      <c r="AI96" s="7"/>
      <c r="AJ96" s="7"/>
      <c r="AK96" s="7"/>
    </row>
    <row r="97" spans="1:37" ht="15" x14ac:dyDescent="0.25">
      <c r="A97" s="14">
        <v>15</v>
      </c>
      <c r="B97" s="4" t="s">
        <v>134</v>
      </c>
      <c r="C97" s="28">
        <v>14</v>
      </c>
      <c r="D97" s="28" t="s">
        <v>40</v>
      </c>
      <c r="E97" s="28"/>
      <c r="F97" s="28" t="s">
        <v>38</v>
      </c>
      <c r="G97" s="28">
        <v>2474.41</v>
      </c>
      <c r="H97" s="28">
        <v>260.04000000000002</v>
      </c>
      <c r="I97" s="28"/>
      <c r="J97" s="28" t="s">
        <v>90</v>
      </c>
      <c r="K97" s="28">
        <v>120.79</v>
      </c>
      <c r="L97" s="28">
        <v>1</v>
      </c>
      <c r="M97" s="28" t="s">
        <v>73</v>
      </c>
      <c r="N97" s="28">
        <v>183.15</v>
      </c>
      <c r="O97" s="28">
        <v>117.24</v>
      </c>
      <c r="P97" s="28" t="s">
        <v>17</v>
      </c>
      <c r="Q97" s="28">
        <v>0</v>
      </c>
      <c r="R97" s="28">
        <v>0</v>
      </c>
      <c r="S97" s="28">
        <v>0</v>
      </c>
      <c r="T97" s="28">
        <v>0</v>
      </c>
      <c r="U97" s="28" t="s">
        <v>74</v>
      </c>
      <c r="V97" s="28" t="s">
        <v>92</v>
      </c>
      <c r="W97" s="7"/>
      <c r="X97" s="10"/>
      <c r="Y97" s="11"/>
      <c r="Z97" s="12"/>
      <c r="AA97" s="12"/>
      <c r="AB97" s="12"/>
      <c r="AC97" s="13"/>
      <c r="AD97" s="7"/>
      <c r="AE97" s="7"/>
      <c r="AF97" s="7"/>
      <c r="AG97" s="7"/>
      <c r="AH97" s="7"/>
      <c r="AI97" s="7"/>
      <c r="AJ97" s="7"/>
      <c r="AK97" s="7"/>
    </row>
    <row r="98" spans="1:37" ht="15" x14ac:dyDescent="0.25">
      <c r="A98" s="14">
        <v>15</v>
      </c>
      <c r="B98" s="4" t="s">
        <v>134</v>
      </c>
      <c r="C98" s="28">
        <v>15</v>
      </c>
      <c r="D98" s="28" t="s">
        <v>40</v>
      </c>
      <c r="E98" s="28"/>
      <c r="F98" s="28" t="s">
        <v>38</v>
      </c>
      <c r="G98" s="28">
        <v>2595.1999999999998</v>
      </c>
      <c r="H98" s="28">
        <v>255.74</v>
      </c>
      <c r="I98" s="28"/>
      <c r="J98" s="28" t="s">
        <v>90</v>
      </c>
      <c r="K98" s="28">
        <v>295.14</v>
      </c>
      <c r="L98" s="28">
        <v>1</v>
      </c>
      <c r="M98" s="28" t="s">
        <v>73</v>
      </c>
      <c r="N98" s="28">
        <v>185.71</v>
      </c>
      <c r="O98" s="28">
        <v>207.96</v>
      </c>
      <c r="P98" s="28" t="s">
        <v>17</v>
      </c>
      <c r="Q98" s="28">
        <v>0</v>
      </c>
      <c r="R98" s="28">
        <v>0</v>
      </c>
      <c r="S98" s="28">
        <v>0</v>
      </c>
      <c r="T98" s="28">
        <v>0</v>
      </c>
      <c r="U98" s="28" t="s">
        <v>74</v>
      </c>
      <c r="V98" s="28" t="s">
        <v>92</v>
      </c>
      <c r="W98" s="7"/>
      <c r="X98" s="10"/>
      <c r="Y98" s="11"/>
      <c r="Z98" s="12"/>
      <c r="AA98" s="12"/>
      <c r="AB98" s="12"/>
      <c r="AC98" s="13"/>
      <c r="AD98" s="7"/>
      <c r="AE98" s="7"/>
      <c r="AF98" s="7"/>
      <c r="AG98" s="7"/>
      <c r="AH98" s="7"/>
      <c r="AI98" s="7"/>
      <c r="AJ98" s="7"/>
      <c r="AK98" s="7"/>
    </row>
    <row r="99" spans="1:37" ht="15" x14ac:dyDescent="0.25">
      <c r="A99" s="14">
        <v>15</v>
      </c>
      <c r="B99" s="4" t="s">
        <v>134</v>
      </c>
      <c r="C99" s="28">
        <v>16</v>
      </c>
      <c r="D99" s="28" t="s">
        <v>44</v>
      </c>
      <c r="E99" s="28"/>
      <c r="F99" s="28" t="s">
        <v>38</v>
      </c>
      <c r="G99" s="28">
        <v>2890.34</v>
      </c>
      <c r="H99" s="28">
        <v>253.69</v>
      </c>
      <c r="I99" s="28" t="s">
        <v>116</v>
      </c>
      <c r="J99" s="28" t="s">
        <v>162</v>
      </c>
      <c r="K99" s="28">
        <v>109.68</v>
      </c>
      <c r="L99" s="28">
        <v>1</v>
      </c>
      <c r="M99" s="28" t="s">
        <v>75</v>
      </c>
      <c r="N99" s="28">
        <v>173.41</v>
      </c>
      <c r="O99" s="28">
        <v>202.41</v>
      </c>
      <c r="P99" s="28" t="s">
        <v>93</v>
      </c>
      <c r="Q99" s="28">
        <v>0</v>
      </c>
      <c r="R99" s="28">
        <v>0</v>
      </c>
      <c r="S99" s="28">
        <v>0</v>
      </c>
      <c r="T99" s="28">
        <v>0</v>
      </c>
      <c r="U99" s="28" t="s">
        <v>74</v>
      </c>
      <c r="V99" s="28" t="s">
        <v>92</v>
      </c>
      <c r="W99" s="7"/>
      <c r="X99" s="10"/>
      <c r="Y99" s="11"/>
      <c r="Z99" s="12"/>
      <c r="AA99" s="12"/>
      <c r="AB99" s="12"/>
      <c r="AC99" s="13"/>
      <c r="AD99" s="7"/>
      <c r="AE99" s="7"/>
      <c r="AF99" s="7"/>
      <c r="AG99" s="7"/>
      <c r="AH99" s="7"/>
      <c r="AI99" s="7"/>
      <c r="AJ99" s="7"/>
      <c r="AK99" s="7"/>
    </row>
    <row r="100" spans="1:37" ht="15" x14ac:dyDescent="0.25">
      <c r="A100" s="14">
        <v>15</v>
      </c>
      <c r="B100" s="4" t="s">
        <v>134</v>
      </c>
      <c r="C100" s="28">
        <v>17</v>
      </c>
      <c r="D100" s="28" t="s">
        <v>40</v>
      </c>
      <c r="E100" s="28"/>
      <c r="F100" s="28" t="s">
        <v>38</v>
      </c>
      <c r="G100" s="28">
        <v>3000.02</v>
      </c>
      <c r="H100" s="28">
        <v>255.07</v>
      </c>
      <c r="I100" s="28"/>
      <c r="J100" s="28" t="s">
        <v>90</v>
      </c>
      <c r="K100" s="28">
        <v>126.7</v>
      </c>
      <c r="L100" s="28">
        <v>1</v>
      </c>
      <c r="M100" s="28" t="s">
        <v>73</v>
      </c>
      <c r="N100" s="28">
        <v>110.45</v>
      </c>
      <c r="O100" s="28">
        <v>118.19</v>
      </c>
      <c r="P100" s="28" t="s">
        <v>17</v>
      </c>
      <c r="Q100" s="28">
        <v>0</v>
      </c>
      <c r="R100" s="28">
        <v>0</v>
      </c>
      <c r="S100" s="28">
        <v>0</v>
      </c>
      <c r="T100" s="28">
        <v>0</v>
      </c>
      <c r="U100" s="28" t="s">
        <v>74</v>
      </c>
      <c r="V100" s="28" t="s">
        <v>92</v>
      </c>
      <c r="W100" s="7"/>
      <c r="X100" s="10"/>
      <c r="Y100" s="11"/>
      <c r="Z100" s="12"/>
      <c r="AA100" s="12"/>
      <c r="AB100" s="12"/>
      <c r="AC100" s="13"/>
      <c r="AD100" s="7"/>
      <c r="AE100" s="7"/>
      <c r="AF100" s="7"/>
      <c r="AG100" s="7"/>
      <c r="AH100" s="7"/>
      <c r="AI100" s="7"/>
      <c r="AJ100" s="7"/>
      <c r="AK100" s="7"/>
    </row>
    <row r="101" spans="1:37" ht="15" x14ac:dyDescent="0.25">
      <c r="A101" s="14">
        <v>15</v>
      </c>
      <c r="B101" s="4" t="s">
        <v>134</v>
      </c>
      <c r="C101" s="28">
        <v>18</v>
      </c>
      <c r="D101" s="28" t="s">
        <v>40</v>
      </c>
      <c r="E101" s="28"/>
      <c r="F101" s="28" t="s">
        <v>38</v>
      </c>
      <c r="G101" s="28">
        <v>3126.72</v>
      </c>
      <c r="H101" s="28">
        <v>257.91000000000003</v>
      </c>
      <c r="I101" s="28"/>
      <c r="J101" s="28" t="s">
        <v>90</v>
      </c>
      <c r="K101" s="28">
        <v>161.31</v>
      </c>
      <c r="L101" s="28">
        <v>1</v>
      </c>
      <c r="M101" s="28" t="s">
        <v>73</v>
      </c>
      <c r="N101" s="28">
        <v>168.12</v>
      </c>
      <c r="O101" s="28">
        <v>144</v>
      </c>
      <c r="P101" s="28" t="s">
        <v>17</v>
      </c>
      <c r="Q101" s="28">
        <v>0</v>
      </c>
      <c r="R101" s="28">
        <v>0</v>
      </c>
      <c r="S101" s="28">
        <v>0</v>
      </c>
      <c r="T101" s="28">
        <v>0</v>
      </c>
      <c r="U101" s="28" t="s">
        <v>74</v>
      </c>
      <c r="V101" s="28" t="s">
        <v>92</v>
      </c>
      <c r="W101" s="7"/>
      <c r="X101" s="10"/>
      <c r="Y101" s="11"/>
      <c r="Z101" s="12"/>
      <c r="AA101" s="12"/>
      <c r="AB101" s="12"/>
      <c r="AC101" s="13"/>
      <c r="AD101" s="7"/>
      <c r="AE101" s="7"/>
      <c r="AF101" s="7"/>
      <c r="AG101" s="7"/>
      <c r="AH101" s="7"/>
      <c r="AI101" s="7"/>
      <c r="AJ101" s="7"/>
      <c r="AK101" s="7"/>
    </row>
    <row r="102" spans="1:37" ht="15" x14ac:dyDescent="0.25">
      <c r="A102" s="14">
        <v>15</v>
      </c>
      <c r="B102" s="4" t="s">
        <v>134</v>
      </c>
      <c r="C102" s="28">
        <v>19</v>
      </c>
      <c r="D102" s="28" t="s">
        <v>41</v>
      </c>
      <c r="E102" s="28"/>
      <c r="F102" s="28" t="s">
        <v>38</v>
      </c>
      <c r="G102" s="28">
        <v>3288.03</v>
      </c>
      <c r="H102" s="28">
        <v>258.3</v>
      </c>
      <c r="I102" s="28" t="s">
        <v>117</v>
      </c>
      <c r="J102" s="28" t="s">
        <v>118</v>
      </c>
      <c r="K102" s="28">
        <v>147.13999999999999</v>
      </c>
      <c r="L102" s="28">
        <v>1</v>
      </c>
      <c r="M102" s="28" t="s">
        <v>73</v>
      </c>
      <c r="N102" s="28">
        <v>150.53</v>
      </c>
      <c r="O102" s="28">
        <v>154.22</v>
      </c>
      <c r="P102" s="28" t="s">
        <v>91</v>
      </c>
      <c r="Q102" s="28">
        <v>0</v>
      </c>
      <c r="R102" s="28">
        <v>0</v>
      </c>
      <c r="S102" s="28">
        <v>0</v>
      </c>
      <c r="T102" s="28">
        <v>0</v>
      </c>
      <c r="U102" s="28" t="s">
        <v>74</v>
      </c>
      <c r="V102" s="28" t="s">
        <v>92</v>
      </c>
      <c r="W102" s="7"/>
      <c r="X102" s="10"/>
      <c r="Y102" s="11"/>
      <c r="Z102" s="12"/>
      <c r="AA102" s="12"/>
      <c r="AB102" s="12"/>
      <c r="AC102" s="13"/>
      <c r="AD102" s="7"/>
      <c r="AE102" s="7"/>
      <c r="AF102" s="7"/>
      <c r="AG102" s="7"/>
      <c r="AH102" s="7"/>
      <c r="AI102" s="7"/>
      <c r="AJ102" s="7"/>
      <c r="AK102" s="7"/>
    </row>
    <row r="103" spans="1:37" ht="15" x14ac:dyDescent="0.25">
      <c r="A103" s="14">
        <v>15</v>
      </c>
      <c r="B103" s="4" t="s">
        <v>134</v>
      </c>
      <c r="C103" s="28">
        <v>20</v>
      </c>
      <c r="D103" s="28" t="s">
        <v>40</v>
      </c>
      <c r="E103" s="28"/>
      <c r="F103" s="28" t="s">
        <v>38</v>
      </c>
      <c r="G103" s="28">
        <v>3435.16</v>
      </c>
      <c r="H103" s="28">
        <v>258.27999999999997</v>
      </c>
      <c r="I103" s="28"/>
      <c r="J103" s="28" t="s">
        <v>90</v>
      </c>
      <c r="K103" s="28">
        <v>103.89</v>
      </c>
      <c r="L103" s="28">
        <v>1</v>
      </c>
      <c r="M103" s="28" t="s">
        <v>73</v>
      </c>
      <c r="N103" s="28">
        <v>219.97</v>
      </c>
      <c r="O103" s="28">
        <v>125.52</v>
      </c>
      <c r="P103" s="28" t="s">
        <v>17</v>
      </c>
      <c r="Q103" s="28">
        <v>0</v>
      </c>
      <c r="R103" s="28">
        <v>0</v>
      </c>
      <c r="S103" s="28">
        <v>0</v>
      </c>
      <c r="T103" s="28">
        <v>0</v>
      </c>
      <c r="U103" s="28" t="s">
        <v>74</v>
      </c>
      <c r="V103" s="28" t="s">
        <v>92</v>
      </c>
      <c r="W103" s="7"/>
      <c r="X103" s="10"/>
      <c r="Y103" s="11"/>
      <c r="Z103" s="12"/>
      <c r="AA103" s="12"/>
      <c r="AB103" s="12"/>
      <c r="AC103" s="13"/>
      <c r="AD103" s="7"/>
      <c r="AE103" s="7"/>
      <c r="AF103" s="7"/>
      <c r="AG103" s="7"/>
      <c r="AH103" s="7"/>
      <c r="AI103" s="7"/>
      <c r="AJ103" s="7"/>
      <c r="AK103" s="7"/>
    </row>
    <row r="104" spans="1:37" ht="15" x14ac:dyDescent="0.25">
      <c r="A104" s="14">
        <v>15</v>
      </c>
      <c r="B104" s="4" t="s">
        <v>134</v>
      </c>
      <c r="C104" s="28">
        <v>21</v>
      </c>
      <c r="D104" s="28" t="s">
        <v>108</v>
      </c>
      <c r="E104" s="28"/>
      <c r="F104" s="28" t="s">
        <v>38</v>
      </c>
      <c r="G104" s="28">
        <v>3539.06</v>
      </c>
      <c r="H104" s="28">
        <v>246.81</v>
      </c>
      <c r="I104" s="28" t="s">
        <v>119</v>
      </c>
      <c r="J104" s="28" t="s">
        <v>120</v>
      </c>
      <c r="K104" s="28">
        <v>144.34</v>
      </c>
      <c r="L104" s="28">
        <v>1</v>
      </c>
      <c r="M104" s="28" t="s">
        <v>75</v>
      </c>
      <c r="N104" s="28">
        <v>-32.31</v>
      </c>
      <c r="O104" s="28">
        <v>124.11</v>
      </c>
      <c r="P104" s="28" t="s">
        <v>93</v>
      </c>
      <c r="Q104" s="28">
        <v>0</v>
      </c>
      <c r="R104" s="28">
        <v>0</v>
      </c>
      <c r="S104" s="28">
        <v>0</v>
      </c>
      <c r="T104" s="28">
        <v>0</v>
      </c>
      <c r="U104" s="28" t="s">
        <v>74</v>
      </c>
      <c r="V104" s="28" t="s">
        <v>92</v>
      </c>
      <c r="W104" s="7"/>
      <c r="X104" s="10"/>
      <c r="Y104" s="11"/>
      <c r="Z104" s="12"/>
      <c r="AA104" s="12"/>
      <c r="AB104" s="12"/>
      <c r="AC104" s="13"/>
      <c r="AD104" s="7"/>
      <c r="AE104" s="7"/>
      <c r="AF104" s="7"/>
      <c r="AG104" s="7"/>
      <c r="AH104" s="7"/>
      <c r="AI104" s="7"/>
      <c r="AJ104" s="7"/>
      <c r="AK104" s="7"/>
    </row>
    <row r="105" spans="1:37" ht="15" x14ac:dyDescent="0.25">
      <c r="A105" s="14">
        <v>15</v>
      </c>
      <c r="B105" s="4" t="s">
        <v>134</v>
      </c>
      <c r="C105" s="28">
        <v>22</v>
      </c>
      <c r="D105" s="28" t="s">
        <v>40</v>
      </c>
      <c r="E105" s="28"/>
      <c r="F105" s="28" t="s">
        <v>38</v>
      </c>
      <c r="G105" s="28">
        <v>3683.39</v>
      </c>
      <c r="H105" s="28">
        <v>261.33999999999997</v>
      </c>
      <c r="I105" s="28"/>
      <c r="J105" s="28" t="s">
        <v>90</v>
      </c>
      <c r="K105" s="28">
        <v>125.66</v>
      </c>
      <c r="L105" s="28">
        <v>1</v>
      </c>
      <c r="M105" s="28" t="s">
        <v>73</v>
      </c>
      <c r="N105" s="28">
        <v>239.21</v>
      </c>
      <c r="O105" s="28">
        <v>135</v>
      </c>
      <c r="P105" s="28" t="s">
        <v>17</v>
      </c>
      <c r="Q105" s="28">
        <v>0</v>
      </c>
      <c r="R105" s="28">
        <v>0</v>
      </c>
      <c r="S105" s="28">
        <v>0</v>
      </c>
      <c r="T105" s="28">
        <v>0</v>
      </c>
      <c r="U105" s="28" t="s">
        <v>74</v>
      </c>
      <c r="V105" s="28" t="s">
        <v>92</v>
      </c>
      <c r="W105" s="7"/>
      <c r="X105" s="10"/>
      <c r="Y105" s="11"/>
      <c r="Z105" s="12"/>
      <c r="AA105" s="12"/>
      <c r="AB105" s="12"/>
      <c r="AC105" s="13"/>
      <c r="AD105" s="7"/>
      <c r="AE105" s="7"/>
      <c r="AF105" s="7"/>
      <c r="AG105" s="7"/>
      <c r="AH105" s="7"/>
      <c r="AI105" s="7"/>
      <c r="AJ105" s="7"/>
      <c r="AK105" s="7"/>
    </row>
    <row r="106" spans="1:37" ht="15" x14ac:dyDescent="0.25">
      <c r="A106" s="14">
        <v>15</v>
      </c>
      <c r="B106" s="4" t="s">
        <v>134</v>
      </c>
      <c r="C106" s="28">
        <v>23</v>
      </c>
      <c r="D106" s="28" t="s">
        <v>40</v>
      </c>
      <c r="E106" s="28"/>
      <c r="F106" s="28" t="s">
        <v>38</v>
      </c>
      <c r="G106" s="28">
        <v>3809.05</v>
      </c>
      <c r="H106" s="28">
        <v>256.89</v>
      </c>
      <c r="I106" s="28"/>
      <c r="J106" s="28" t="s">
        <v>90</v>
      </c>
      <c r="K106" s="28">
        <v>279.52</v>
      </c>
      <c r="L106" s="28">
        <v>1</v>
      </c>
      <c r="M106" s="28" t="s">
        <v>73</v>
      </c>
      <c r="N106" s="28">
        <v>141.25</v>
      </c>
      <c r="O106" s="28">
        <v>202.59</v>
      </c>
      <c r="P106" s="28" t="s">
        <v>17</v>
      </c>
      <c r="Q106" s="28">
        <v>0</v>
      </c>
      <c r="R106" s="28">
        <v>0</v>
      </c>
      <c r="S106" s="28">
        <v>0</v>
      </c>
      <c r="T106" s="28">
        <v>0</v>
      </c>
      <c r="U106" s="28" t="s">
        <v>74</v>
      </c>
      <c r="V106" s="28" t="s">
        <v>92</v>
      </c>
      <c r="W106" s="7"/>
      <c r="X106" s="10"/>
      <c r="Y106" s="11"/>
      <c r="Z106" s="12"/>
      <c r="AA106" s="12"/>
      <c r="AB106" s="12"/>
      <c r="AC106" s="13"/>
      <c r="AD106" s="7"/>
      <c r="AE106" s="7"/>
      <c r="AF106" s="7"/>
      <c r="AG106" s="7"/>
      <c r="AH106" s="7"/>
      <c r="AI106" s="7"/>
      <c r="AJ106" s="7"/>
      <c r="AK106" s="7"/>
    </row>
    <row r="107" spans="1:37" ht="15" x14ac:dyDescent="0.25">
      <c r="A107" s="14">
        <v>15</v>
      </c>
      <c r="B107" s="7" t="s">
        <v>134</v>
      </c>
      <c r="C107" s="28">
        <v>24</v>
      </c>
      <c r="D107" s="28" t="s">
        <v>40</v>
      </c>
      <c r="E107" s="28"/>
      <c r="F107" s="28" t="s">
        <v>38</v>
      </c>
      <c r="G107" s="28">
        <v>4088.57</v>
      </c>
      <c r="H107" s="28">
        <v>261.27999999999997</v>
      </c>
      <c r="I107" s="28"/>
      <c r="J107" s="28" t="s">
        <v>90</v>
      </c>
      <c r="K107" s="28">
        <v>294.83</v>
      </c>
      <c r="L107" s="28">
        <v>1</v>
      </c>
      <c r="M107" s="28" t="s">
        <v>73</v>
      </c>
      <c r="N107" s="28">
        <v>288.56</v>
      </c>
      <c r="O107" s="28">
        <v>287.17</v>
      </c>
      <c r="P107" s="28" t="s">
        <v>17</v>
      </c>
      <c r="Q107" s="28">
        <v>0</v>
      </c>
      <c r="R107" s="28">
        <v>0</v>
      </c>
      <c r="S107" s="28">
        <v>0</v>
      </c>
      <c r="T107" s="28">
        <v>0</v>
      </c>
      <c r="U107" s="28" t="s">
        <v>74</v>
      </c>
      <c r="V107" s="28" t="s">
        <v>92</v>
      </c>
      <c r="W107" s="23"/>
      <c r="X107" s="23"/>
      <c r="Y107" s="23"/>
      <c r="Z107" s="12"/>
      <c r="AA107" s="12"/>
      <c r="AB107" s="12"/>
      <c r="AC107" s="13"/>
      <c r="AD107" s="7"/>
      <c r="AE107" s="7"/>
      <c r="AF107" s="7"/>
      <c r="AG107" s="7"/>
      <c r="AH107" s="7"/>
      <c r="AI107" s="7"/>
      <c r="AJ107" s="7"/>
      <c r="AK107" s="7"/>
    </row>
    <row r="108" spans="1:37" ht="15" x14ac:dyDescent="0.25">
      <c r="A108" s="14">
        <v>15</v>
      </c>
      <c r="B108" s="7" t="s">
        <v>134</v>
      </c>
      <c r="C108" s="28">
        <v>25</v>
      </c>
      <c r="D108" s="28" t="s">
        <v>40</v>
      </c>
      <c r="E108" s="28"/>
      <c r="F108" s="28" t="s">
        <v>38</v>
      </c>
      <c r="G108" s="28">
        <v>4383.3999999999996</v>
      </c>
      <c r="H108" s="28">
        <v>265.64</v>
      </c>
      <c r="I108" s="28"/>
      <c r="J108" s="28" t="s">
        <v>90</v>
      </c>
      <c r="K108" s="28">
        <v>143.72</v>
      </c>
      <c r="L108" s="28">
        <v>1</v>
      </c>
      <c r="M108" s="28" t="s">
        <v>73</v>
      </c>
      <c r="N108" s="28">
        <v>196.72</v>
      </c>
      <c r="O108" s="28">
        <v>219.28</v>
      </c>
      <c r="P108" s="28" t="s">
        <v>17</v>
      </c>
      <c r="Q108" s="28">
        <v>0</v>
      </c>
      <c r="R108" s="28">
        <v>0</v>
      </c>
      <c r="S108" s="28">
        <v>0</v>
      </c>
      <c r="T108" s="28">
        <v>0</v>
      </c>
      <c r="U108" s="28" t="s">
        <v>74</v>
      </c>
      <c r="V108" s="28" t="s">
        <v>92</v>
      </c>
      <c r="W108" s="23"/>
      <c r="X108" s="23"/>
      <c r="Y108" s="23"/>
      <c r="Z108" s="12"/>
      <c r="AA108" s="12"/>
      <c r="AB108" s="12"/>
      <c r="AC108" s="13"/>
      <c r="AD108" s="7"/>
      <c r="AE108" s="7"/>
      <c r="AF108" s="7"/>
      <c r="AG108" s="7"/>
      <c r="AH108" s="7"/>
      <c r="AI108" s="7"/>
      <c r="AJ108" s="7"/>
      <c r="AK108" s="7"/>
    </row>
    <row r="109" spans="1:37" ht="15" x14ac:dyDescent="0.25">
      <c r="A109" s="14">
        <v>15</v>
      </c>
      <c r="B109" s="7" t="s">
        <v>134</v>
      </c>
      <c r="C109" s="28">
        <v>26</v>
      </c>
      <c r="D109" s="28" t="s">
        <v>40</v>
      </c>
      <c r="E109" s="28"/>
      <c r="F109" s="28" t="s">
        <v>38</v>
      </c>
      <c r="G109" s="28">
        <v>4527.13</v>
      </c>
      <c r="H109" s="28">
        <v>271.5</v>
      </c>
      <c r="I109" s="28"/>
      <c r="J109" s="28" t="s">
        <v>90</v>
      </c>
      <c r="K109" s="28">
        <v>185.75</v>
      </c>
      <c r="L109" s="28">
        <v>1</v>
      </c>
      <c r="M109" s="28" t="s">
        <v>73</v>
      </c>
      <c r="N109" s="28">
        <v>316.99</v>
      </c>
      <c r="O109" s="28">
        <v>164.74</v>
      </c>
      <c r="P109" s="28" t="s">
        <v>17</v>
      </c>
      <c r="Q109" s="28">
        <v>0</v>
      </c>
      <c r="R109" s="28">
        <v>0</v>
      </c>
      <c r="S109" s="28">
        <v>0</v>
      </c>
      <c r="T109" s="28">
        <v>0</v>
      </c>
      <c r="U109" s="28" t="s">
        <v>74</v>
      </c>
      <c r="V109" s="28" t="s">
        <v>92</v>
      </c>
      <c r="W109" s="23"/>
      <c r="X109" s="23"/>
      <c r="Y109" s="23"/>
      <c r="Z109" s="12"/>
      <c r="AA109" s="12"/>
      <c r="AB109" s="12"/>
      <c r="AC109" s="13"/>
      <c r="AD109" s="7"/>
      <c r="AE109" s="7"/>
      <c r="AF109" s="7"/>
      <c r="AG109" s="7"/>
      <c r="AH109" s="7"/>
      <c r="AI109" s="7"/>
      <c r="AJ109" s="7"/>
      <c r="AK109" s="7"/>
    </row>
    <row r="110" spans="1:37" ht="15" x14ac:dyDescent="0.25">
      <c r="A110" s="14">
        <v>15</v>
      </c>
      <c r="B110" s="7" t="s">
        <v>134</v>
      </c>
      <c r="C110" s="28">
        <v>27</v>
      </c>
      <c r="D110" s="28" t="s">
        <v>44</v>
      </c>
      <c r="E110" s="28"/>
      <c r="F110" s="28" t="s">
        <v>38</v>
      </c>
      <c r="G110" s="28">
        <v>4712.88</v>
      </c>
      <c r="H110" s="28">
        <v>257.18</v>
      </c>
      <c r="I110" s="28" t="s">
        <v>121</v>
      </c>
      <c r="J110" s="28" t="s">
        <v>122</v>
      </c>
      <c r="K110" s="28">
        <v>288.82</v>
      </c>
      <c r="L110" s="28">
        <v>1</v>
      </c>
      <c r="M110" s="28" t="s">
        <v>75</v>
      </c>
      <c r="N110" s="28">
        <v>74.59</v>
      </c>
      <c r="O110" s="28">
        <v>237.28</v>
      </c>
      <c r="P110" s="28" t="s">
        <v>93</v>
      </c>
      <c r="Q110" s="28">
        <v>0</v>
      </c>
      <c r="R110" s="28">
        <v>0</v>
      </c>
      <c r="S110" s="28">
        <v>0</v>
      </c>
      <c r="T110" s="28">
        <v>0</v>
      </c>
      <c r="U110" s="28" t="s">
        <v>74</v>
      </c>
      <c r="V110" s="28" t="s">
        <v>92</v>
      </c>
      <c r="W110" s="23"/>
      <c r="X110" s="23"/>
      <c r="Y110" s="23"/>
      <c r="Z110" s="12"/>
      <c r="AA110" s="12"/>
      <c r="AB110" s="12"/>
      <c r="AC110" s="13"/>
      <c r="AD110" s="7"/>
      <c r="AE110" s="7"/>
      <c r="AF110" s="7"/>
      <c r="AG110" s="7"/>
      <c r="AH110" s="7"/>
      <c r="AI110" s="7"/>
      <c r="AJ110" s="7"/>
      <c r="AK110" s="7"/>
    </row>
    <row r="111" spans="1:37" ht="15" x14ac:dyDescent="0.25">
      <c r="A111" s="14">
        <v>15</v>
      </c>
      <c r="B111" s="7" t="s">
        <v>134</v>
      </c>
      <c r="C111" s="28">
        <v>28</v>
      </c>
      <c r="D111" s="28" t="s">
        <v>40</v>
      </c>
      <c r="E111" s="28"/>
      <c r="F111" s="28" t="s">
        <v>38</v>
      </c>
      <c r="G111" s="28">
        <v>5001.6899999999996</v>
      </c>
      <c r="H111" s="28">
        <v>267.3</v>
      </c>
      <c r="I111" s="28"/>
      <c r="J111" s="28" t="s">
        <v>90</v>
      </c>
      <c r="K111" s="28">
        <v>226.28</v>
      </c>
      <c r="L111" s="28">
        <v>1</v>
      </c>
      <c r="M111" s="28" t="s">
        <v>73</v>
      </c>
      <c r="N111" s="28">
        <v>421.02</v>
      </c>
      <c r="O111" s="28">
        <v>257.55</v>
      </c>
      <c r="P111" s="28" t="s">
        <v>17</v>
      </c>
      <c r="Q111" s="28">
        <v>0</v>
      </c>
      <c r="R111" s="28">
        <v>0</v>
      </c>
      <c r="S111" s="28">
        <v>0</v>
      </c>
      <c r="T111" s="28">
        <v>0</v>
      </c>
      <c r="U111" s="28" t="s">
        <v>74</v>
      </c>
      <c r="V111" s="28" t="s">
        <v>92</v>
      </c>
      <c r="W111" s="23"/>
      <c r="X111" s="23"/>
      <c r="Y111" s="23"/>
      <c r="Z111" s="12"/>
      <c r="AA111" s="12"/>
      <c r="AB111" s="12"/>
      <c r="AC111" s="13"/>
      <c r="AD111" s="7"/>
      <c r="AE111" s="7"/>
      <c r="AF111" s="7"/>
      <c r="AG111" s="7"/>
      <c r="AH111" s="7"/>
      <c r="AI111" s="7"/>
      <c r="AJ111" s="7"/>
      <c r="AK111" s="7"/>
    </row>
    <row r="112" spans="1:37" ht="15" x14ac:dyDescent="0.25">
      <c r="A112" s="14">
        <v>15</v>
      </c>
      <c r="B112" s="7" t="s">
        <v>134</v>
      </c>
      <c r="C112" s="28">
        <v>29</v>
      </c>
      <c r="D112" s="28" t="s">
        <v>40</v>
      </c>
      <c r="E112" s="28"/>
      <c r="F112" s="28" t="s">
        <v>38</v>
      </c>
      <c r="G112" s="28">
        <v>5227.97</v>
      </c>
      <c r="H112" s="28">
        <v>250.98</v>
      </c>
      <c r="I112" s="28"/>
      <c r="J112" s="28" t="s">
        <v>90</v>
      </c>
      <c r="K112" s="28">
        <v>395.73</v>
      </c>
      <c r="L112" s="28">
        <v>1</v>
      </c>
      <c r="M112" s="28" t="s">
        <v>73</v>
      </c>
      <c r="N112" s="28">
        <v>146.86000000000001</v>
      </c>
      <c r="O112" s="28">
        <v>311</v>
      </c>
      <c r="P112" s="28" t="s">
        <v>17</v>
      </c>
      <c r="Q112" s="28">
        <v>0</v>
      </c>
      <c r="R112" s="28">
        <v>2</v>
      </c>
      <c r="S112" s="28">
        <v>0</v>
      </c>
      <c r="T112" s="28">
        <v>0</v>
      </c>
      <c r="U112" s="28" t="s">
        <v>74</v>
      </c>
      <c r="V112" s="28" t="s">
        <v>92</v>
      </c>
      <c r="W112" s="23"/>
      <c r="X112" s="23"/>
      <c r="Y112" s="23"/>
      <c r="Z112" s="12"/>
      <c r="AA112" s="12"/>
      <c r="AB112" s="12"/>
      <c r="AC112" s="13"/>
      <c r="AD112" s="7"/>
      <c r="AE112" s="7"/>
      <c r="AF112" s="7"/>
      <c r="AG112" s="7"/>
      <c r="AH112" s="7"/>
      <c r="AI112" s="7"/>
      <c r="AJ112" s="7"/>
      <c r="AK112" s="7"/>
    </row>
    <row r="113" spans="1:37" ht="15" x14ac:dyDescent="0.25">
      <c r="A113" s="14">
        <v>15</v>
      </c>
      <c r="B113" s="7" t="s">
        <v>134</v>
      </c>
      <c r="C113" s="28">
        <v>30</v>
      </c>
      <c r="D113" s="28" t="s">
        <v>40</v>
      </c>
      <c r="E113" s="28"/>
      <c r="F113" s="28" t="s">
        <v>38</v>
      </c>
      <c r="G113" s="28">
        <v>5623.7</v>
      </c>
      <c r="H113" s="28">
        <v>264.74</v>
      </c>
      <c r="I113" s="28"/>
      <c r="J113" s="28" t="s">
        <v>90</v>
      </c>
      <c r="K113" s="28">
        <v>240.4</v>
      </c>
      <c r="L113" s="28">
        <v>1</v>
      </c>
      <c r="M113" s="28" t="s">
        <v>73</v>
      </c>
      <c r="N113" s="28">
        <v>452.08</v>
      </c>
      <c r="O113" s="28">
        <v>318.06</v>
      </c>
      <c r="P113" s="28" t="s">
        <v>17</v>
      </c>
      <c r="Q113" s="28">
        <v>0</v>
      </c>
      <c r="R113" s="28">
        <v>0</v>
      </c>
      <c r="S113" s="28">
        <v>0</v>
      </c>
      <c r="T113" s="28">
        <v>0</v>
      </c>
      <c r="U113" s="28" t="s">
        <v>74</v>
      </c>
      <c r="V113" s="28" t="s">
        <v>92</v>
      </c>
      <c r="W113" s="23"/>
      <c r="X113" s="23"/>
      <c r="Y113" s="23"/>
      <c r="Z113" s="12"/>
      <c r="AA113" s="12"/>
      <c r="AB113" s="12"/>
      <c r="AC113" s="13"/>
      <c r="AD113" s="7"/>
      <c r="AE113" s="7"/>
      <c r="AF113" s="7"/>
      <c r="AG113" s="7"/>
      <c r="AH113" s="7"/>
      <c r="AI113" s="7"/>
      <c r="AJ113" s="7"/>
      <c r="AK113" s="7"/>
    </row>
    <row r="114" spans="1:37" ht="15" x14ac:dyDescent="0.25">
      <c r="A114" s="14">
        <v>15</v>
      </c>
      <c r="B114" s="7" t="s">
        <v>134</v>
      </c>
      <c r="C114" s="28">
        <v>31</v>
      </c>
      <c r="D114" s="28" t="s">
        <v>40</v>
      </c>
      <c r="E114" s="28"/>
      <c r="F114" s="28" t="s">
        <v>38</v>
      </c>
      <c r="G114" s="28">
        <v>5864.1</v>
      </c>
      <c r="H114" s="28">
        <v>252.99</v>
      </c>
      <c r="I114" s="28"/>
      <c r="J114" s="28" t="s">
        <v>90</v>
      </c>
      <c r="K114" s="28">
        <v>273.85000000000002</v>
      </c>
      <c r="L114" s="28">
        <v>1</v>
      </c>
      <c r="M114" s="28" t="s">
        <v>73</v>
      </c>
      <c r="N114" s="28">
        <v>65.62</v>
      </c>
      <c r="O114" s="28">
        <v>257.12</v>
      </c>
      <c r="P114" s="28" t="s">
        <v>17</v>
      </c>
      <c r="Q114" s="28">
        <v>0</v>
      </c>
      <c r="R114" s="28">
        <v>0</v>
      </c>
      <c r="S114" s="28">
        <v>0</v>
      </c>
      <c r="T114" s="28">
        <v>0</v>
      </c>
      <c r="U114" s="28" t="s">
        <v>74</v>
      </c>
      <c r="V114" s="28" t="s">
        <v>92</v>
      </c>
      <c r="W114" s="23"/>
      <c r="X114" s="23"/>
      <c r="Y114" s="23"/>
      <c r="Z114" s="12"/>
      <c r="AA114" s="12"/>
      <c r="AB114" s="12"/>
      <c r="AC114" s="13"/>
      <c r="AD114" s="7"/>
      <c r="AE114" s="7"/>
      <c r="AF114" s="7"/>
      <c r="AG114" s="7"/>
      <c r="AH114" s="7"/>
      <c r="AI114" s="7"/>
      <c r="AJ114" s="7"/>
      <c r="AK114" s="7"/>
    </row>
    <row r="115" spans="1:37" ht="15" x14ac:dyDescent="0.25">
      <c r="A115" s="14">
        <v>15</v>
      </c>
      <c r="B115" s="7" t="s">
        <v>134</v>
      </c>
      <c r="C115" s="28">
        <v>32</v>
      </c>
      <c r="D115" s="28" t="s">
        <v>40</v>
      </c>
      <c r="E115" s="28"/>
      <c r="F115" s="28" t="s">
        <v>38</v>
      </c>
      <c r="G115" s="28">
        <v>6137.94</v>
      </c>
      <c r="H115" s="28">
        <v>273.99</v>
      </c>
      <c r="I115" s="28"/>
      <c r="J115" s="28" t="s">
        <v>90</v>
      </c>
      <c r="K115" s="28">
        <v>126.31</v>
      </c>
      <c r="L115" s="28">
        <v>1</v>
      </c>
      <c r="M115" s="28" t="s">
        <v>73</v>
      </c>
      <c r="N115" s="28">
        <v>335.67</v>
      </c>
      <c r="O115" s="28">
        <v>200.08</v>
      </c>
      <c r="P115" s="28" t="s">
        <v>17</v>
      </c>
      <c r="Q115" s="28">
        <v>0</v>
      </c>
      <c r="R115" s="28">
        <v>0</v>
      </c>
      <c r="S115" s="28">
        <v>0</v>
      </c>
      <c r="T115" s="28">
        <v>0</v>
      </c>
      <c r="U115" s="28" t="s">
        <v>74</v>
      </c>
      <c r="V115" s="28" t="s">
        <v>92</v>
      </c>
      <c r="W115" s="23"/>
      <c r="X115" s="23"/>
      <c r="Y115" s="23"/>
      <c r="Z115" s="12"/>
      <c r="AA115" s="12"/>
      <c r="AB115" s="12"/>
      <c r="AC115" s="13"/>
      <c r="AD115" s="7"/>
      <c r="AE115" s="7"/>
      <c r="AF115" s="7"/>
      <c r="AG115" s="7"/>
      <c r="AH115" s="7"/>
      <c r="AI115" s="7"/>
      <c r="AJ115" s="7"/>
      <c r="AK115" s="7"/>
    </row>
    <row r="116" spans="1:37" ht="15" x14ac:dyDescent="0.25">
      <c r="A116" s="14">
        <v>15</v>
      </c>
      <c r="B116" s="7" t="s">
        <v>134</v>
      </c>
      <c r="C116" s="28">
        <v>33</v>
      </c>
      <c r="D116" s="28" t="s">
        <v>108</v>
      </c>
      <c r="E116" s="28"/>
      <c r="F116" s="28" t="s">
        <v>38</v>
      </c>
      <c r="G116" s="28">
        <v>6264.25</v>
      </c>
      <c r="H116" s="28">
        <v>272.60000000000002</v>
      </c>
      <c r="I116" s="28" t="s">
        <v>123</v>
      </c>
      <c r="J116" s="28" t="s">
        <v>124</v>
      </c>
      <c r="K116" s="28">
        <v>183.49</v>
      </c>
      <c r="L116" s="28">
        <v>1</v>
      </c>
      <c r="M116" s="28" t="s">
        <v>75</v>
      </c>
      <c r="N116" s="28">
        <v>97.99</v>
      </c>
      <c r="O116" s="28">
        <v>154.9</v>
      </c>
      <c r="P116" s="28" t="s">
        <v>93</v>
      </c>
      <c r="Q116" s="28">
        <v>0</v>
      </c>
      <c r="R116" s="28">
        <v>0</v>
      </c>
      <c r="S116" s="28">
        <v>0</v>
      </c>
      <c r="T116" s="28">
        <v>0</v>
      </c>
      <c r="U116" s="28" t="s">
        <v>74</v>
      </c>
      <c r="V116" s="28" t="s">
        <v>92</v>
      </c>
      <c r="W116" s="23"/>
      <c r="X116" s="23"/>
      <c r="Y116" s="23"/>
      <c r="Z116" s="12"/>
      <c r="AA116" s="12"/>
      <c r="AB116" s="12"/>
      <c r="AC116" s="13"/>
      <c r="AD116" s="7"/>
      <c r="AE116" s="7"/>
      <c r="AF116" s="7"/>
      <c r="AG116" s="7"/>
      <c r="AH116" s="7"/>
      <c r="AI116" s="7"/>
      <c r="AJ116" s="7"/>
      <c r="AK116" s="7"/>
    </row>
    <row r="117" spans="1:37" ht="15" x14ac:dyDescent="0.25">
      <c r="A117" s="14">
        <v>15</v>
      </c>
      <c r="B117" s="7" t="s">
        <v>134</v>
      </c>
      <c r="C117" s="28">
        <v>34</v>
      </c>
      <c r="D117" s="28" t="s">
        <v>40</v>
      </c>
      <c r="E117" s="28"/>
      <c r="F117" s="28" t="s">
        <v>38</v>
      </c>
      <c r="G117" s="28">
        <v>6447.74</v>
      </c>
      <c r="H117" s="28">
        <v>277.98</v>
      </c>
      <c r="I117" s="28"/>
      <c r="J117" s="28" t="s">
        <v>90</v>
      </c>
      <c r="K117" s="28">
        <v>228.94</v>
      </c>
      <c r="L117" s="28">
        <v>1</v>
      </c>
      <c r="M117" s="28" t="s">
        <v>73</v>
      </c>
      <c r="N117" s="28">
        <v>307.38</v>
      </c>
      <c r="O117" s="28">
        <v>206.22</v>
      </c>
      <c r="P117" s="28" t="s">
        <v>17</v>
      </c>
      <c r="Q117" s="28">
        <v>0</v>
      </c>
      <c r="R117" s="28">
        <v>0</v>
      </c>
      <c r="S117" s="28">
        <v>0</v>
      </c>
      <c r="T117" s="28">
        <v>0</v>
      </c>
      <c r="U117" s="28" t="s">
        <v>74</v>
      </c>
      <c r="V117" s="28" t="s">
        <v>92</v>
      </c>
      <c r="W117" s="23"/>
      <c r="X117" s="23"/>
      <c r="Y117" s="23"/>
      <c r="Z117" s="12"/>
      <c r="AA117" s="12"/>
      <c r="AB117" s="12"/>
      <c r="AC117" s="13"/>
      <c r="AD117" s="7"/>
      <c r="AE117" s="7"/>
      <c r="AF117" s="7"/>
      <c r="AG117" s="7"/>
      <c r="AH117" s="7"/>
      <c r="AI117" s="7"/>
      <c r="AJ117" s="7"/>
      <c r="AK117" s="7"/>
    </row>
    <row r="118" spans="1:37" ht="15" x14ac:dyDescent="0.25">
      <c r="A118" s="14">
        <v>15</v>
      </c>
      <c r="B118" s="7" t="s">
        <v>134</v>
      </c>
      <c r="C118" s="28">
        <v>35</v>
      </c>
      <c r="D118" s="28" t="s">
        <v>40</v>
      </c>
      <c r="E118" s="28"/>
      <c r="F118" s="28" t="s">
        <v>38</v>
      </c>
      <c r="G118" s="28">
        <v>6676.68</v>
      </c>
      <c r="H118" s="28">
        <v>268.7</v>
      </c>
      <c r="I118" s="28"/>
      <c r="J118" s="28" t="s">
        <v>90</v>
      </c>
      <c r="K118" s="28">
        <v>297.3</v>
      </c>
      <c r="L118" s="28">
        <v>1</v>
      </c>
      <c r="M118" s="28" t="s">
        <v>73</v>
      </c>
      <c r="N118" s="28">
        <v>225.8</v>
      </c>
      <c r="O118" s="28">
        <v>263.12</v>
      </c>
      <c r="P118" s="28" t="s">
        <v>17</v>
      </c>
      <c r="Q118" s="28">
        <v>0</v>
      </c>
      <c r="R118" s="28">
        <v>0</v>
      </c>
      <c r="S118" s="28">
        <v>0</v>
      </c>
      <c r="T118" s="28">
        <v>0</v>
      </c>
      <c r="U118" s="28" t="s">
        <v>74</v>
      </c>
      <c r="V118" s="28" t="s">
        <v>92</v>
      </c>
      <c r="W118" s="23"/>
      <c r="X118" s="23"/>
      <c r="Y118" s="23"/>
      <c r="Z118" s="12"/>
      <c r="AA118" s="12"/>
      <c r="AB118" s="12"/>
      <c r="AC118" s="13"/>
      <c r="AD118" s="7"/>
      <c r="AE118" s="7"/>
      <c r="AF118" s="7"/>
      <c r="AG118" s="7"/>
      <c r="AH118" s="7"/>
      <c r="AI118" s="7"/>
      <c r="AJ118" s="7"/>
      <c r="AK118" s="7"/>
    </row>
    <row r="119" spans="1:37" ht="15" x14ac:dyDescent="0.25">
      <c r="A119" s="14">
        <v>15</v>
      </c>
      <c r="B119" s="7" t="s">
        <v>134</v>
      </c>
      <c r="C119" s="28">
        <v>36</v>
      </c>
      <c r="D119" s="28" t="s">
        <v>40</v>
      </c>
      <c r="E119" s="28"/>
      <c r="F119" s="28" t="s">
        <v>38</v>
      </c>
      <c r="G119" s="28">
        <v>6973.98</v>
      </c>
      <c r="H119" s="28">
        <v>264.76</v>
      </c>
      <c r="I119" s="28"/>
      <c r="J119" s="28" t="s">
        <v>90</v>
      </c>
      <c r="K119" s="28">
        <v>120.16</v>
      </c>
      <c r="L119" s="28">
        <v>1</v>
      </c>
      <c r="M119" s="28" t="s">
        <v>73</v>
      </c>
      <c r="N119" s="28">
        <v>145.41999999999999</v>
      </c>
      <c r="O119" s="28">
        <v>208.73</v>
      </c>
      <c r="P119" s="28" t="s">
        <v>17</v>
      </c>
      <c r="Q119" s="28">
        <v>0</v>
      </c>
      <c r="R119" s="28">
        <v>0</v>
      </c>
      <c r="S119" s="28">
        <v>0</v>
      </c>
      <c r="T119" s="28">
        <v>0</v>
      </c>
      <c r="U119" s="28" t="s">
        <v>74</v>
      </c>
      <c r="V119" s="28" t="s">
        <v>92</v>
      </c>
      <c r="W119" s="23"/>
      <c r="X119" s="23"/>
      <c r="Y119" s="23"/>
      <c r="Z119" s="12"/>
      <c r="AA119" s="12"/>
      <c r="AB119" s="12"/>
      <c r="AC119" s="13"/>
      <c r="AD119" s="7"/>
      <c r="AE119" s="7"/>
      <c r="AF119" s="7"/>
      <c r="AG119" s="7"/>
      <c r="AH119" s="7"/>
      <c r="AI119" s="7"/>
      <c r="AJ119" s="7"/>
      <c r="AK119" s="7"/>
    </row>
    <row r="120" spans="1:37" ht="15" x14ac:dyDescent="0.25">
      <c r="A120" s="14">
        <v>15</v>
      </c>
      <c r="B120" s="7" t="s">
        <v>134</v>
      </c>
      <c r="C120" s="28">
        <v>37</v>
      </c>
      <c r="D120" s="28" t="s">
        <v>45</v>
      </c>
      <c r="E120" s="28"/>
      <c r="F120" s="28" t="s">
        <v>38</v>
      </c>
      <c r="G120" s="28">
        <v>7094.14</v>
      </c>
      <c r="H120" s="28">
        <v>269.8</v>
      </c>
      <c r="I120" s="28" t="s">
        <v>125</v>
      </c>
      <c r="J120" s="28" t="s">
        <v>126</v>
      </c>
      <c r="K120" s="28">
        <v>325.31</v>
      </c>
      <c r="L120" s="28">
        <v>1</v>
      </c>
      <c r="M120" s="28" t="s">
        <v>73</v>
      </c>
      <c r="N120" s="28">
        <v>345.57</v>
      </c>
      <c r="O120" s="28">
        <v>222.73</v>
      </c>
      <c r="P120" s="28" t="s">
        <v>91</v>
      </c>
      <c r="Q120" s="28">
        <v>0</v>
      </c>
      <c r="R120" s="28">
        <v>2</v>
      </c>
      <c r="S120" s="28">
        <v>0</v>
      </c>
      <c r="T120" s="28">
        <v>0</v>
      </c>
      <c r="U120" s="28" t="s">
        <v>74</v>
      </c>
      <c r="V120" s="28" t="s">
        <v>92</v>
      </c>
      <c r="W120" s="23"/>
      <c r="X120" s="23"/>
      <c r="Y120" s="23"/>
      <c r="Z120" s="12"/>
      <c r="AA120" s="12"/>
      <c r="AB120" s="12"/>
      <c r="AC120" s="13"/>
      <c r="AD120" s="7"/>
      <c r="AE120" s="7"/>
      <c r="AF120" s="7"/>
      <c r="AG120" s="7"/>
      <c r="AH120" s="7"/>
      <c r="AI120" s="7"/>
      <c r="AJ120" s="7"/>
      <c r="AK120" s="7"/>
    </row>
    <row r="121" spans="1:37" ht="15" x14ac:dyDescent="0.25">
      <c r="A121" s="14">
        <v>15</v>
      </c>
      <c r="B121" s="7" t="s">
        <v>134</v>
      </c>
      <c r="C121" s="28">
        <v>38</v>
      </c>
      <c r="D121" s="28" t="s">
        <v>40</v>
      </c>
      <c r="E121" s="28"/>
      <c r="F121" s="28" t="s">
        <v>38</v>
      </c>
      <c r="G121" s="28">
        <v>7419.45</v>
      </c>
      <c r="H121" s="28">
        <v>254.05</v>
      </c>
      <c r="I121" s="28"/>
      <c r="J121" s="28" t="s">
        <v>90</v>
      </c>
      <c r="K121" s="28">
        <v>144.22999999999999</v>
      </c>
      <c r="L121" s="28">
        <v>1</v>
      </c>
      <c r="M121" s="28" t="s">
        <v>73</v>
      </c>
      <c r="N121" s="28">
        <v>227.48</v>
      </c>
      <c r="O121" s="28">
        <v>234.77</v>
      </c>
      <c r="P121" s="28" t="s">
        <v>17</v>
      </c>
      <c r="Q121" s="28">
        <v>0</v>
      </c>
      <c r="R121" s="28">
        <v>0</v>
      </c>
      <c r="S121" s="28">
        <v>0</v>
      </c>
      <c r="T121" s="28">
        <v>0</v>
      </c>
      <c r="U121" s="28" t="s">
        <v>74</v>
      </c>
      <c r="V121" s="28" t="s">
        <v>92</v>
      </c>
      <c r="W121" s="23"/>
      <c r="X121" s="23"/>
      <c r="Y121" s="23"/>
      <c r="Z121" s="12"/>
      <c r="AA121" s="12"/>
      <c r="AB121" s="12"/>
      <c r="AC121" s="13"/>
      <c r="AD121" s="7"/>
      <c r="AE121" s="7"/>
      <c r="AF121" s="7"/>
      <c r="AG121" s="7"/>
      <c r="AH121" s="7"/>
      <c r="AI121" s="7"/>
      <c r="AJ121" s="7"/>
      <c r="AK121" s="7"/>
    </row>
    <row r="122" spans="1:37" ht="15" x14ac:dyDescent="0.25">
      <c r="A122" s="14">
        <v>15</v>
      </c>
      <c r="B122" s="7" t="s">
        <v>134</v>
      </c>
      <c r="C122" s="28">
        <v>39</v>
      </c>
      <c r="D122" s="28" t="s">
        <v>40</v>
      </c>
      <c r="E122" s="28"/>
      <c r="F122" s="28" t="s">
        <v>38</v>
      </c>
      <c r="G122" s="28">
        <v>7563.68</v>
      </c>
      <c r="H122" s="28">
        <v>244.98</v>
      </c>
      <c r="I122" s="28"/>
      <c r="J122" s="28" t="s">
        <v>90</v>
      </c>
      <c r="K122" s="28">
        <v>155.69999999999999</v>
      </c>
      <c r="L122" s="28">
        <v>1</v>
      </c>
      <c r="M122" s="28" t="s">
        <v>73</v>
      </c>
      <c r="N122" s="28">
        <v>-0.21</v>
      </c>
      <c r="O122" s="28">
        <v>149.96</v>
      </c>
      <c r="P122" s="28" t="s">
        <v>17</v>
      </c>
      <c r="Q122" s="28">
        <v>0</v>
      </c>
      <c r="R122" s="28">
        <v>0</v>
      </c>
      <c r="S122" s="28">
        <v>0</v>
      </c>
      <c r="T122" s="28">
        <v>0</v>
      </c>
      <c r="U122" s="28" t="s">
        <v>74</v>
      </c>
      <c r="V122" s="28" t="s">
        <v>92</v>
      </c>
      <c r="W122" s="23"/>
      <c r="X122" s="23"/>
      <c r="Y122" s="23"/>
      <c r="Z122" s="12"/>
      <c r="AA122" s="12"/>
      <c r="AB122" s="12"/>
      <c r="AC122" s="13"/>
      <c r="AD122" s="7"/>
      <c r="AE122" s="7"/>
      <c r="AF122" s="7"/>
      <c r="AG122" s="7"/>
      <c r="AH122" s="7"/>
      <c r="AI122" s="7"/>
      <c r="AJ122" s="7"/>
      <c r="AK122" s="7"/>
    </row>
    <row r="123" spans="1:37" ht="15" x14ac:dyDescent="0.25">
      <c r="A123" s="14">
        <v>15</v>
      </c>
      <c r="B123" s="7" t="s">
        <v>134</v>
      </c>
      <c r="C123" s="28">
        <v>40</v>
      </c>
      <c r="D123" s="28" t="s">
        <v>78</v>
      </c>
      <c r="E123" s="28"/>
      <c r="F123" s="28" t="s">
        <v>38</v>
      </c>
      <c r="G123" s="28">
        <v>7719.38</v>
      </c>
      <c r="H123" s="28">
        <v>255.62</v>
      </c>
      <c r="I123" s="28" t="s">
        <v>163</v>
      </c>
      <c r="J123" s="28" t="s">
        <v>90</v>
      </c>
      <c r="K123" s="28">
        <v>0</v>
      </c>
      <c r="L123" s="28">
        <v>1</v>
      </c>
      <c r="M123" s="28" t="s">
        <v>75</v>
      </c>
      <c r="N123" s="28">
        <v>156.63999999999999</v>
      </c>
      <c r="O123" s="28">
        <v>77.849999999999994</v>
      </c>
      <c r="P123" s="28" t="s">
        <v>91</v>
      </c>
      <c r="Q123" s="28">
        <v>0</v>
      </c>
      <c r="R123" s="28">
        <v>0</v>
      </c>
      <c r="S123" s="28">
        <v>0</v>
      </c>
      <c r="T123" s="28">
        <v>0</v>
      </c>
      <c r="U123" s="28" t="s">
        <v>74</v>
      </c>
      <c r="V123" s="28" t="s">
        <v>92</v>
      </c>
      <c r="W123" s="23"/>
      <c r="X123" s="23"/>
      <c r="Y123" s="23"/>
      <c r="Z123" s="12"/>
      <c r="AA123" s="12"/>
      <c r="AB123" s="12"/>
      <c r="AC123" s="13"/>
      <c r="AD123" s="7"/>
      <c r="AE123" s="7"/>
      <c r="AF123" s="7"/>
      <c r="AG123" s="7"/>
      <c r="AH123" s="7"/>
      <c r="AI123" s="7"/>
      <c r="AJ123" s="7"/>
      <c r="AK123" s="7"/>
    </row>
    <row r="124" spans="1:37" ht="15" x14ac:dyDescent="0.25">
      <c r="A124" s="14"/>
      <c r="B124" s="7"/>
      <c r="C124" s="23"/>
      <c r="D124" s="9"/>
      <c r="E124" s="23"/>
      <c r="F124" s="23"/>
      <c r="G124" s="23"/>
      <c r="H124" s="23"/>
      <c r="I124" s="23"/>
      <c r="J124" s="23"/>
      <c r="K124" s="23"/>
      <c r="L124" s="23"/>
      <c r="M124" s="9"/>
      <c r="N124" s="23"/>
      <c r="O124" s="23"/>
      <c r="P124" s="23"/>
      <c r="Q124" s="23"/>
      <c r="R124" s="23"/>
      <c r="S124" s="23"/>
      <c r="T124" s="23"/>
      <c r="U124" s="9"/>
      <c r="V124" s="9"/>
      <c r="W124" s="23"/>
      <c r="X124" s="23"/>
      <c r="Y124" s="23"/>
      <c r="Z124" s="12"/>
      <c r="AA124" s="12"/>
      <c r="AB124" s="12"/>
      <c r="AC124" s="13"/>
      <c r="AD124" s="7"/>
      <c r="AE124" s="7"/>
      <c r="AF124" s="7"/>
      <c r="AG124" s="7"/>
      <c r="AH124" s="7"/>
      <c r="AI124" s="7"/>
      <c r="AJ124" s="7"/>
      <c r="AK124" s="7"/>
    </row>
    <row r="125" spans="1:37" ht="15" x14ac:dyDescent="0.25">
      <c r="A125" s="14"/>
      <c r="B125" s="7"/>
      <c r="C125" s="23"/>
      <c r="D125" s="9"/>
      <c r="E125" s="23"/>
      <c r="F125" s="23"/>
      <c r="G125" s="23"/>
      <c r="H125" s="23"/>
      <c r="I125" s="23"/>
      <c r="J125" s="23"/>
      <c r="K125" s="23"/>
      <c r="L125" s="23"/>
      <c r="M125" s="9"/>
      <c r="N125" s="23"/>
      <c r="O125" s="23"/>
      <c r="P125" s="23"/>
      <c r="Q125" s="23"/>
      <c r="R125" s="23"/>
      <c r="S125" s="23"/>
      <c r="T125" s="23"/>
      <c r="U125" s="9"/>
      <c r="V125" s="9"/>
      <c r="W125" s="23"/>
      <c r="X125" s="23"/>
      <c r="Y125" s="23"/>
      <c r="Z125" s="12"/>
      <c r="AA125" s="12"/>
      <c r="AB125" s="12"/>
      <c r="AC125" s="13"/>
      <c r="AD125" s="7"/>
      <c r="AE125" s="7"/>
      <c r="AF125" s="7"/>
      <c r="AG125" s="7"/>
      <c r="AH125" s="7"/>
      <c r="AI125" s="7"/>
      <c r="AJ125" s="7"/>
      <c r="AK125" s="7"/>
    </row>
    <row r="126" spans="1:37" ht="15" x14ac:dyDescent="0.25">
      <c r="A126" s="14"/>
      <c r="B126" s="7"/>
      <c r="C126" s="23"/>
      <c r="D126" s="9"/>
      <c r="E126" s="23"/>
      <c r="F126" s="23"/>
      <c r="G126" s="23"/>
      <c r="H126" s="23"/>
      <c r="I126" s="23"/>
      <c r="J126" s="23"/>
      <c r="K126" s="23"/>
      <c r="L126" s="23"/>
      <c r="M126" s="9"/>
      <c r="N126" s="23"/>
      <c r="O126" s="23"/>
      <c r="P126" s="23"/>
      <c r="Q126" s="23"/>
      <c r="R126" s="23"/>
      <c r="S126" s="23"/>
      <c r="T126" s="23"/>
      <c r="U126" s="9"/>
      <c r="V126" s="9"/>
      <c r="W126" s="23"/>
      <c r="X126" s="23"/>
      <c r="Y126" s="23"/>
      <c r="Z126" s="12"/>
      <c r="AA126" s="12"/>
      <c r="AB126" s="12"/>
      <c r="AC126" s="13"/>
      <c r="AD126" s="7"/>
      <c r="AE126" s="7"/>
      <c r="AF126" s="7"/>
      <c r="AG126" s="7"/>
      <c r="AH126" s="7"/>
      <c r="AI126" s="7"/>
      <c r="AJ126" s="7"/>
      <c r="AK126" s="7"/>
    </row>
    <row r="127" spans="1:37" ht="15" x14ac:dyDescent="0.25">
      <c r="A127" s="14"/>
      <c r="B127" s="7"/>
      <c r="C127" s="23"/>
      <c r="D127" s="9"/>
      <c r="E127" s="23"/>
      <c r="F127" s="23"/>
      <c r="G127" s="23"/>
      <c r="H127" s="23"/>
      <c r="I127" s="23"/>
      <c r="J127" s="23"/>
      <c r="K127" s="23"/>
      <c r="L127" s="23"/>
      <c r="M127" s="9"/>
      <c r="N127" s="23"/>
      <c r="O127" s="23"/>
      <c r="P127" s="23"/>
      <c r="Q127" s="23"/>
      <c r="R127" s="23"/>
      <c r="S127" s="23"/>
      <c r="T127" s="23"/>
      <c r="U127" s="9"/>
      <c r="V127" s="9"/>
      <c r="W127" s="23"/>
      <c r="X127" s="23"/>
      <c r="Y127" s="23"/>
      <c r="Z127" s="12"/>
      <c r="AA127" s="12"/>
      <c r="AB127" s="12"/>
      <c r="AC127" s="13"/>
      <c r="AD127" s="7"/>
      <c r="AE127" s="7"/>
      <c r="AF127" s="7"/>
      <c r="AG127" s="7"/>
      <c r="AH127" s="7"/>
      <c r="AI127" s="7"/>
      <c r="AJ127" s="7"/>
      <c r="AK127" s="7"/>
    </row>
    <row r="128" spans="1:37" ht="15" x14ac:dyDescent="0.25">
      <c r="A128" s="14"/>
      <c r="B128" s="7"/>
      <c r="C128" s="23"/>
      <c r="D128" s="9"/>
      <c r="E128" s="23"/>
      <c r="F128" s="23"/>
      <c r="G128" s="23"/>
      <c r="H128" s="23"/>
      <c r="I128" s="23"/>
      <c r="J128" s="23"/>
      <c r="K128" s="23"/>
      <c r="L128" s="23"/>
      <c r="M128" s="9"/>
      <c r="N128" s="23"/>
      <c r="O128" s="23"/>
      <c r="P128" s="23"/>
      <c r="Q128" s="23"/>
      <c r="R128" s="23"/>
      <c r="S128" s="23"/>
      <c r="T128" s="23"/>
      <c r="U128" s="9"/>
      <c r="V128" s="9"/>
      <c r="W128" s="23"/>
      <c r="X128" s="23"/>
      <c r="Y128" s="23"/>
      <c r="Z128" s="12"/>
      <c r="AA128" s="12"/>
      <c r="AB128" s="12"/>
      <c r="AC128" s="13"/>
      <c r="AD128" s="7"/>
      <c r="AE128" s="7"/>
      <c r="AF128" s="7"/>
      <c r="AG128" s="7"/>
      <c r="AH128" s="7"/>
      <c r="AI128" s="7"/>
      <c r="AJ128" s="7"/>
      <c r="AK128" s="7"/>
    </row>
    <row r="129" spans="1:37" s="3" customFormat="1" ht="15" x14ac:dyDescent="0.25">
      <c r="A129" s="14"/>
      <c r="B129" s="7"/>
      <c r="C129" s="23"/>
      <c r="D129" s="9"/>
      <c r="E129" s="23"/>
      <c r="F129" s="23"/>
      <c r="G129" s="23"/>
      <c r="H129" s="23"/>
      <c r="I129" s="23"/>
      <c r="J129" s="23"/>
      <c r="K129" s="23"/>
      <c r="L129" s="23"/>
      <c r="M129" s="9"/>
      <c r="N129" s="23"/>
      <c r="O129" s="23"/>
      <c r="P129" s="23"/>
      <c r="Q129" s="23"/>
      <c r="R129" s="23"/>
      <c r="S129" s="23"/>
      <c r="T129" s="23"/>
      <c r="U129" s="9"/>
      <c r="V129" s="9"/>
      <c r="W129" s="23"/>
      <c r="X129" s="23"/>
      <c r="Y129" s="11"/>
      <c r="Z129" s="12"/>
      <c r="AA129" s="12"/>
      <c r="AB129" s="12"/>
      <c r="AC129" s="13"/>
      <c r="AD129" s="7"/>
      <c r="AE129" s="7"/>
      <c r="AF129" s="7"/>
      <c r="AG129" s="7"/>
      <c r="AH129" s="7"/>
      <c r="AI129" s="7"/>
      <c r="AJ129" s="7"/>
      <c r="AK129" s="7"/>
    </row>
    <row r="130" spans="1:37" s="3" customFormat="1" ht="15" x14ac:dyDescent="0.25">
      <c r="A130" s="14"/>
      <c r="B130" s="7"/>
      <c r="C130" s="23"/>
      <c r="D130" s="9"/>
      <c r="E130" s="23"/>
      <c r="F130" s="23"/>
      <c r="G130" s="23"/>
      <c r="H130" s="23"/>
      <c r="I130" s="23"/>
      <c r="J130" s="23"/>
      <c r="K130" s="23"/>
      <c r="L130" s="23"/>
      <c r="M130" s="9"/>
      <c r="N130" s="23"/>
      <c r="O130" s="23"/>
      <c r="P130" s="23"/>
      <c r="Q130" s="23"/>
      <c r="R130" s="23"/>
      <c r="S130" s="23"/>
      <c r="T130" s="23"/>
      <c r="U130" s="9"/>
      <c r="V130" s="9"/>
      <c r="W130" s="23"/>
      <c r="X130" s="23"/>
      <c r="Y130" s="11"/>
      <c r="Z130" s="12"/>
      <c r="AA130" s="12"/>
      <c r="AB130" s="12"/>
      <c r="AC130" s="13"/>
      <c r="AD130" s="7"/>
      <c r="AE130" s="7"/>
      <c r="AF130" s="7"/>
      <c r="AG130" s="7"/>
      <c r="AH130" s="7"/>
      <c r="AI130" s="7"/>
      <c r="AJ130" s="7"/>
      <c r="AK130" s="7"/>
    </row>
    <row r="131" spans="1:37" s="3" customFormat="1" ht="15" x14ac:dyDescent="0.25">
      <c r="A131" s="14"/>
      <c r="B131" s="7"/>
      <c r="C131" s="23"/>
      <c r="D131" s="9"/>
      <c r="E131" s="23"/>
      <c r="F131" s="23"/>
      <c r="G131" s="23"/>
      <c r="H131" s="23"/>
      <c r="I131" s="23"/>
      <c r="J131" s="23"/>
      <c r="K131" s="23"/>
      <c r="L131" s="23"/>
      <c r="M131" s="9"/>
      <c r="N131" s="23"/>
      <c r="O131" s="23"/>
      <c r="P131" s="23"/>
      <c r="Q131" s="23"/>
      <c r="R131" s="23"/>
      <c r="S131" s="23"/>
      <c r="T131" s="23"/>
      <c r="U131" s="9"/>
      <c r="V131" s="9"/>
      <c r="W131" s="23"/>
      <c r="X131" s="23"/>
      <c r="Y131" s="11"/>
      <c r="Z131" s="12"/>
      <c r="AA131" s="12"/>
      <c r="AB131" s="12"/>
      <c r="AC131" s="13"/>
      <c r="AD131" s="7"/>
      <c r="AE131" s="7"/>
      <c r="AF131" s="7"/>
      <c r="AG131" s="7"/>
      <c r="AH131" s="7"/>
      <c r="AI131" s="7"/>
      <c r="AJ131" s="7"/>
      <c r="AK131" s="7"/>
    </row>
    <row r="132" spans="1:37" s="3" customFormat="1" ht="15" x14ac:dyDescent="0.25">
      <c r="A132" s="14"/>
      <c r="B132" s="7"/>
      <c r="C132" s="23"/>
      <c r="D132" s="9"/>
      <c r="E132" s="23"/>
      <c r="F132" s="23"/>
      <c r="G132" s="23"/>
      <c r="H132" s="23"/>
      <c r="I132" s="23"/>
      <c r="J132" s="23"/>
      <c r="K132" s="23"/>
      <c r="L132" s="23"/>
      <c r="M132" s="9"/>
      <c r="N132" s="23"/>
      <c r="O132" s="23"/>
      <c r="P132" s="23"/>
      <c r="Q132" s="23"/>
      <c r="R132" s="23"/>
      <c r="S132" s="23"/>
      <c r="T132" s="23"/>
      <c r="U132" s="9"/>
      <c r="V132" s="9"/>
      <c r="W132" s="23"/>
      <c r="X132" s="23"/>
      <c r="Y132" s="11"/>
      <c r="Z132" s="12"/>
      <c r="AA132" s="12"/>
      <c r="AB132" s="12"/>
      <c r="AC132" s="13"/>
      <c r="AD132" s="7"/>
      <c r="AE132" s="7"/>
      <c r="AF132" s="7"/>
      <c r="AG132" s="7"/>
      <c r="AH132" s="7"/>
      <c r="AI132" s="7"/>
      <c r="AJ132" s="7"/>
      <c r="AK132" s="7"/>
    </row>
    <row r="133" spans="1:37" s="3" customFormat="1" ht="15" x14ac:dyDescent="0.25">
      <c r="A133" s="14"/>
      <c r="B133" s="7"/>
      <c r="C133" s="23"/>
      <c r="D133" s="9"/>
      <c r="E133" s="23"/>
      <c r="F133" s="23"/>
      <c r="G133" s="23"/>
      <c r="H133" s="23"/>
      <c r="I133" s="23"/>
      <c r="J133" s="23"/>
      <c r="K133" s="23"/>
      <c r="L133" s="23"/>
      <c r="M133" s="9"/>
      <c r="N133" s="23"/>
      <c r="O133" s="23"/>
      <c r="P133" s="23"/>
      <c r="Q133" s="23"/>
      <c r="R133" s="23"/>
      <c r="S133" s="23"/>
      <c r="T133" s="23"/>
      <c r="U133" s="9"/>
      <c r="V133" s="9"/>
      <c r="W133" s="23"/>
      <c r="X133" s="23"/>
      <c r="Y133" s="11"/>
      <c r="Z133" s="12"/>
      <c r="AA133" s="12"/>
      <c r="AB133" s="12"/>
      <c r="AC133" s="13"/>
      <c r="AD133" s="7"/>
      <c r="AE133" s="7"/>
      <c r="AF133" s="7"/>
      <c r="AG133" s="7"/>
      <c r="AH133" s="7"/>
      <c r="AI133" s="7"/>
      <c r="AJ133" s="7"/>
      <c r="AK133" s="7"/>
    </row>
    <row r="134" spans="1:37" s="3" customFormat="1" ht="15" x14ac:dyDescent="0.25">
      <c r="A134" s="14"/>
      <c r="B134" s="7"/>
      <c r="C134" s="23"/>
      <c r="D134" s="9"/>
      <c r="E134" s="23"/>
      <c r="F134" s="23"/>
      <c r="G134" s="23"/>
      <c r="H134" s="23"/>
      <c r="I134" s="23"/>
      <c r="J134" s="23"/>
      <c r="K134" s="23"/>
      <c r="L134" s="23"/>
      <c r="M134" s="9"/>
      <c r="N134" s="23"/>
      <c r="O134" s="23"/>
      <c r="P134" s="23"/>
      <c r="Q134" s="23"/>
      <c r="R134" s="23"/>
      <c r="S134" s="23"/>
      <c r="T134" s="23"/>
      <c r="U134" s="9"/>
      <c r="V134" s="9"/>
      <c r="W134" s="23"/>
      <c r="X134" s="23"/>
      <c r="Y134" s="11"/>
      <c r="Z134" s="12"/>
      <c r="AA134" s="12"/>
      <c r="AB134" s="12"/>
      <c r="AC134" s="13"/>
      <c r="AD134" s="7"/>
      <c r="AE134" s="7"/>
      <c r="AF134" s="7"/>
      <c r="AG134" s="7"/>
      <c r="AH134" s="7"/>
      <c r="AI134" s="7"/>
      <c r="AJ134" s="7"/>
      <c r="AK134" s="7"/>
    </row>
    <row r="135" spans="1:37" s="3" customFormat="1" ht="15" x14ac:dyDescent="0.25">
      <c r="A135" s="14"/>
      <c r="B135" s="7"/>
      <c r="C135" s="23"/>
      <c r="D135" s="9"/>
      <c r="E135" s="23"/>
      <c r="F135" s="23"/>
      <c r="G135" s="23"/>
      <c r="H135" s="23"/>
      <c r="I135" s="23"/>
      <c r="J135" s="23"/>
      <c r="K135" s="23"/>
      <c r="L135" s="23"/>
      <c r="M135" s="9"/>
      <c r="N135" s="23"/>
      <c r="O135" s="23"/>
      <c r="P135" s="23"/>
      <c r="Q135" s="23"/>
      <c r="R135" s="23"/>
      <c r="S135" s="23"/>
      <c r="T135" s="23"/>
      <c r="U135" s="9"/>
      <c r="V135" s="9"/>
      <c r="W135" s="23"/>
      <c r="X135" s="23"/>
      <c r="Y135" s="11"/>
      <c r="Z135" s="12"/>
      <c r="AA135" s="12"/>
      <c r="AB135" s="12"/>
      <c r="AC135" s="13"/>
      <c r="AD135" s="7"/>
      <c r="AE135" s="7"/>
      <c r="AF135" s="7"/>
      <c r="AG135" s="7"/>
      <c r="AH135" s="7"/>
      <c r="AI135" s="7"/>
      <c r="AJ135" s="7"/>
      <c r="AK135" s="7"/>
    </row>
    <row r="136" spans="1:37" s="3" customFormat="1" ht="15" x14ac:dyDescent="0.25">
      <c r="A136" s="14"/>
      <c r="B136" s="7"/>
      <c r="C136" s="23"/>
      <c r="D136" s="9"/>
      <c r="E136" s="23"/>
      <c r="F136" s="23"/>
      <c r="G136" s="23"/>
      <c r="H136" s="23"/>
      <c r="I136" s="23"/>
      <c r="J136" s="23"/>
      <c r="K136" s="23"/>
      <c r="L136" s="23"/>
      <c r="M136" s="9"/>
      <c r="N136" s="23"/>
      <c r="O136" s="23"/>
      <c r="P136" s="23"/>
      <c r="Q136" s="23"/>
      <c r="R136" s="23"/>
      <c r="S136" s="23"/>
      <c r="T136" s="23"/>
      <c r="U136" s="9"/>
      <c r="V136" s="9"/>
      <c r="W136" s="23"/>
      <c r="X136" s="23"/>
      <c r="Y136" s="11"/>
      <c r="Z136" s="12"/>
      <c r="AA136" s="12"/>
      <c r="AB136" s="12"/>
      <c r="AC136" s="13"/>
      <c r="AD136" s="7"/>
      <c r="AE136" s="7"/>
      <c r="AF136" s="7"/>
      <c r="AG136" s="7"/>
      <c r="AH136" s="7"/>
      <c r="AI136" s="7"/>
      <c r="AJ136" s="7"/>
      <c r="AK136" s="7"/>
    </row>
    <row r="137" spans="1:37" s="3" customFormat="1" ht="15" x14ac:dyDescent="0.25">
      <c r="A137" s="14"/>
      <c r="B137" s="7"/>
      <c r="C137" s="23"/>
      <c r="D137" s="9"/>
      <c r="E137" s="23"/>
      <c r="F137" s="23"/>
      <c r="G137" s="23"/>
      <c r="H137" s="23"/>
      <c r="I137" s="23"/>
      <c r="J137" s="23"/>
      <c r="K137" s="23"/>
      <c r="L137" s="23"/>
      <c r="M137" s="9"/>
      <c r="N137" s="23"/>
      <c r="O137" s="23"/>
      <c r="P137" s="23"/>
      <c r="Q137" s="23"/>
      <c r="R137" s="23"/>
      <c r="S137" s="23"/>
      <c r="T137" s="23"/>
      <c r="U137" s="9"/>
      <c r="V137" s="9"/>
      <c r="W137" s="23"/>
      <c r="X137" s="23"/>
      <c r="Y137" s="11"/>
      <c r="Z137" s="12"/>
      <c r="AA137" s="12"/>
      <c r="AB137" s="12"/>
      <c r="AC137" s="13"/>
      <c r="AD137" s="7"/>
      <c r="AE137" s="7"/>
      <c r="AF137" s="7"/>
      <c r="AG137" s="7"/>
      <c r="AH137" s="7"/>
      <c r="AI137" s="7"/>
      <c r="AJ137" s="7"/>
      <c r="AK137" s="7"/>
    </row>
    <row r="138" spans="1:37" ht="15" x14ac:dyDescent="0.25">
      <c r="A138" s="14"/>
      <c r="B138" s="7"/>
      <c r="C138" s="23"/>
      <c r="D138" s="9"/>
      <c r="E138" s="23"/>
      <c r="F138" s="23"/>
      <c r="G138" s="23"/>
      <c r="H138" s="23"/>
      <c r="I138" s="23"/>
      <c r="J138" s="23"/>
      <c r="K138" s="23"/>
      <c r="L138" s="23"/>
      <c r="M138" s="9"/>
      <c r="N138" s="23"/>
      <c r="O138" s="23"/>
      <c r="P138" s="23"/>
      <c r="Q138" s="23"/>
      <c r="R138" s="23"/>
      <c r="S138" s="23"/>
      <c r="T138" s="23"/>
      <c r="U138" s="9"/>
      <c r="V138" s="9"/>
      <c r="W138" s="23"/>
      <c r="X138" s="23"/>
      <c r="Y138" s="11"/>
      <c r="Z138" s="12"/>
      <c r="AA138" s="12"/>
      <c r="AB138" s="12"/>
      <c r="AC138" s="13"/>
      <c r="AD138" s="7"/>
      <c r="AE138" s="7"/>
      <c r="AF138" s="7"/>
      <c r="AG138" s="7"/>
      <c r="AH138" s="7"/>
      <c r="AI138" s="7"/>
      <c r="AJ138" s="7"/>
      <c r="AK138" s="7"/>
    </row>
    <row r="139" spans="1:37" ht="15" x14ac:dyDescent="0.25">
      <c r="A139" s="14"/>
      <c r="B139" s="7"/>
      <c r="C139" s="23"/>
      <c r="D139" s="9"/>
      <c r="E139" s="23"/>
      <c r="F139" s="23"/>
      <c r="G139" s="23"/>
      <c r="H139" s="23"/>
      <c r="I139" s="23"/>
      <c r="J139" s="23"/>
      <c r="K139" s="23"/>
      <c r="L139" s="23"/>
      <c r="M139" s="9"/>
      <c r="N139" s="23"/>
      <c r="O139" s="23"/>
      <c r="P139" s="23"/>
      <c r="Q139" s="23"/>
      <c r="R139" s="23"/>
      <c r="S139" s="23"/>
      <c r="T139" s="23"/>
      <c r="U139" s="9"/>
      <c r="V139" s="9"/>
      <c r="W139" s="23"/>
      <c r="X139" s="23"/>
      <c r="Y139" s="11"/>
      <c r="Z139" s="12"/>
      <c r="AA139" s="12"/>
      <c r="AB139" s="12"/>
      <c r="AC139" s="13"/>
      <c r="AD139" s="7"/>
      <c r="AE139" s="7"/>
      <c r="AF139" s="7"/>
      <c r="AG139" s="7"/>
      <c r="AH139" s="7"/>
      <c r="AI139" s="7"/>
      <c r="AJ139" s="7"/>
      <c r="AK139" s="7"/>
    </row>
    <row r="140" spans="1:37" ht="15" x14ac:dyDescent="0.25">
      <c r="A140" s="14"/>
      <c r="B140" s="7"/>
      <c r="C140" s="23"/>
      <c r="D140" s="9"/>
      <c r="E140" s="23"/>
      <c r="F140" s="23"/>
      <c r="G140" s="23"/>
      <c r="H140" s="23"/>
      <c r="I140" s="23"/>
      <c r="J140" s="23"/>
      <c r="K140" s="23"/>
      <c r="L140" s="23"/>
      <c r="M140" s="9"/>
      <c r="N140" s="23"/>
      <c r="O140" s="23"/>
      <c r="P140" s="23"/>
      <c r="Q140" s="23"/>
      <c r="R140" s="23"/>
      <c r="S140" s="23"/>
      <c r="T140" s="23"/>
      <c r="U140" s="9"/>
      <c r="V140" s="9"/>
      <c r="W140" s="23"/>
      <c r="X140" s="23"/>
      <c r="Y140" s="11"/>
      <c r="Z140" s="12"/>
      <c r="AA140" s="12"/>
      <c r="AB140" s="12"/>
      <c r="AC140" s="13"/>
      <c r="AD140" s="7"/>
      <c r="AE140" s="7"/>
      <c r="AF140" s="7"/>
      <c r="AG140" s="7"/>
      <c r="AH140" s="7"/>
      <c r="AI140" s="7"/>
      <c r="AJ140" s="7"/>
      <c r="AK140" s="7"/>
    </row>
    <row r="141" spans="1:37" ht="15" x14ac:dyDescent="0.25">
      <c r="A141" s="14"/>
      <c r="B141" s="7"/>
      <c r="C141" s="23"/>
      <c r="D141" s="9"/>
      <c r="E141" s="23"/>
      <c r="F141" s="23"/>
      <c r="G141" s="23"/>
      <c r="H141" s="23"/>
      <c r="I141" s="23"/>
      <c r="J141" s="23"/>
      <c r="K141" s="23"/>
      <c r="L141" s="23"/>
      <c r="M141" s="9"/>
      <c r="N141" s="23"/>
      <c r="O141" s="23"/>
      <c r="P141" s="23"/>
      <c r="Q141" s="23"/>
      <c r="R141" s="23"/>
      <c r="S141" s="23"/>
      <c r="T141" s="23"/>
      <c r="U141" s="9"/>
      <c r="V141" s="9"/>
      <c r="W141" s="23"/>
      <c r="X141" s="23"/>
      <c r="Y141" s="11"/>
      <c r="Z141" s="12"/>
      <c r="AA141" s="12"/>
      <c r="AB141" s="12"/>
      <c r="AC141" s="13"/>
      <c r="AD141" s="7"/>
      <c r="AE141" s="7"/>
      <c r="AF141" s="7"/>
      <c r="AG141" s="7"/>
      <c r="AH141" s="7"/>
      <c r="AI141" s="7"/>
      <c r="AJ141" s="7"/>
      <c r="AK141" s="7"/>
    </row>
    <row r="142" spans="1:37" ht="15" x14ac:dyDescent="0.25">
      <c r="A142" s="14"/>
      <c r="B142" s="7"/>
      <c r="C142" s="23"/>
      <c r="D142" s="9"/>
      <c r="E142" s="23"/>
      <c r="F142" s="23"/>
      <c r="G142" s="23"/>
      <c r="H142" s="23"/>
      <c r="I142" s="23"/>
      <c r="J142" s="23"/>
      <c r="K142" s="23"/>
      <c r="L142" s="23"/>
      <c r="M142" s="9"/>
      <c r="N142" s="23"/>
      <c r="O142" s="23"/>
      <c r="P142" s="23"/>
      <c r="Q142" s="23"/>
      <c r="R142" s="23"/>
      <c r="S142" s="23"/>
      <c r="T142" s="23"/>
      <c r="U142" s="9"/>
      <c r="V142" s="9"/>
      <c r="W142" s="23"/>
      <c r="X142" s="23"/>
      <c r="Y142" s="11"/>
      <c r="Z142" s="12"/>
      <c r="AA142" s="12"/>
      <c r="AB142" s="12"/>
      <c r="AC142" s="13"/>
      <c r="AD142" s="7"/>
      <c r="AE142" s="7"/>
      <c r="AF142" s="7"/>
      <c r="AG142" s="7"/>
      <c r="AH142" s="7"/>
      <c r="AI142" s="7"/>
      <c r="AJ142" s="7"/>
      <c r="AK142" s="7"/>
    </row>
    <row r="143" spans="1:37" ht="15" x14ac:dyDescent="0.25">
      <c r="A143" s="14"/>
      <c r="B143" s="7"/>
      <c r="C143" s="23"/>
      <c r="D143" s="9"/>
      <c r="E143" s="23"/>
      <c r="F143" s="23"/>
      <c r="G143" s="23"/>
      <c r="H143" s="23"/>
      <c r="I143" s="23"/>
      <c r="J143" s="23"/>
      <c r="K143" s="23"/>
      <c r="L143" s="23"/>
      <c r="M143" s="9"/>
      <c r="N143" s="23"/>
      <c r="O143" s="23"/>
      <c r="P143" s="23"/>
      <c r="Q143" s="23"/>
      <c r="R143" s="23"/>
      <c r="S143" s="23"/>
      <c r="T143" s="23"/>
      <c r="U143" s="9"/>
      <c r="V143" s="9"/>
      <c r="W143" s="23"/>
      <c r="X143" s="23"/>
      <c r="Y143" s="11"/>
      <c r="Z143" s="12"/>
      <c r="AA143" s="12"/>
      <c r="AB143" s="12"/>
      <c r="AC143" s="13"/>
      <c r="AD143" s="7"/>
      <c r="AE143" s="7"/>
      <c r="AF143" s="7"/>
      <c r="AG143" s="7"/>
      <c r="AH143" s="7"/>
      <c r="AI143" s="7"/>
      <c r="AJ143" s="7"/>
      <c r="AK143" s="7"/>
    </row>
    <row r="144" spans="1:37" ht="15" x14ac:dyDescent="0.25">
      <c r="A144" s="14"/>
      <c r="B144" s="7"/>
      <c r="C144" s="23"/>
      <c r="D144" s="9"/>
      <c r="E144" s="23"/>
      <c r="F144" s="23"/>
      <c r="G144" s="23"/>
      <c r="H144" s="23"/>
      <c r="I144" s="23"/>
      <c r="J144" s="23"/>
      <c r="K144" s="23"/>
      <c r="L144" s="23"/>
      <c r="M144" s="9"/>
      <c r="N144" s="23"/>
      <c r="O144" s="23"/>
      <c r="P144" s="23"/>
      <c r="Q144" s="23"/>
      <c r="R144" s="23"/>
      <c r="S144" s="23"/>
      <c r="T144" s="23"/>
      <c r="U144" s="9"/>
      <c r="V144" s="9"/>
      <c r="W144" s="23"/>
      <c r="X144" s="23"/>
      <c r="Y144" s="11"/>
      <c r="Z144" s="12"/>
      <c r="AA144" s="12"/>
      <c r="AB144" s="12"/>
      <c r="AC144" s="13"/>
      <c r="AD144" s="7"/>
      <c r="AE144" s="7"/>
      <c r="AF144" s="7"/>
      <c r="AG144" s="7"/>
      <c r="AH144" s="7"/>
      <c r="AI144" s="7"/>
      <c r="AJ144" s="7"/>
      <c r="AK144" s="7"/>
    </row>
    <row r="145" spans="1:37" ht="15" x14ac:dyDescent="0.25">
      <c r="A145" s="14"/>
      <c r="B145" s="7"/>
      <c r="C145" s="23"/>
      <c r="D145" s="9"/>
      <c r="E145" s="23"/>
      <c r="F145" s="23"/>
      <c r="G145" s="23"/>
      <c r="H145" s="23"/>
      <c r="I145" s="23"/>
      <c r="J145" s="23"/>
      <c r="K145" s="23"/>
      <c r="L145" s="23"/>
      <c r="M145" s="9"/>
      <c r="N145" s="23"/>
      <c r="O145" s="23"/>
      <c r="P145" s="23"/>
      <c r="Q145" s="23"/>
      <c r="R145" s="23"/>
      <c r="S145" s="23"/>
      <c r="T145" s="23"/>
      <c r="U145" s="9"/>
      <c r="V145" s="9"/>
      <c r="W145" s="23"/>
      <c r="X145" s="23"/>
      <c r="Y145" s="11"/>
      <c r="Z145" s="12"/>
      <c r="AA145" s="12"/>
      <c r="AB145" s="12"/>
      <c r="AC145" s="13"/>
      <c r="AD145" s="7"/>
      <c r="AE145" s="7"/>
      <c r="AF145" s="7"/>
      <c r="AG145" s="7"/>
      <c r="AH145" s="7"/>
      <c r="AI145" s="7"/>
      <c r="AJ145" s="7"/>
      <c r="AK145" s="7"/>
    </row>
    <row r="146" spans="1:37" ht="15" x14ac:dyDescent="0.25">
      <c r="A146" s="14"/>
      <c r="B146" s="7"/>
      <c r="C146" s="23"/>
      <c r="D146" s="9"/>
      <c r="E146" s="23"/>
      <c r="F146" s="23"/>
      <c r="G146" s="23"/>
      <c r="H146" s="23"/>
      <c r="I146" s="23"/>
      <c r="J146" s="23"/>
      <c r="K146" s="23"/>
      <c r="L146" s="23"/>
      <c r="M146" s="9"/>
      <c r="N146" s="23"/>
      <c r="O146" s="23"/>
      <c r="P146" s="23"/>
      <c r="Q146" s="23"/>
      <c r="R146" s="23"/>
      <c r="S146" s="23"/>
      <c r="T146" s="23"/>
      <c r="U146" s="9"/>
      <c r="V146" s="9"/>
      <c r="W146" s="23"/>
      <c r="X146" s="23"/>
      <c r="Y146" s="11"/>
      <c r="Z146" s="12"/>
      <c r="AA146" s="12"/>
      <c r="AB146" s="12"/>
      <c r="AC146" s="13"/>
      <c r="AD146" s="7"/>
      <c r="AE146" s="7"/>
      <c r="AF146" s="7"/>
      <c r="AG146" s="7"/>
      <c r="AH146" s="7"/>
      <c r="AI146" s="7"/>
      <c r="AJ146" s="7"/>
      <c r="AK146" s="7"/>
    </row>
    <row r="147" spans="1:37" ht="15" x14ac:dyDescent="0.25">
      <c r="A147" s="14"/>
      <c r="B147" s="7"/>
      <c r="C147" s="23"/>
      <c r="D147" s="9"/>
      <c r="E147" s="23"/>
      <c r="F147" s="23"/>
      <c r="G147" s="23"/>
      <c r="H147" s="23"/>
      <c r="I147" s="23"/>
      <c r="J147" s="23"/>
      <c r="K147" s="23"/>
      <c r="L147" s="23"/>
      <c r="M147" s="9"/>
      <c r="N147" s="23"/>
      <c r="O147" s="23"/>
      <c r="P147" s="23"/>
      <c r="Q147" s="23"/>
      <c r="R147" s="23"/>
      <c r="S147" s="23"/>
      <c r="T147" s="23"/>
      <c r="U147" s="9"/>
      <c r="V147" s="9"/>
      <c r="W147" s="23"/>
      <c r="X147" s="23"/>
      <c r="Y147" s="11"/>
      <c r="Z147" s="12"/>
      <c r="AA147" s="12"/>
      <c r="AB147" s="12"/>
      <c r="AC147" s="13"/>
      <c r="AD147" s="7"/>
      <c r="AE147" s="7"/>
      <c r="AF147" s="7"/>
      <c r="AG147" s="7"/>
      <c r="AH147" s="7"/>
      <c r="AI147" s="7"/>
      <c r="AJ147" s="7"/>
      <c r="AK147" s="7"/>
    </row>
    <row r="148" spans="1:37" ht="15" x14ac:dyDescent="0.25">
      <c r="A148" s="14"/>
      <c r="B148" s="7"/>
      <c r="C148" s="23"/>
      <c r="D148" s="9"/>
      <c r="E148" s="23"/>
      <c r="F148" s="23"/>
      <c r="G148" s="23"/>
      <c r="H148" s="23"/>
      <c r="I148" s="23"/>
      <c r="J148" s="23"/>
      <c r="K148" s="23"/>
      <c r="L148" s="23"/>
      <c r="M148" s="9"/>
      <c r="N148" s="23"/>
      <c r="O148" s="23"/>
      <c r="P148" s="23"/>
      <c r="Q148" s="23"/>
      <c r="R148" s="23"/>
      <c r="S148" s="23"/>
      <c r="T148" s="23"/>
      <c r="U148" s="9"/>
      <c r="V148" s="9"/>
      <c r="W148" s="23"/>
      <c r="X148" s="23"/>
      <c r="Y148" s="11"/>
      <c r="Z148" s="12"/>
      <c r="AA148" s="12"/>
      <c r="AB148" s="12"/>
      <c r="AC148" s="13"/>
      <c r="AD148" s="7"/>
      <c r="AE148" s="7"/>
      <c r="AF148" s="7"/>
      <c r="AG148" s="7"/>
      <c r="AH148" s="7"/>
      <c r="AI148" s="7"/>
      <c r="AJ148" s="7"/>
      <c r="AK148" s="7"/>
    </row>
    <row r="149" spans="1:37" ht="15" x14ac:dyDescent="0.25">
      <c r="A149" s="14"/>
      <c r="B149" s="7"/>
      <c r="C149" s="23"/>
      <c r="D149" s="9"/>
      <c r="E149" s="23"/>
      <c r="F149" s="23"/>
      <c r="G149" s="23"/>
      <c r="H149" s="23"/>
      <c r="I149" s="23"/>
      <c r="J149" s="23"/>
      <c r="K149" s="23"/>
      <c r="L149" s="23"/>
      <c r="M149" s="9"/>
      <c r="N149" s="23"/>
      <c r="O149" s="23"/>
      <c r="P149" s="23"/>
      <c r="Q149" s="23"/>
      <c r="R149" s="23"/>
      <c r="S149" s="23"/>
      <c r="T149" s="23"/>
      <c r="U149" s="9"/>
      <c r="V149" s="9"/>
      <c r="W149" s="23"/>
      <c r="X149" s="23"/>
      <c r="Y149" s="11"/>
      <c r="Z149" s="12"/>
      <c r="AA149" s="12"/>
      <c r="AB149" s="12"/>
      <c r="AC149" s="13"/>
      <c r="AD149" s="7"/>
      <c r="AE149" s="7"/>
      <c r="AF149" s="7"/>
      <c r="AG149" s="7"/>
      <c r="AH149" s="7"/>
      <c r="AI149" s="7"/>
      <c r="AJ149" s="7"/>
      <c r="AK149" s="7"/>
    </row>
    <row r="150" spans="1:37" ht="15" x14ac:dyDescent="0.25">
      <c r="A150" s="14"/>
      <c r="B150" s="7"/>
      <c r="C150" s="23"/>
      <c r="D150" s="9"/>
      <c r="E150" s="23"/>
      <c r="F150" s="23"/>
      <c r="G150" s="23"/>
      <c r="H150" s="23"/>
      <c r="I150" s="23"/>
      <c r="J150" s="23"/>
      <c r="K150" s="23"/>
      <c r="L150" s="9"/>
      <c r="M150" s="9"/>
      <c r="N150" s="23"/>
      <c r="O150" s="23"/>
      <c r="P150" s="23"/>
      <c r="Q150" s="23"/>
      <c r="R150" s="23"/>
      <c r="S150" s="23"/>
      <c r="T150" s="23"/>
      <c r="U150" s="9"/>
      <c r="V150" s="7"/>
      <c r="W150" s="23"/>
      <c r="X150" s="23"/>
      <c r="Y150" s="23"/>
      <c r="Z150" s="12"/>
      <c r="AA150" s="12"/>
      <c r="AB150" s="12"/>
      <c r="AC150" s="13"/>
      <c r="AD150" s="7"/>
      <c r="AE150" s="7"/>
      <c r="AF150" s="7"/>
      <c r="AG150" s="7"/>
      <c r="AH150" s="7"/>
      <c r="AI150" s="7"/>
      <c r="AJ150" s="7"/>
      <c r="AK150" s="7"/>
    </row>
    <row r="151" spans="1:37" ht="15" x14ac:dyDescent="0.25">
      <c r="A151" s="14"/>
      <c r="B151" s="7"/>
      <c r="C151" s="23"/>
      <c r="D151" s="9"/>
      <c r="E151" s="23"/>
      <c r="F151" s="23"/>
      <c r="G151" s="23"/>
      <c r="H151" s="23"/>
      <c r="I151" s="23"/>
      <c r="J151" s="23"/>
      <c r="K151" s="23"/>
      <c r="L151" s="23"/>
      <c r="M151" s="9"/>
      <c r="N151" s="23"/>
      <c r="O151" s="23"/>
      <c r="P151" s="23"/>
      <c r="Q151" s="23"/>
      <c r="R151" s="23"/>
      <c r="S151" s="23"/>
      <c r="T151" s="23"/>
      <c r="U151" s="9"/>
      <c r="V151" s="9"/>
      <c r="W151" s="23"/>
      <c r="X151" s="23"/>
      <c r="Y151" s="23"/>
      <c r="Z151" s="12"/>
      <c r="AA151" s="12"/>
      <c r="AB151" s="12"/>
      <c r="AC151" s="13"/>
      <c r="AD151" s="7"/>
      <c r="AE151" s="7"/>
      <c r="AF151" s="7"/>
      <c r="AG151" s="7"/>
      <c r="AH151" s="7"/>
      <c r="AI151" s="7"/>
      <c r="AJ151" s="7"/>
      <c r="AK151" s="7"/>
    </row>
    <row r="152" spans="1:37" ht="15" x14ac:dyDescent="0.25">
      <c r="A152" s="14"/>
      <c r="B152" s="7"/>
      <c r="C152" s="23"/>
      <c r="D152" s="9"/>
      <c r="E152" s="23"/>
      <c r="F152" s="23"/>
      <c r="G152" s="23"/>
      <c r="H152" s="23"/>
      <c r="I152" s="23"/>
      <c r="J152" s="23"/>
      <c r="K152" s="23"/>
      <c r="L152" s="23"/>
      <c r="M152" s="9"/>
      <c r="N152" s="23"/>
      <c r="O152" s="23"/>
      <c r="P152" s="23"/>
      <c r="Q152" s="23"/>
      <c r="R152" s="23"/>
      <c r="S152" s="23"/>
      <c r="T152" s="23"/>
      <c r="U152" s="9"/>
      <c r="V152" s="9"/>
      <c r="W152" s="23"/>
      <c r="X152" s="23"/>
      <c r="Y152" s="23"/>
      <c r="Z152" s="12"/>
      <c r="AA152" s="12"/>
      <c r="AB152" s="12"/>
      <c r="AC152" s="13"/>
      <c r="AD152" s="7"/>
      <c r="AE152" s="7"/>
      <c r="AF152" s="7"/>
      <c r="AG152" s="7"/>
      <c r="AH152" s="7"/>
      <c r="AI152" s="7"/>
      <c r="AJ152" s="7"/>
      <c r="AK152" s="7"/>
    </row>
    <row r="153" spans="1:37" ht="15" x14ac:dyDescent="0.25">
      <c r="A153" s="14"/>
      <c r="B153" s="7"/>
      <c r="C153" s="23"/>
      <c r="D153" s="9"/>
      <c r="E153" s="23"/>
      <c r="F153" s="23"/>
      <c r="G153" s="23"/>
      <c r="H153" s="23"/>
      <c r="I153" s="23"/>
      <c r="J153" s="23"/>
      <c r="K153" s="23"/>
      <c r="L153" s="23"/>
      <c r="M153" s="9"/>
      <c r="N153" s="23"/>
      <c r="O153" s="23"/>
      <c r="P153" s="23"/>
      <c r="Q153" s="23"/>
      <c r="R153" s="23"/>
      <c r="S153" s="23"/>
      <c r="T153" s="23"/>
      <c r="U153" s="9"/>
      <c r="V153" s="9"/>
      <c r="W153" s="23"/>
      <c r="X153" s="23"/>
      <c r="Y153" s="23"/>
      <c r="Z153" s="12"/>
      <c r="AA153" s="12"/>
      <c r="AB153" s="12"/>
      <c r="AC153" s="13"/>
      <c r="AD153" s="7"/>
      <c r="AE153" s="7"/>
      <c r="AF153" s="7"/>
      <c r="AG153" s="7"/>
      <c r="AH153" s="7"/>
      <c r="AI153" s="7"/>
      <c r="AJ153" s="7"/>
      <c r="AK153" s="7"/>
    </row>
    <row r="154" spans="1:37" ht="15" x14ac:dyDescent="0.25">
      <c r="A154" s="14"/>
      <c r="B154" s="7"/>
      <c r="C154" s="23"/>
      <c r="D154" s="9"/>
      <c r="E154" s="23"/>
      <c r="F154" s="23"/>
      <c r="G154" s="23"/>
      <c r="H154" s="23"/>
      <c r="I154" s="23"/>
      <c r="J154" s="23"/>
      <c r="K154" s="23"/>
      <c r="L154" s="23"/>
      <c r="M154" s="9"/>
      <c r="N154" s="23"/>
      <c r="O154" s="23"/>
      <c r="P154" s="23"/>
      <c r="Q154" s="23"/>
      <c r="R154" s="23"/>
      <c r="S154" s="23"/>
      <c r="T154" s="23"/>
      <c r="U154" s="9"/>
      <c r="V154" s="9"/>
      <c r="W154" s="23"/>
      <c r="X154" s="23"/>
      <c r="Y154" s="23"/>
      <c r="Z154" s="12"/>
      <c r="AA154" s="12"/>
      <c r="AB154" s="12"/>
      <c r="AC154" s="13"/>
      <c r="AD154" s="7"/>
      <c r="AE154" s="7"/>
      <c r="AF154" s="7"/>
      <c r="AG154" s="7"/>
      <c r="AH154" s="7"/>
      <c r="AI154" s="7"/>
      <c r="AJ154" s="7"/>
      <c r="AK154" s="7"/>
    </row>
    <row r="155" spans="1:37" ht="15" x14ac:dyDescent="0.25">
      <c r="A155" s="14"/>
      <c r="B155" s="7"/>
      <c r="C155" s="23"/>
      <c r="D155" s="9"/>
      <c r="E155" s="23"/>
      <c r="F155" s="23"/>
      <c r="G155" s="23"/>
      <c r="H155" s="23"/>
      <c r="I155" s="23"/>
      <c r="J155" s="23"/>
      <c r="K155" s="23"/>
      <c r="L155" s="23"/>
      <c r="M155" s="9"/>
      <c r="N155" s="23"/>
      <c r="O155" s="23"/>
      <c r="P155" s="23"/>
      <c r="Q155" s="23"/>
      <c r="R155" s="23"/>
      <c r="S155" s="23"/>
      <c r="T155" s="23"/>
      <c r="U155" s="9"/>
      <c r="V155" s="9"/>
      <c r="W155" s="23"/>
      <c r="X155" s="23"/>
      <c r="Y155" s="23"/>
      <c r="Z155" s="12"/>
      <c r="AA155" s="12"/>
      <c r="AB155" s="12"/>
      <c r="AC155" s="13"/>
      <c r="AD155" s="7"/>
      <c r="AE155" s="7"/>
      <c r="AF155" s="7"/>
      <c r="AG155" s="7"/>
      <c r="AH155" s="7"/>
      <c r="AI155" s="7"/>
      <c r="AJ155" s="7"/>
      <c r="AK155" s="7"/>
    </row>
    <row r="156" spans="1:37" ht="15" x14ac:dyDescent="0.25">
      <c r="A156" s="14"/>
      <c r="B156" s="7"/>
      <c r="C156" s="23"/>
      <c r="D156" s="9"/>
      <c r="E156" s="23"/>
      <c r="F156" s="23"/>
      <c r="G156" s="23"/>
      <c r="H156" s="23"/>
      <c r="I156" s="23"/>
      <c r="J156" s="23"/>
      <c r="K156" s="23"/>
      <c r="L156" s="23"/>
      <c r="M156" s="9"/>
      <c r="N156" s="23"/>
      <c r="O156" s="23"/>
      <c r="P156" s="23"/>
      <c r="Q156" s="23"/>
      <c r="R156" s="23"/>
      <c r="S156" s="23"/>
      <c r="T156" s="23"/>
      <c r="U156" s="9"/>
      <c r="V156" s="9"/>
      <c r="W156" s="23"/>
      <c r="X156" s="23"/>
      <c r="Y156" s="23"/>
      <c r="Z156" s="12"/>
      <c r="AA156" s="12"/>
      <c r="AB156" s="12"/>
      <c r="AC156" s="13"/>
      <c r="AD156" s="7"/>
      <c r="AE156" s="7"/>
      <c r="AF156" s="7"/>
      <c r="AG156" s="7"/>
      <c r="AH156" s="7"/>
      <c r="AI156" s="7"/>
      <c r="AJ156" s="7"/>
      <c r="AK156" s="7"/>
    </row>
    <row r="157" spans="1:37" ht="15" x14ac:dyDescent="0.25">
      <c r="A157" s="14"/>
      <c r="B157" s="7"/>
      <c r="C157" s="23"/>
      <c r="D157" s="9"/>
      <c r="E157" s="23"/>
      <c r="F157" s="23"/>
      <c r="G157" s="23"/>
      <c r="H157" s="23"/>
      <c r="I157" s="23"/>
      <c r="J157" s="23"/>
      <c r="K157" s="23"/>
      <c r="L157" s="23"/>
      <c r="M157" s="9"/>
      <c r="N157" s="23"/>
      <c r="O157" s="23"/>
      <c r="P157" s="23"/>
      <c r="Q157" s="23"/>
      <c r="R157" s="23"/>
      <c r="S157" s="23"/>
      <c r="T157" s="23"/>
      <c r="U157" s="9"/>
      <c r="V157" s="9"/>
      <c r="W157" s="23"/>
      <c r="X157" s="23"/>
      <c r="Y157" s="23"/>
      <c r="Z157" s="12"/>
      <c r="AA157" s="12"/>
      <c r="AB157" s="12"/>
      <c r="AC157" s="13"/>
      <c r="AD157" s="7"/>
      <c r="AE157" s="7"/>
      <c r="AF157" s="7"/>
      <c r="AG157" s="7"/>
      <c r="AH157" s="7"/>
      <c r="AI157" s="7"/>
      <c r="AJ157" s="7"/>
      <c r="AK157" s="7"/>
    </row>
    <row r="158" spans="1:37" ht="15" x14ac:dyDescent="0.25">
      <c r="A158" s="14"/>
      <c r="B158" s="7"/>
      <c r="C158" s="23"/>
      <c r="D158" s="9"/>
      <c r="E158" s="23"/>
      <c r="F158" s="23"/>
      <c r="G158" s="23"/>
      <c r="H158" s="23"/>
      <c r="I158" s="23"/>
      <c r="J158" s="23"/>
      <c r="K158" s="23"/>
      <c r="L158" s="23"/>
      <c r="M158" s="9"/>
      <c r="N158" s="23"/>
      <c r="O158" s="23"/>
      <c r="P158" s="23"/>
      <c r="Q158" s="23"/>
      <c r="R158" s="23"/>
      <c r="S158" s="23"/>
      <c r="T158" s="23"/>
      <c r="U158" s="9"/>
      <c r="V158" s="9"/>
      <c r="W158" s="23"/>
      <c r="X158" s="23"/>
      <c r="Y158" s="23"/>
      <c r="Z158" s="12"/>
      <c r="AA158" s="12"/>
      <c r="AB158" s="12"/>
      <c r="AC158" s="13"/>
      <c r="AD158" s="7"/>
      <c r="AE158" s="7"/>
      <c r="AF158" s="7"/>
      <c r="AG158" s="7"/>
      <c r="AH158" s="7"/>
      <c r="AI158" s="7"/>
      <c r="AJ158" s="7"/>
      <c r="AK158" s="7"/>
    </row>
    <row r="159" spans="1:37" ht="15" x14ac:dyDescent="0.25">
      <c r="A159" s="14"/>
      <c r="B159" s="7"/>
      <c r="C159" s="23"/>
      <c r="D159" s="9"/>
      <c r="E159" s="23"/>
      <c r="F159" s="23"/>
      <c r="G159" s="23"/>
      <c r="H159" s="23"/>
      <c r="I159" s="23"/>
      <c r="J159" s="23"/>
      <c r="K159" s="23"/>
      <c r="L159" s="23"/>
      <c r="M159" s="9"/>
      <c r="N159" s="23"/>
      <c r="O159" s="23"/>
      <c r="P159" s="23"/>
      <c r="Q159" s="23"/>
      <c r="R159" s="23"/>
      <c r="S159" s="23"/>
      <c r="T159" s="23"/>
      <c r="U159" s="9"/>
      <c r="V159" s="9"/>
      <c r="W159" s="23"/>
      <c r="X159" s="23"/>
      <c r="Y159" s="23"/>
      <c r="Z159" s="12"/>
      <c r="AA159" s="12"/>
      <c r="AB159" s="12"/>
      <c r="AC159" s="13"/>
      <c r="AD159" s="7"/>
      <c r="AE159" s="7"/>
      <c r="AF159" s="7"/>
      <c r="AG159" s="7"/>
      <c r="AH159" s="7"/>
      <c r="AI159" s="7"/>
      <c r="AJ159" s="7"/>
      <c r="AK159" s="7"/>
    </row>
    <row r="160" spans="1:37" ht="15" x14ac:dyDescent="0.25">
      <c r="A160" s="14"/>
      <c r="B160" s="7"/>
      <c r="C160" s="23"/>
      <c r="D160" s="9"/>
      <c r="E160" s="23"/>
      <c r="F160" s="23"/>
      <c r="G160" s="23"/>
      <c r="H160" s="23"/>
      <c r="I160" s="23"/>
      <c r="J160" s="23"/>
      <c r="K160" s="23"/>
      <c r="L160" s="23"/>
      <c r="M160" s="9"/>
      <c r="N160" s="23"/>
      <c r="O160" s="23"/>
      <c r="P160" s="23"/>
      <c r="Q160" s="23"/>
      <c r="R160" s="23"/>
      <c r="S160" s="23"/>
      <c r="T160" s="23"/>
      <c r="U160" s="9"/>
      <c r="V160" s="9"/>
      <c r="W160" s="23"/>
      <c r="X160" s="23"/>
      <c r="Y160" s="23"/>
      <c r="Z160" s="12"/>
      <c r="AA160" s="12"/>
      <c r="AB160" s="12"/>
      <c r="AC160" s="13"/>
      <c r="AD160" s="7"/>
      <c r="AE160" s="7"/>
      <c r="AF160" s="7"/>
      <c r="AG160" s="7"/>
      <c r="AH160" s="7"/>
      <c r="AI160" s="7"/>
      <c r="AJ160" s="7"/>
      <c r="AK160" s="7"/>
    </row>
    <row r="161" spans="1:37" ht="15" x14ac:dyDescent="0.25">
      <c r="A161" s="14"/>
      <c r="B161" s="7"/>
      <c r="C161" s="23"/>
      <c r="D161" s="9"/>
      <c r="E161" s="23"/>
      <c r="F161" s="23"/>
      <c r="G161" s="23"/>
      <c r="H161" s="23"/>
      <c r="I161" s="23"/>
      <c r="J161" s="23"/>
      <c r="K161" s="23"/>
      <c r="L161" s="23"/>
      <c r="M161" s="9"/>
      <c r="N161" s="23"/>
      <c r="O161" s="23"/>
      <c r="P161" s="23"/>
      <c r="Q161" s="23"/>
      <c r="R161" s="23"/>
      <c r="S161" s="23"/>
      <c r="T161" s="23"/>
      <c r="U161" s="9"/>
      <c r="V161" s="9"/>
      <c r="W161" s="23"/>
      <c r="X161" s="23"/>
      <c r="Y161" s="11"/>
      <c r="Z161" s="12"/>
      <c r="AA161" s="12"/>
      <c r="AB161" s="12"/>
      <c r="AC161" s="13"/>
      <c r="AD161" s="7"/>
      <c r="AE161" s="7"/>
      <c r="AF161" s="7"/>
      <c r="AG161" s="7"/>
      <c r="AH161" s="7"/>
      <c r="AI161" s="7"/>
      <c r="AJ161" s="7"/>
      <c r="AK161" s="7"/>
    </row>
    <row r="162" spans="1:37" ht="15" x14ac:dyDescent="0.25">
      <c r="A162" s="14"/>
      <c r="B162" s="7"/>
      <c r="C162" s="23"/>
      <c r="D162" s="9"/>
      <c r="E162" s="23"/>
      <c r="F162" s="23"/>
      <c r="G162" s="23"/>
      <c r="H162" s="23"/>
      <c r="I162" s="23"/>
      <c r="J162" s="23"/>
      <c r="K162" s="23"/>
      <c r="L162" s="23"/>
      <c r="M162" s="9"/>
      <c r="N162" s="23"/>
      <c r="O162" s="23"/>
      <c r="P162" s="23"/>
      <c r="Q162" s="23"/>
      <c r="R162" s="23"/>
      <c r="S162" s="23"/>
      <c r="T162" s="23"/>
      <c r="U162" s="9"/>
      <c r="V162" s="9"/>
      <c r="W162" s="23"/>
      <c r="X162" s="23"/>
      <c r="Y162" s="11"/>
      <c r="Z162" s="12"/>
      <c r="AA162" s="12"/>
      <c r="AB162" s="12"/>
      <c r="AC162" s="13"/>
      <c r="AD162" s="7"/>
      <c r="AE162" s="7"/>
      <c r="AF162" s="7"/>
      <c r="AG162" s="7"/>
      <c r="AH162" s="7"/>
      <c r="AI162" s="7"/>
      <c r="AJ162" s="7"/>
      <c r="AK162" s="7"/>
    </row>
    <row r="163" spans="1:37" ht="15" x14ac:dyDescent="0.25">
      <c r="A163" s="14"/>
      <c r="B163" s="7"/>
      <c r="C163" s="23"/>
      <c r="D163" s="9"/>
      <c r="E163" s="23"/>
      <c r="F163" s="23"/>
      <c r="G163" s="23"/>
      <c r="H163" s="23"/>
      <c r="I163" s="23"/>
      <c r="J163" s="23"/>
      <c r="K163" s="23"/>
      <c r="L163" s="23"/>
      <c r="M163" s="9"/>
      <c r="N163" s="23"/>
      <c r="O163" s="23"/>
      <c r="P163" s="23"/>
      <c r="Q163" s="23"/>
      <c r="R163" s="23"/>
      <c r="S163" s="23"/>
      <c r="T163" s="23"/>
      <c r="U163" s="9"/>
      <c r="V163" s="9"/>
      <c r="W163" s="23"/>
      <c r="X163" s="23"/>
      <c r="Y163" s="11"/>
      <c r="Z163" s="12"/>
      <c r="AA163" s="12"/>
      <c r="AB163" s="12"/>
      <c r="AC163" s="13"/>
      <c r="AD163" s="7"/>
      <c r="AE163" s="7"/>
      <c r="AF163" s="7"/>
      <c r="AG163" s="7"/>
      <c r="AH163" s="7"/>
      <c r="AI163" s="7"/>
      <c r="AJ163" s="7"/>
      <c r="AK163" s="7"/>
    </row>
    <row r="164" spans="1:37" ht="15" x14ac:dyDescent="0.25">
      <c r="A164" s="14"/>
      <c r="B164" s="7"/>
      <c r="C164" s="23"/>
      <c r="D164" s="9"/>
      <c r="E164" s="23"/>
      <c r="F164" s="23"/>
      <c r="G164" s="23"/>
      <c r="H164" s="23"/>
      <c r="I164" s="23"/>
      <c r="J164" s="23"/>
      <c r="K164" s="23"/>
      <c r="L164" s="23"/>
      <c r="M164" s="9"/>
      <c r="N164" s="23"/>
      <c r="O164" s="23"/>
      <c r="P164" s="23"/>
      <c r="Q164" s="23"/>
      <c r="R164" s="23"/>
      <c r="S164" s="23"/>
      <c r="T164" s="23"/>
      <c r="U164" s="9"/>
      <c r="V164" s="9"/>
      <c r="W164" s="23"/>
      <c r="X164" s="23"/>
      <c r="Y164" s="11"/>
      <c r="Z164" s="12"/>
      <c r="AA164" s="12"/>
      <c r="AB164" s="12"/>
      <c r="AC164" s="13"/>
      <c r="AD164" s="7"/>
      <c r="AE164" s="7"/>
      <c r="AF164" s="7"/>
      <c r="AG164" s="7"/>
      <c r="AH164" s="7"/>
      <c r="AI164" s="7"/>
      <c r="AJ164" s="7"/>
      <c r="AK164" s="7"/>
    </row>
    <row r="165" spans="1:37" ht="15" x14ac:dyDescent="0.25">
      <c r="A165" s="14"/>
      <c r="B165" s="7"/>
      <c r="C165" s="23"/>
      <c r="D165" s="9"/>
      <c r="E165" s="23"/>
      <c r="F165" s="23"/>
      <c r="G165" s="23"/>
      <c r="H165" s="23"/>
      <c r="I165" s="23"/>
      <c r="J165" s="23"/>
      <c r="K165" s="23"/>
      <c r="L165" s="23"/>
      <c r="M165" s="9"/>
      <c r="N165" s="23"/>
      <c r="O165" s="23"/>
      <c r="P165" s="23"/>
      <c r="Q165" s="23"/>
      <c r="R165" s="23"/>
      <c r="S165" s="23"/>
      <c r="T165" s="23"/>
      <c r="U165" s="9"/>
      <c r="V165" s="9"/>
      <c r="W165" s="23"/>
      <c r="X165" s="23"/>
      <c r="Y165" s="11"/>
      <c r="Z165" s="12"/>
      <c r="AA165" s="12"/>
      <c r="AB165" s="12"/>
      <c r="AC165" s="13"/>
      <c r="AD165" s="7"/>
      <c r="AE165" s="7"/>
      <c r="AF165" s="7"/>
      <c r="AG165" s="7"/>
      <c r="AH165" s="7"/>
      <c r="AI165" s="7"/>
      <c r="AJ165" s="7"/>
      <c r="AK165" s="7"/>
    </row>
    <row r="166" spans="1:37" ht="15" x14ac:dyDescent="0.25">
      <c r="A166" s="14"/>
      <c r="B166" s="7"/>
      <c r="C166" s="23"/>
      <c r="D166" s="9"/>
      <c r="E166" s="23"/>
      <c r="F166" s="23"/>
      <c r="G166" s="23"/>
      <c r="H166" s="23"/>
      <c r="I166" s="23"/>
      <c r="J166" s="23"/>
      <c r="K166" s="23"/>
      <c r="L166" s="23"/>
      <c r="M166" s="9"/>
      <c r="N166" s="23"/>
      <c r="O166" s="23"/>
      <c r="P166" s="23"/>
      <c r="Q166" s="23"/>
      <c r="R166" s="23"/>
      <c r="S166" s="23"/>
      <c r="T166" s="23"/>
      <c r="U166" s="9"/>
      <c r="V166" s="9"/>
      <c r="W166" s="23"/>
      <c r="X166" s="23"/>
      <c r="Y166" s="11"/>
      <c r="Z166" s="12"/>
      <c r="AA166" s="12"/>
      <c r="AB166" s="12"/>
      <c r="AC166" s="13"/>
      <c r="AD166" s="7"/>
      <c r="AE166" s="7"/>
      <c r="AF166" s="7"/>
      <c r="AG166" s="7"/>
      <c r="AH166" s="7"/>
      <c r="AI166" s="7"/>
      <c r="AJ166" s="7"/>
      <c r="AK166" s="7"/>
    </row>
    <row r="167" spans="1:37" ht="15" x14ac:dyDescent="0.25">
      <c r="A167" s="14"/>
      <c r="B167" s="7"/>
      <c r="C167" s="23"/>
      <c r="D167" s="9"/>
      <c r="E167" s="23"/>
      <c r="F167" s="23"/>
      <c r="G167" s="23"/>
      <c r="H167" s="23"/>
      <c r="I167" s="23"/>
      <c r="J167" s="23"/>
      <c r="K167" s="23"/>
      <c r="L167" s="23"/>
      <c r="M167" s="9"/>
      <c r="N167" s="23"/>
      <c r="O167" s="23"/>
      <c r="P167" s="23"/>
      <c r="Q167" s="23"/>
      <c r="R167" s="23"/>
      <c r="S167" s="23"/>
      <c r="T167" s="23"/>
      <c r="U167" s="9"/>
      <c r="V167" s="9"/>
      <c r="W167" s="23"/>
      <c r="X167" s="23"/>
      <c r="Y167" s="11"/>
      <c r="Z167" s="12"/>
      <c r="AA167" s="12"/>
      <c r="AB167" s="12"/>
      <c r="AC167" s="13"/>
      <c r="AD167" s="7"/>
      <c r="AE167" s="7"/>
      <c r="AF167" s="7"/>
      <c r="AG167" s="7"/>
      <c r="AH167" s="7"/>
      <c r="AI167" s="7"/>
      <c r="AJ167" s="7"/>
      <c r="AK167" s="7"/>
    </row>
    <row r="168" spans="1:37" ht="15" x14ac:dyDescent="0.25">
      <c r="A168" s="14"/>
      <c r="B168" s="7"/>
      <c r="C168" s="23"/>
      <c r="D168" s="9"/>
      <c r="E168" s="23"/>
      <c r="F168" s="23"/>
      <c r="G168" s="23"/>
      <c r="H168" s="23"/>
      <c r="I168" s="23"/>
      <c r="J168" s="23"/>
      <c r="K168" s="23"/>
      <c r="L168" s="23"/>
      <c r="M168" s="9"/>
      <c r="N168" s="23"/>
      <c r="O168" s="23"/>
      <c r="P168" s="23"/>
      <c r="Q168" s="23"/>
      <c r="R168" s="23"/>
      <c r="S168" s="23"/>
      <c r="T168" s="23"/>
      <c r="U168" s="9"/>
      <c r="V168" s="9"/>
      <c r="W168" s="23"/>
      <c r="X168" s="23"/>
      <c r="Y168" s="11"/>
      <c r="Z168" s="12"/>
      <c r="AA168" s="12"/>
      <c r="AB168" s="12"/>
      <c r="AC168" s="13"/>
      <c r="AD168" s="7"/>
      <c r="AE168" s="7"/>
      <c r="AF168" s="7"/>
      <c r="AG168" s="7"/>
      <c r="AH168" s="7"/>
      <c r="AI168" s="7"/>
      <c r="AJ168" s="7"/>
      <c r="AK168" s="7"/>
    </row>
    <row r="169" spans="1:37" ht="15" x14ac:dyDescent="0.25">
      <c r="A169" s="14"/>
      <c r="B169" s="7"/>
      <c r="C169" s="23"/>
      <c r="D169" s="9"/>
      <c r="E169" s="23"/>
      <c r="F169" s="23"/>
      <c r="G169" s="23"/>
      <c r="H169" s="23"/>
      <c r="I169" s="23"/>
      <c r="J169" s="23"/>
      <c r="K169" s="23"/>
      <c r="L169" s="23"/>
      <c r="M169" s="9"/>
      <c r="N169" s="23"/>
      <c r="O169" s="23"/>
      <c r="P169" s="23"/>
      <c r="Q169" s="23"/>
      <c r="R169" s="23"/>
      <c r="S169" s="23"/>
      <c r="T169" s="23"/>
      <c r="U169" s="9"/>
      <c r="V169" s="9"/>
      <c r="W169" s="23"/>
      <c r="X169" s="23"/>
      <c r="Y169" s="11"/>
      <c r="Z169" s="12"/>
      <c r="AA169" s="12"/>
      <c r="AB169" s="12"/>
      <c r="AC169" s="13"/>
      <c r="AD169" s="7"/>
      <c r="AE169" s="7"/>
      <c r="AF169" s="7"/>
      <c r="AG169" s="7"/>
      <c r="AH169" s="7"/>
      <c r="AI169" s="7"/>
      <c r="AJ169" s="7"/>
      <c r="AK169" s="7"/>
    </row>
    <row r="170" spans="1:37" ht="15" x14ac:dyDescent="0.25">
      <c r="A170" s="14"/>
      <c r="B170" s="7"/>
      <c r="C170" s="23"/>
      <c r="D170" s="9"/>
      <c r="E170" s="23"/>
      <c r="F170" s="23"/>
      <c r="G170" s="23"/>
      <c r="H170" s="23"/>
      <c r="I170" s="23"/>
      <c r="J170" s="23"/>
      <c r="K170" s="23"/>
      <c r="L170" s="9"/>
      <c r="M170" s="9"/>
      <c r="N170" s="23"/>
      <c r="O170" s="23"/>
      <c r="P170" s="23"/>
      <c r="Q170" s="23"/>
      <c r="R170" s="23"/>
      <c r="S170" s="23"/>
      <c r="T170" s="23"/>
      <c r="U170" s="9"/>
      <c r="V170" s="7"/>
      <c r="W170" s="23"/>
      <c r="X170" s="23"/>
      <c r="Y170" s="23"/>
      <c r="Z170" s="12"/>
      <c r="AA170" s="12"/>
      <c r="AB170" s="12"/>
      <c r="AC170" s="13"/>
      <c r="AD170" s="7"/>
      <c r="AE170" s="7"/>
      <c r="AF170" s="7"/>
      <c r="AG170" s="7"/>
      <c r="AH170" s="7"/>
      <c r="AI170" s="7"/>
      <c r="AJ170" s="7"/>
      <c r="AK170" s="7"/>
    </row>
    <row r="171" spans="1:37" ht="15" x14ac:dyDescent="0.25">
      <c r="A171" s="14"/>
      <c r="B171" s="7"/>
      <c r="C171" s="23"/>
      <c r="D171" s="9"/>
      <c r="E171" s="23"/>
      <c r="F171" s="23"/>
      <c r="G171" s="23"/>
      <c r="H171" s="23"/>
      <c r="I171" s="23"/>
      <c r="J171" s="23"/>
      <c r="K171" s="23"/>
      <c r="L171" s="23"/>
      <c r="M171" s="9"/>
      <c r="N171" s="23"/>
      <c r="O171" s="23"/>
      <c r="P171" s="23"/>
      <c r="Q171" s="23"/>
      <c r="R171" s="23"/>
      <c r="S171" s="23"/>
      <c r="T171" s="23"/>
      <c r="U171" s="9"/>
      <c r="V171" s="9"/>
      <c r="W171" s="23"/>
      <c r="X171" s="23"/>
      <c r="Y171" s="23"/>
      <c r="Z171" s="12"/>
      <c r="AA171" s="12"/>
      <c r="AB171" s="12"/>
      <c r="AC171" s="13"/>
      <c r="AD171" s="7"/>
      <c r="AE171" s="7"/>
      <c r="AF171" s="7"/>
      <c r="AG171" s="7"/>
      <c r="AH171" s="7"/>
      <c r="AI171" s="7"/>
      <c r="AJ171" s="7"/>
      <c r="AK171" s="7"/>
    </row>
    <row r="172" spans="1:37" ht="15" x14ac:dyDescent="0.25">
      <c r="A172" s="14"/>
      <c r="B172" s="7"/>
      <c r="C172" s="23"/>
      <c r="D172" s="9"/>
      <c r="E172" s="23"/>
      <c r="F172" s="23"/>
      <c r="G172" s="23"/>
      <c r="H172" s="23"/>
      <c r="I172" s="23"/>
      <c r="J172" s="23"/>
      <c r="K172" s="23"/>
      <c r="L172" s="23"/>
      <c r="M172" s="9"/>
      <c r="N172" s="23"/>
      <c r="O172" s="23"/>
      <c r="P172" s="23"/>
      <c r="Q172" s="23"/>
      <c r="R172" s="23"/>
      <c r="S172" s="23"/>
      <c r="T172" s="23"/>
      <c r="U172" s="9"/>
      <c r="V172" s="9"/>
      <c r="W172" s="23"/>
      <c r="X172" s="23"/>
      <c r="Y172" s="23"/>
      <c r="Z172" s="12"/>
      <c r="AA172" s="12"/>
      <c r="AB172" s="12"/>
      <c r="AC172" s="13"/>
      <c r="AD172" s="7"/>
      <c r="AE172" s="7"/>
      <c r="AF172" s="7"/>
      <c r="AG172" s="7"/>
      <c r="AH172" s="7"/>
      <c r="AI172" s="7"/>
      <c r="AJ172" s="7"/>
      <c r="AK172" s="7"/>
    </row>
    <row r="173" spans="1:37" ht="15" x14ac:dyDescent="0.25">
      <c r="A173" s="14"/>
      <c r="B173" s="7"/>
      <c r="C173" s="23"/>
      <c r="D173" s="9"/>
      <c r="E173" s="23"/>
      <c r="F173" s="23"/>
      <c r="G173" s="23"/>
      <c r="H173" s="23"/>
      <c r="I173" s="23"/>
      <c r="J173" s="23"/>
      <c r="K173" s="23"/>
      <c r="L173" s="23"/>
      <c r="M173" s="9"/>
      <c r="N173" s="23"/>
      <c r="O173" s="23"/>
      <c r="P173" s="23"/>
      <c r="Q173" s="23"/>
      <c r="R173" s="23"/>
      <c r="S173" s="23"/>
      <c r="T173" s="23"/>
      <c r="U173" s="9"/>
      <c r="V173" s="9"/>
      <c r="W173" s="23"/>
      <c r="X173" s="23"/>
      <c r="Y173" s="23"/>
      <c r="Z173" s="12"/>
      <c r="AA173" s="12"/>
      <c r="AB173" s="12"/>
      <c r="AC173" s="13"/>
      <c r="AD173" s="7"/>
      <c r="AE173" s="7"/>
      <c r="AF173" s="7"/>
      <c r="AG173" s="7"/>
      <c r="AH173" s="7"/>
      <c r="AI173" s="7"/>
      <c r="AJ173" s="7"/>
      <c r="AK173" s="7"/>
    </row>
    <row r="174" spans="1:37" ht="15" x14ac:dyDescent="0.25">
      <c r="A174" s="14"/>
      <c r="B174" s="7"/>
      <c r="C174" s="23"/>
      <c r="D174" s="9"/>
      <c r="E174" s="23"/>
      <c r="F174" s="23"/>
      <c r="G174" s="23"/>
      <c r="H174" s="23"/>
      <c r="I174" s="23"/>
      <c r="J174" s="23"/>
      <c r="K174" s="23"/>
      <c r="L174" s="23"/>
      <c r="M174" s="9"/>
      <c r="N174" s="23"/>
      <c r="O174" s="23"/>
      <c r="P174" s="23"/>
      <c r="Q174" s="23"/>
      <c r="R174" s="23"/>
      <c r="S174" s="23"/>
      <c r="T174" s="23"/>
      <c r="U174" s="9"/>
      <c r="V174" s="9"/>
      <c r="W174" s="23"/>
      <c r="X174" s="23"/>
      <c r="Y174" s="23"/>
      <c r="Z174" s="12"/>
      <c r="AA174" s="12"/>
      <c r="AB174" s="12"/>
      <c r="AC174" s="13"/>
      <c r="AD174" s="7"/>
      <c r="AE174" s="7"/>
      <c r="AF174" s="7"/>
      <c r="AG174" s="7"/>
      <c r="AH174" s="7"/>
      <c r="AI174" s="7"/>
      <c r="AJ174" s="7"/>
      <c r="AK174" s="7"/>
    </row>
    <row r="175" spans="1:37" ht="15" x14ac:dyDescent="0.25">
      <c r="A175" s="14"/>
      <c r="B175" s="7"/>
      <c r="C175" s="23"/>
      <c r="D175" s="9"/>
      <c r="E175" s="23"/>
      <c r="F175" s="23"/>
      <c r="G175" s="23"/>
      <c r="H175" s="23"/>
      <c r="I175" s="23"/>
      <c r="J175" s="23"/>
      <c r="K175" s="23"/>
      <c r="L175" s="23"/>
      <c r="M175" s="9"/>
      <c r="N175" s="23"/>
      <c r="O175" s="23"/>
      <c r="P175" s="23"/>
      <c r="Q175" s="23"/>
      <c r="R175" s="23"/>
      <c r="S175" s="23"/>
      <c r="T175" s="23"/>
      <c r="U175" s="9"/>
      <c r="V175" s="9"/>
      <c r="W175" s="23"/>
      <c r="X175" s="23"/>
      <c r="Y175" s="23"/>
      <c r="Z175" s="12"/>
      <c r="AA175" s="12"/>
      <c r="AB175" s="12"/>
      <c r="AC175" s="13"/>
      <c r="AD175" s="7"/>
      <c r="AE175" s="7"/>
      <c r="AF175" s="7"/>
      <c r="AG175" s="7"/>
      <c r="AH175" s="7"/>
      <c r="AI175" s="7"/>
      <c r="AJ175" s="7"/>
      <c r="AK175" s="7"/>
    </row>
    <row r="176" spans="1:37" ht="15" x14ac:dyDescent="0.25">
      <c r="A176" s="14"/>
      <c r="B176" s="7"/>
      <c r="C176" s="23"/>
      <c r="D176" s="9"/>
      <c r="E176" s="23"/>
      <c r="F176" s="23"/>
      <c r="G176" s="23"/>
      <c r="H176" s="23"/>
      <c r="I176" s="23"/>
      <c r="J176" s="23"/>
      <c r="K176" s="23"/>
      <c r="L176" s="23"/>
      <c r="M176" s="9"/>
      <c r="N176" s="23"/>
      <c r="O176" s="23"/>
      <c r="P176" s="23"/>
      <c r="Q176" s="23"/>
      <c r="R176" s="23"/>
      <c r="S176" s="23"/>
      <c r="T176" s="23"/>
      <c r="U176" s="9"/>
      <c r="V176" s="9"/>
      <c r="W176" s="23"/>
      <c r="X176" s="23"/>
      <c r="Y176" s="23"/>
      <c r="Z176" s="12"/>
      <c r="AA176" s="12"/>
      <c r="AB176" s="12"/>
      <c r="AC176" s="13"/>
      <c r="AD176" s="7"/>
      <c r="AE176" s="7"/>
      <c r="AF176" s="7"/>
      <c r="AG176" s="7"/>
      <c r="AH176" s="7"/>
      <c r="AI176" s="7"/>
      <c r="AJ176" s="7"/>
      <c r="AK176" s="7"/>
    </row>
    <row r="177" spans="1:37" ht="15" x14ac:dyDescent="0.25">
      <c r="A177" s="14"/>
      <c r="B177" s="7"/>
      <c r="C177" s="23"/>
      <c r="D177" s="9"/>
      <c r="E177" s="23"/>
      <c r="F177" s="23"/>
      <c r="G177" s="23"/>
      <c r="H177" s="23"/>
      <c r="I177" s="23"/>
      <c r="J177" s="23"/>
      <c r="K177" s="23"/>
      <c r="L177" s="23"/>
      <c r="M177" s="9"/>
      <c r="N177" s="23"/>
      <c r="O177" s="23"/>
      <c r="P177" s="23"/>
      <c r="Q177" s="23"/>
      <c r="R177" s="23"/>
      <c r="S177" s="23"/>
      <c r="T177" s="23"/>
      <c r="U177" s="9"/>
      <c r="V177" s="9"/>
      <c r="W177" s="23"/>
      <c r="X177" s="23"/>
      <c r="Y177" s="23"/>
      <c r="Z177" s="12"/>
      <c r="AA177" s="12"/>
      <c r="AB177" s="12"/>
      <c r="AC177" s="13"/>
      <c r="AD177" s="7"/>
      <c r="AE177" s="7"/>
      <c r="AF177" s="7"/>
      <c r="AG177" s="7"/>
      <c r="AH177" s="7"/>
      <c r="AI177" s="7"/>
      <c r="AJ177" s="7"/>
      <c r="AK177" s="7"/>
    </row>
    <row r="178" spans="1:37" ht="15" x14ac:dyDescent="0.25">
      <c r="A178" s="14"/>
      <c r="B178" s="7"/>
      <c r="C178" s="23"/>
      <c r="D178" s="9"/>
      <c r="E178" s="23"/>
      <c r="F178" s="23"/>
      <c r="G178" s="23"/>
      <c r="H178" s="23"/>
      <c r="I178" s="23"/>
      <c r="J178" s="23"/>
      <c r="K178" s="23"/>
      <c r="L178" s="23"/>
      <c r="M178" s="9"/>
      <c r="N178" s="23"/>
      <c r="O178" s="23"/>
      <c r="P178" s="23"/>
      <c r="Q178" s="23"/>
      <c r="R178" s="23"/>
      <c r="S178" s="23"/>
      <c r="T178" s="23"/>
      <c r="U178" s="9"/>
      <c r="V178" s="9"/>
      <c r="W178" s="23"/>
      <c r="X178" s="23"/>
      <c r="Y178" s="23"/>
      <c r="Z178" s="12"/>
      <c r="AA178" s="12"/>
      <c r="AB178" s="12"/>
      <c r="AC178" s="13"/>
      <c r="AD178" s="7"/>
      <c r="AE178" s="7"/>
      <c r="AF178" s="7"/>
      <c r="AG178" s="7"/>
      <c r="AH178" s="7"/>
      <c r="AI178" s="7"/>
      <c r="AJ178" s="7"/>
      <c r="AK178" s="7"/>
    </row>
    <row r="179" spans="1:37" ht="15" x14ac:dyDescent="0.25">
      <c r="A179" s="14"/>
      <c r="B179" s="7"/>
      <c r="C179" s="23"/>
      <c r="D179" s="9"/>
      <c r="E179" s="23"/>
      <c r="F179" s="23"/>
      <c r="G179" s="23"/>
      <c r="H179" s="23"/>
      <c r="I179" s="23"/>
      <c r="J179" s="23"/>
      <c r="K179" s="23"/>
      <c r="L179" s="23"/>
      <c r="M179" s="9"/>
      <c r="N179" s="23"/>
      <c r="O179" s="23"/>
      <c r="P179" s="23"/>
      <c r="Q179" s="23"/>
      <c r="R179" s="23"/>
      <c r="S179" s="23"/>
      <c r="T179" s="23"/>
      <c r="U179" s="9"/>
      <c r="V179" s="9"/>
      <c r="W179" s="23"/>
      <c r="X179" s="23"/>
      <c r="Y179" s="23"/>
      <c r="Z179" s="12"/>
      <c r="AA179" s="12"/>
      <c r="AB179" s="12"/>
      <c r="AC179" s="13"/>
      <c r="AD179" s="7"/>
      <c r="AE179" s="7"/>
      <c r="AF179" s="7"/>
      <c r="AG179" s="7"/>
      <c r="AH179" s="7"/>
      <c r="AI179" s="7"/>
      <c r="AJ179" s="7"/>
      <c r="AK179" s="7"/>
    </row>
    <row r="180" spans="1:37" ht="15" x14ac:dyDescent="0.25">
      <c r="A180" s="14"/>
      <c r="B180" s="7"/>
      <c r="C180" s="23"/>
      <c r="D180" s="9"/>
      <c r="E180" s="23"/>
      <c r="F180" s="23"/>
      <c r="G180" s="23"/>
      <c r="H180" s="23"/>
      <c r="I180" s="23"/>
      <c r="J180" s="23"/>
      <c r="K180" s="23"/>
      <c r="L180" s="23"/>
      <c r="M180" s="9"/>
      <c r="N180" s="23"/>
      <c r="O180" s="23"/>
      <c r="P180" s="23"/>
      <c r="Q180" s="23"/>
      <c r="R180" s="23"/>
      <c r="S180" s="23"/>
      <c r="T180" s="23"/>
      <c r="U180" s="9"/>
      <c r="V180" s="9"/>
      <c r="W180" s="23"/>
      <c r="X180" s="23"/>
      <c r="Y180" s="23"/>
      <c r="Z180" s="12"/>
      <c r="AA180" s="12"/>
      <c r="AB180" s="12"/>
      <c r="AC180" s="13"/>
      <c r="AD180" s="7"/>
      <c r="AE180" s="7"/>
      <c r="AF180" s="7"/>
      <c r="AG180" s="7"/>
      <c r="AH180" s="7"/>
      <c r="AI180" s="7"/>
      <c r="AJ180" s="7"/>
      <c r="AK180" s="7"/>
    </row>
    <row r="181" spans="1:37" ht="15" x14ac:dyDescent="0.25">
      <c r="A181" s="14"/>
      <c r="B181" s="7"/>
      <c r="C181" s="23"/>
      <c r="D181" s="9"/>
      <c r="E181" s="23"/>
      <c r="F181" s="23"/>
      <c r="G181" s="23"/>
      <c r="H181" s="23"/>
      <c r="I181" s="23"/>
      <c r="J181" s="23"/>
      <c r="K181" s="23"/>
      <c r="L181" s="23"/>
      <c r="M181" s="9"/>
      <c r="N181" s="23"/>
      <c r="O181" s="23"/>
      <c r="P181" s="23"/>
      <c r="Q181" s="23"/>
      <c r="R181" s="23"/>
      <c r="S181" s="23"/>
      <c r="T181" s="23"/>
      <c r="U181" s="9"/>
      <c r="V181" s="9"/>
      <c r="W181" s="23"/>
      <c r="X181" s="23"/>
      <c r="Y181" s="11"/>
      <c r="Z181" s="12"/>
      <c r="AA181" s="12"/>
      <c r="AB181" s="12"/>
      <c r="AC181" s="13"/>
      <c r="AD181" s="7"/>
      <c r="AE181" s="7"/>
      <c r="AF181" s="7"/>
      <c r="AG181" s="7"/>
      <c r="AH181" s="7"/>
      <c r="AI181" s="7"/>
      <c r="AJ181" s="7"/>
      <c r="AK181" s="7"/>
    </row>
    <row r="182" spans="1:37" ht="15" x14ac:dyDescent="0.25">
      <c r="A182" s="14"/>
      <c r="B182" s="7"/>
      <c r="C182" s="23"/>
      <c r="D182" s="9"/>
      <c r="E182" s="23"/>
      <c r="F182" s="23"/>
      <c r="G182" s="23"/>
      <c r="H182" s="23"/>
      <c r="I182" s="23"/>
      <c r="J182" s="23"/>
      <c r="K182" s="23"/>
      <c r="L182" s="23"/>
      <c r="M182" s="9"/>
      <c r="N182" s="23"/>
      <c r="O182" s="23"/>
      <c r="P182" s="23"/>
      <c r="Q182" s="23"/>
      <c r="R182" s="23"/>
      <c r="S182" s="23"/>
      <c r="T182" s="23"/>
      <c r="U182" s="9"/>
      <c r="V182" s="9"/>
      <c r="W182" s="23"/>
      <c r="X182" s="23"/>
      <c r="Y182" s="11"/>
      <c r="Z182" s="12"/>
      <c r="AA182" s="12"/>
      <c r="AB182" s="12"/>
      <c r="AC182" s="13"/>
      <c r="AD182" s="7"/>
      <c r="AE182" s="7"/>
      <c r="AF182" s="7"/>
      <c r="AG182" s="7"/>
      <c r="AH182" s="7"/>
      <c r="AI182" s="7"/>
      <c r="AJ182" s="7"/>
      <c r="AK182" s="7"/>
    </row>
    <row r="183" spans="1:37" ht="15" x14ac:dyDescent="0.25">
      <c r="A183" s="14"/>
      <c r="B183" s="7"/>
      <c r="C183" s="23"/>
      <c r="D183" s="9"/>
      <c r="E183" s="23"/>
      <c r="F183" s="23"/>
      <c r="G183" s="23"/>
      <c r="H183" s="23"/>
      <c r="I183" s="23"/>
      <c r="J183" s="23"/>
      <c r="K183" s="23"/>
      <c r="L183" s="23"/>
      <c r="M183" s="9"/>
      <c r="N183" s="23"/>
      <c r="O183" s="23"/>
      <c r="P183" s="23"/>
      <c r="Q183" s="23"/>
      <c r="R183" s="23"/>
      <c r="S183" s="23"/>
      <c r="T183" s="23"/>
      <c r="U183" s="23"/>
      <c r="V183" s="9"/>
      <c r="W183" s="23"/>
      <c r="X183" s="23"/>
      <c r="Y183" s="11"/>
      <c r="Z183" s="12"/>
      <c r="AA183" s="12"/>
      <c r="AB183" s="12"/>
      <c r="AC183" s="13"/>
      <c r="AD183" s="7"/>
      <c r="AE183" s="7"/>
      <c r="AF183" s="7"/>
      <c r="AG183" s="7"/>
      <c r="AH183" s="7"/>
      <c r="AI183" s="7"/>
      <c r="AJ183" s="7"/>
      <c r="AK183" s="7"/>
    </row>
    <row r="184" spans="1:37" ht="15" x14ac:dyDescent="0.25">
      <c r="A184" s="14"/>
      <c r="B184" s="7"/>
      <c r="C184" s="23"/>
      <c r="D184" s="9"/>
      <c r="E184" s="23"/>
      <c r="F184" s="23"/>
      <c r="G184" s="23"/>
      <c r="H184" s="23"/>
      <c r="I184" s="23"/>
      <c r="J184" s="23"/>
      <c r="K184" s="23"/>
      <c r="L184" s="23"/>
      <c r="M184" s="9"/>
      <c r="N184" s="23"/>
      <c r="O184" s="23"/>
      <c r="P184" s="23"/>
      <c r="Q184" s="23"/>
      <c r="R184" s="23"/>
      <c r="S184" s="23"/>
      <c r="T184" s="23"/>
      <c r="U184" s="23"/>
      <c r="V184" s="9"/>
      <c r="W184" s="23"/>
      <c r="X184" s="23"/>
      <c r="Y184" s="11"/>
      <c r="Z184" s="12"/>
      <c r="AA184" s="12"/>
      <c r="AB184" s="12"/>
      <c r="AC184" s="13"/>
      <c r="AD184" s="7"/>
      <c r="AE184" s="7"/>
      <c r="AF184" s="7"/>
      <c r="AG184" s="7"/>
      <c r="AH184" s="7"/>
      <c r="AI184" s="7"/>
      <c r="AJ184" s="7"/>
      <c r="AK184" s="7"/>
    </row>
    <row r="185" spans="1:37" ht="15" x14ac:dyDescent="0.25">
      <c r="A185" s="14"/>
      <c r="B185" s="7"/>
      <c r="C185" s="23"/>
      <c r="D185" s="9"/>
      <c r="E185" s="23"/>
      <c r="F185" s="23"/>
      <c r="G185" s="23"/>
      <c r="H185" s="23"/>
      <c r="I185" s="23"/>
      <c r="J185" s="23"/>
      <c r="K185" s="23"/>
      <c r="L185" s="9"/>
      <c r="M185" s="9"/>
      <c r="N185" s="23"/>
      <c r="O185" s="23"/>
      <c r="P185" s="23"/>
      <c r="Q185" s="23"/>
      <c r="R185" s="23"/>
      <c r="S185" s="23"/>
      <c r="T185" s="23"/>
      <c r="U185" s="23"/>
      <c r="V185" s="7"/>
      <c r="W185" s="23"/>
      <c r="X185" s="23"/>
      <c r="Y185" s="23"/>
      <c r="Z185" s="12"/>
      <c r="AA185" s="12"/>
      <c r="AB185" s="12"/>
      <c r="AC185" s="13"/>
      <c r="AD185" s="7"/>
      <c r="AE185" s="7"/>
      <c r="AF185" s="7"/>
      <c r="AG185" s="7"/>
      <c r="AH185" s="7"/>
      <c r="AI185" s="7"/>
      <c r="AJ185" s="7"/>
      <c r="AK185" s="7"/>
    </row>
    <row r="186" spans="1:37" ht="15" x14ac:dyDescent="0.25">
      <c r="A186" s="14"/>
      <c r="B186" s="7"/>
      <c r="C186" s="23"/>
      <c r="D186" s="9"/>
      <c r="E186" s="23"/>
      <c r="F186" s="23"/>
      <c r="G186" s="23"/>
      <c r="H186" s="23"/>
      <c r="I186" s="23"/>
      <c r="J186" s="23"/>
      <c r="K186" s="23"/>
      <c r="L186" s="23"/>
      <c r="M186" s="9"/>
      <c r="N186" s="23"/>
      <c r="O186" s="23"/>
      <c r="P186" s="23"/>
      <c r="Q186" s="23"/>
      <c r="R186" s="23"/>
      <c r="S186" s="23"/>
      <c r="T186" s="23"/>
      <c r="U186" s="23"/>
      <c r="V186" s="9"/>
      <c r="W186" s="23"/>
      <c r="X186" s="23"/>
      <c r="Y186" s="23"/>
      <c r="Z186" s="12"/>
      <c r="AA186" s="12"/>
      <c r="AB186" s="12"/>
      <c r="AC186" s="13"/>
      <c r="AD186" s="7"/>
      <c r="AE186" s="7"/>
      <c r="AF186" s="7"/>
      <c r="AG186" s="7"/>
      <c r="AH186" s="7"/>
      <c r="AI186" s="7"/>
      <c r="AJ186" s="7"/>
      <c r="AK186" s="7"/>
    </row>
    <row r="187" spans="1:37" ht="15" x14ac:dyDescent="0.25">
      <c r="A187" s="14"/>
      <c r="B187" s="7"/>
      <c r="C187" s="23"/>
      <c r="D187" s="9"/>
      <c r="E187" s="23"/>
      <c r="F187" s="23"/>
      <c r="G187" s="23"/>
      <c r="H187" s="23"/>
      <c r="I187" s="23"/>
      <c r="J187" s="23"/>
      <c r="K187" s="23"/>
      <c r="L187" s="23"/>
      <c r="M187" s="9"/>
      <c r="N187" s="23"/>
      <c r="O187" s="23"/>
      <c r="P187" s="23"/>
      <c r="Q187" s="23"/>
      <c r="R187" s="23"/>
      <c r="S187" s="23"/>
      <c r="T187" s="23"/>
      <c r="U187" s="23"/>
      <c r="V187" s="9"/>
      <c r="W187" s="23"/>
      <c r="X187" s="23"/>
      <c r="Y187" s="23"/>
      <c r="Z187" s="12"/>
      <c r="AA187" s="12"/>
      <c r="AB187" s="12"/>
      <c r="AC187" s="13"/>
      <c r="AD187" s="7"/>
      <c r="AE187" s="7"/>
      <c r="AF187" s="7"/>
      <c r="AG187" s="7"/>
      <c r="AH187" s="7"/>
      <c r="AI187" s="7"/>
      <c r="AJ187" s="7"/>
      <c r="AK187" s="7"/>
    </row>
    <row r="188" spans="1:37" ht="15" x14ac:dyDescent="0.25">
      <c r="A188" s="14"/>
      <c r="B188" s="7"/>
      <c r="C188" s="23"/>
      <c r="D188" s="9"/>
      <c r="E188" s="23"/>
      <c r="F188" s="23"/>
      <c r="G188" s="23"/>
      <c r="H188" s="23"/>
      <c r="I188" s="23"/>
      <c r="J188" s="23"/>
      <c r="K188" s="23"/>
      <c r="L188" s="23"/>
      <c r="M188" s="9"/>
      <c r="N188" s="23"/>
      <c r="O188" s="23"/>
      <c r="P188" s="23"/>
      <c r="Q188" s="23"/>
      <c r="R188" s="23"/>
      <c r="S188" s="23"/>
      <c r="T188" s="23"/>
      <c r="U188" s="23"/>
      <c r="V188" s="9"/>
      <c r="W188" s="23"/>
      <c r="X188" s="23"/>
      <c r="Y188" s="23"/>
      <c r="Z188" s="12"/>
      <c r="AA188" s="12"/>
      <c r="AB188" s="12"/>
      <c r="AC188" s="13"/>
      <c r="AD188" s="7"/>
      <c r="AE188" s="7"/>
      <c r="AF188" s="7"/>
      <c r="AG188" s="7"/>
      <c r="AH188" s="7"/>
      <c r="AI188" s="7"/>
      <c r="AJ188" s="7"/>
      <c r="AK188" s="7"/>
    </row>
    <row r="189" spans="1:37" ht="15" x14ac:dyDescent="0.25">
      <c r="A189" s="14"/>
      <c r="B189" s="7"/>
      <c r="C189" s="23"/>
      <c r="D189" s="9"/>
      <c r="E189" s="23"/>
      <c r="F189" s="23"/>
      <c r="G189" s="23"/>
      <c r="H189" s="23"/>
      <c r="I189" s="23"/>
      <c r="J189" s="23"/>
      <c r="K189" s="23"/>
      <c r="L189" s="23"/>
      <c r="M189" s="9"/>
      <c r="N189" s="23"/>
      <c r="O189" s="23"/>
      <c r="P189" s="23"/>
      <c r="Q189" s="23"/>
      <c r="R189" s="23"/>
      <c r="S189" s="23"/>
      <c r="T189" s="23"/>
      <c r="U189" s="23"/>
      <c r="V189" s="9"/>
      <c r="W189" s="23"/>
      <c r="X189" s="23"/>
      <c r="Y189" s="23"/>
      <c r="Z189" s="12"/>
      <c r="AA189" s="12"/>
      <c r="AB189" s="12"/>
      <c r="AC189" s="13"/>
      <c r="AD189" s="7"/>
      <c r="AE189" s="7"/>
      <c r="AF189" s="7"/>
      <c r="AG189" s="7"/>
      <c r="AH189" s="7"/>
      <c r="AI189" s="7"/>
      <c r="AJ189" s="7"/>
      <c r="AK189" s="7"/>
    </row>
    <row r="190" spans="1:37" ht="15" x14ac:dyDescent="0.25">
      <c r="A190" s="14"/>
      <c r="B190" s="7"/>
      <c r="C190" s="23"/>
      <c r="D190" s="9"/>
      <c r="E190" s="23"/>
      <c r="F190" s="23"/>
      <c r="G190" s="23"/>
      <c r="H190" s="23"/>
      <c r="I190" s="23"/>
      <c r="J190" s="23"/>
      <c r="K190" s="23"/>
      <c r="L190" s="23"/>
      <c r="M190" s="9"/>
      <c r="N190" s="23"/>
      <c r="O190" s="23"/>
      <c r="P190" s="23"/>
      <c r="Q190" s="23"/>
      <c r="R190" s="23"/>
      <c r="S190" s="23"/>
      <c r="T190" s="23"/>
      <c r="U190" s="23"/>
      <c r="V190" s="9"/>
      <c r="W190" s="23"/>
      <c r="X190" s="23"/>
      <c r="Y190" s="23"/>
      <c r="Z190" s="12"/>
      <c r="AA190" s="12"/>
      <c r="AB190" s="12"/>
      <c r="AC190" s="13"/>
      <c r="AD190" s="7"/>
      <c r="AE190" s="7"/>
      <c r="AF190" s="7"/>
      <c r="AG190" s="7"/>
      <c r="AH190" s="7"/>
      <c r="AI190" s="7"/>
      <c r="AJ190" s="7"/>
      <c r="AK190" s="7"/>
    </row>
    <row r="191" spans="1:37" ht="15" x14ac:dyDescent="0.25">
      <c r="A191" s="14"/>
      <c r="B191" s="7"/>
      <c r="C191" s="23"/>
      <c r="D191" s="9"/>
      <c r="E191" s="23"/>
      <c r="F191" s="23"/>
      <c r="G191" s="23"/>
      <c r="H191" s="23"/>
      <c r="I191" s="23"/>
      <c r="J191" s="23"/>
      <c r="K191" s="23"/>
      <c r="L191" s="23"/>
      <c r="M191" s="9"/>
      <c r="N191" s="23"/>
      <c r="O191" s="23"/>
      <c r="P191" s="23"/>
      <c r="Q191" s="23"/>
      <c r="R191" s="23"/>
      <c r="S191" s="23"/>
      <c r="T191" s="23"/>
      <c r="U191" s="23"/>
      <c r="V191" s="9"/>
      <c r="W191" s="23"/>
      <c r="X191" s="23"/>
      <c r="Y191" s="23"/>
      <c r="Z191" s="12"/>
      <c r="AA191" s="12"/>
      <c r="AB191" s="12"/>
      <c r="AC191" s="13"/>
      <c r="AD191" s="7"/>
      <c r="AE191" s="7"/>
      <c r="AF191" s="7"/>
      <c r="AG191" s="7"/>
      <c r="AH191" s="7"/>
      <c r="AI191" s="7"/>
      <c r="AJ191" s="7"/>
      <c r="AK191" s="7"/>
    </row>
    <row r="192" spans="1:37" ht="15" x14ac:dyDescent="0.25">
      <c r="A192" s="14"/>
      <c r="B192" s="7"/>
      <c r="C192" s="23"/>
      <c r="D192" s="9"/>
      <c r="E192" s="23"/>
      <c r="F192" s="23"/>
      <c r="G192" s="23"/>
      <c r="H192" s="23"/>
      <c r="I192" s="23"/>
      <c r="J192" s="23"/>
      <c r="K192" s="23"/>
      <c r="L192" s="23"/>
      <c r="M192" s="9"/>
      <c r="N192" s="23"/>
      <c r="O192" s="23"/>
      <c r="P192" s="23"/>
      <c r="Q192" s="23"/>
      <c r="R192" s="23"/>
      <c r="S192" s="23"/>
      <c r="T192" s="23"/>
      <c r="U192" s="23"/>
      <c r="V192" s="9"/>
      <c r="W192" s="23"/>
      <c r="X192" s="23"/>
      <c r="Y192" s="23"/>
      <c r="Z192" s="12"/>
      <c r="AA192" s="12"/>
      <c r="AB192" s="12"/>
      <c r="AC192" s="13"/>
      <c r="AD192" s="7"/>
      <c r="AE192" s="7"/>
      <c r="AF192" s="7"/>
      <c r="AG192" s="7"/>
      <c r="AH192" s="7"/>
      <c r="AI192" s="7"/>
      <c r="AJ192" s="7"/>
      <c r="AK192" s="7"/>
    </row>
    <row r="193" spans="1:37" ht="15" x14ac:dyDescent="0.25">
      <c r="A193" s="14"/>
      <c r="B193" s="7"/>
      <c r="C193" s="23"/>
      <c r="D193" s="9"/>
      <c r="E193" s="23"/>
      <c r="F193" s="23"/>
      <c r="G193" s="23"/>
      <c r="H193" s="23"/>
      <c r="I193" s="23"/>
      <c r="J193" s="23"/>
      <c r="K193" s="23"/>
      <c r="L193" s="23"/>
      <c r="M193" s="9"/>
      <c r="N193" s="23"/>
      <c r="O193" s="23"/>
      <c r="P193" s="23"/>
      <c r="Q193" s="23"/>
      <c r="R193" s="23"/>
      <c r="S193" s="23"/>
      <c r="T193" s="23"/>
      <c r="U193" s="23"/>
      <c r="V193" s="9"/>
      <c r="W193" s="23"/>
      <c r="X193" s="23"/>
      <c r="Y193" s="23"/>
      <c r="Z193" s="12"/>
      <c r="AA193" s="12"/>
      <c r="AB193" s="12"/>
      <c r="AC193" s="13"/>
      <c r="AD193" s="7"/>
      <c r="AE193" s="7"/>
      <c r="AF193" s="7"/>
      <c r="AG193" s="7"/>
      <c r="AH193" s="7"/>
      <c r="AI193" s="7"/>
      <c r="AJ193" s="7"/>
      <c r="AK193" s="7"/>
    </row>
    <row r="194" spans="1:37" ht="15" x14ac:dyDescent="0.25">
      <c r="A194" s="14"/>
      <c r="B194" s="7"/>
      <c r="C194" s="23"/>
      <c r="D194" s="9"/>
      <c r="E194" s="23"/>
      <c r="F194" s="23"/>
      <c r="G194" s="23"/>
      <c r="H194" s="23"/>
      <c r="I194" s="23"/>
      <c r="J194" s="23"/>
      <c r="K194" s="23"/>
      <c r="L194" s="23"/>
      <c r="M194" s="9"/>
      <c r="N194" s="23"/>
      <c r="O194" s="23"/>
      <c r="P194" s="23"/>
      <c r="Q194" s="23"/>
      <c r="R194" s="23"/>
      <c r="S194" s="23"/>
      <c r="T194" s="23"/>
      <c r="U194" s="23"/>
      <c r="V194" s="9"/>
      <c r="W194" s="23"/>
      <c r="X194" s="23"/>
      <c r="Y194" s="23"/>
      <c r="Z194" s="12"/>
      <c r="AA194" s="12"/>
      <c r="AB194" s="12"/>
      <c r="AC194" s="13"/>
      <c r="AD194" s="7"/>
      <c r="AE194" s="7"/>
      <c r="AF194" s="7"/>
      <c r="AG194" s="7"/>
      <c r="AH194" s="7"/>
      <c r="AI194" s="7"/>
      <c r="AJ194" s="7"/>
      <c r="AK194" s="7"/>
    </row>
    <row r="195" spans="1:37" ht="15" x14ac:dyDescent="0.25">
      <c r="A195" s="14"/>
      <c r="B195" s="7"/>
      <c r="C195" s="23"/>
      <c r="D195" s="9"/>
      <c r="E195" s="23"/>
      <c r="F195" s="23"/>
      <c r="G195" s="23"/>
      <c r="H195" s="23"/>
      <c r="I195" s="23"/>
      <c r="J195" s="23"/>
      <c r="K195" s="23"/>
      <c r="L195" s="23"/>
      <c r="M195" s="9"/>
      <c r="N195" s="23"/>
      <c r="O195" s="23"/>
      <c r="P195" s="23"/>
      <c r="Q195" s="23"/>
      <c r="R195" s="23"/>
      <c r="S195" s="23"/>
      <c r="T195" s="23"/>
      <c r="U195" s="23"/>
      <c r="V195" s="9"/>
      <c r="W195" s="23"/>
      <c r="X195" s="23"/>
      <c r="Y195" s="23"/>
      <c r="Z195" s="12"/>
      <c r="AA195" s="12"/>
      <c r="AB195" s="12"/>
      <c r="AC195" s="13"/>
      <c r="AD195" s="7"/>
      <c r="AE195" s="7"/>
      <c r="AF195" s="7"/>
      <c r="AG195" s="7"/>
      <c r="AH195" s="7"/>
      <c r="AI195" s="7"/>
      <c r="AJ195" s="7"/>
      <c r="AK195" s="7"/>
    </row>
    <row r="196" spans="1:37" ht="15" x14ac:dyDescent="0.25">
      <c r="A196" s="14"/>
      <c r="B196" s="7"/>
      <c r="C196" s="23"/>
      <c r="D196" s="9"/>
      <c r="E196" s="23"/>
      <c r="F196" s="23"/>
      <c r="G196" s="23"/>
      <c r="H196" s="23"/>
      <c r="I196" s="23"/>
      <c r="J196" s="23"/>
      <c r="K196" s="23"/>
      <c r="L196" s="23"/>
      <c r="M196" s="9"/>
      <c r="N196" s="23"/>
      <c r="O196" s="23"/>
      <c r="P196" s="23"/>
      <c r="Q196" s="23"/>
      <c r="R196" s="23"/>
      <c r="S196" s="23"/>
      <c r="T196" s="23"/>
      <c r="U196" s="23"/>
      <c r="V196" s="9"/>
      <c r="W196" s="23"/>
      <c r="X196" s="23"/>
      <c r="Y196" s="11"/>
      <c r="Z196" s="12"/>
      <c r="AA196" s="12"/>
      <c r="AB196" s="12"/>
      <c r="AC196" s="13"/>
      <c r="AD196" s="7"/>
      <c r="AE196" s="7"/>
      <c r="AF196" s="7"/>
      <c r="AG196" s="7"/>
      <c r="AH196" s="7"/>
      <c r="AI196" s="7"/>
      <c r="AJ196" s="7"/>
      <c r="AK196" s="7"/>
    </row>
    <row r="197" spans="1:37" ht="15" x14ac:dyDescent="0.25">
      <c r="A197" s="14"/>
      <c r="B197" s="7"/>
      <c r="C197" s="23"/>
      <c r="D197" s="9"/>
      <c r="E197" s="23"/>
      <c r="F197" s="23"/>
      <c r="G197" s="23"/>
      <c r="H197" s="23"/>
      <c r="I197" s="23"/>
      <c r="J197" s="23"/>
      <c r="K197" s="23"/>
      <c r="L197" s="23"/>
      <c r="M197" s="9"/>
      <c r="N197" s="23"/>
      <c r="O197" s="23"/>
      <c r="P197" s="23"/>
      <c r="Q197" s="23"/>
      <c r="R197" s="23"/>
      <c r="S197" s="23"/>
      <c r="T197" s="23"/>
      <c r="U197" s="23"/>
      <c r="V197" s="9"/>
      <c r="W197" s="23"/>
      <c r="X197" s="23"/>
      <c r="Y197" s="11"/>
      <c r="Z197" s="12"/>
      <c r="AA197" s="12"/>
      <c r="AB197" s="12"/>
      <c r="AC197" s="13"/>
      <c r="AD197" s="7"/>
      <c r="AE197" s="7"/>
      <c r="AF197" s="7"/>
      <c r="AG197" s="7"/>
      <c r="AH197" s="7"/>
      <c r="AI197" s="7"/>
      <c r="AJ197" s="7"/>
      <c r="AK197" s="7"/>
    </row>
    <row r="198" spans="1:37" ht="15" x14ac:dyDescent="0.25">
      <c r="A198" s="14"/>
      <c r="B198" s="7"/>
      <c r="C198" s="23"/>
      <c r="D198" s="9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9"/>
      <c r="W198" s="23"/>
      <c r="X198" s="23"/>
      <c r="Y198" s="11"/>
      <c r="Z198" s="12"/>
      <c r="AA198" s="12"/>
      <c r="AB198" s="12"/>
      <c r="AC198" s="13"/>
      <c r="AD198" s="7"/>
      <c r="AE198" s="7"/>
      <c r="AF198" s="7"/>
      <c r="AG198" s="7"/>
      <c r="AH198" s="7"/>
      <c r="AI198" s="7"/>
      <c r="AJ198" s="7"/>
      <c r="AK198" s="7"/>
    </row>
    <row r="199" spans="1:37" ht="15" x14ac:dyDescent="0.25">
      <c r="A199" s="14"/>
      <c r="B199" s="7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7"/>
      <c r="W199" s="7"/>
      <c r="X199" s="10"/>
      <c r="Y199" s="11"/>
      <c r="Z199" s="12"/>
      <c r="AA199" s="12"/>
      <c r="AB199" s="12"/>
      <c r="AC199" s="13"/>
      <c r="AD199" s="7"/>
      <c r="AE199" s="7"/>
      <c r="AF199" s="7"/>
      <c r="AG199" s="7"/>
      <c r="AH199" s="7"/>
      <c r="AI199" s="7"/>
      <c r="AJ199" s="7"/>
      <c r="AK199" s="7"/>
    </row>
    <row r="200" spans="1:37" ht="15" x14ac:dyDescent="0.25">
      <c r="A200" s="14"/>
      <c r="B200" s="7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7"/>
      <c r="V200" s="9"/>
      <c r="W200" s="7"/>
      <c r="X200" s="10"/>
      <c r="Y200" s="11"/>
      <c r="Z200" s="12"/>
      <c r="AA200" s="12"/>
      <c r="AB200" s="12"/>
      <c r="AC200" s="13"/>
      <c r="AD200" s="7"/>
      <c r="AE200" s="7"/>
      <c r="AF200" s="7"/>
      <c r="AG200" s="7"/>
      <c r="AH200" s="7"/>
      <c r="AI200" s="7"/>
      <c r="AJ200" s="7"/>
      <c r="AK200" s="7"/>
    </row>
    <row r="201" spans="1:37" ht="15" x14ac:dyDescent="0.25">
      <c r="A201" s="14"/>
      <c r="B201" s="7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7"/>
      <c r="X201" s="10"/>
      <c r="Y201" s="11"/>
      <c r="Z201" s="12"/>
      <c r="AA201" s="12"/>
      <c r="AB201" s="12"/>
      <c r="AC201" s="13"/>
      <c r="AD201" s="7"/>
      <c r="AE201" s="7"/>
      <c r="AF201" s="7"/>
      <c r="AG201" s="7"/>
      <c r="AH201" s="7"/>
      <c r="AI201" s="7"/>
      <c r="AJ201" s="7"/>
      <c r="AK201" s="7"/>
    </row>
    <row r="202" spans="1:37" ht="15" x14ac:dyDescent="0.25">
      <c r="A202" s="14"/>
      <c r="B202" s="7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7"/>
      <c r="X202" s="18"/>
      <c r="Y202" s="11"/>
      <c r="Z202" s="12"/>
      <c r="AA202" s="12"/>
      <c r="AB202" s="12"/>
      <c r="AC202" s="13"/>
      <c r="AD202" s="7"/>
      <c r="AE202" s="7"/>
      <c r="AF202" s="7"/>
      <c r="AG202" s="7"/>
      <c r="AH202" s="7"/>
      <c r="AI202" s="7"/>
      <c r="AJ202" s="7"/>
      <c r="AK202" s="7"/>
    </row>
    <row r="203" spans="1:37" ht="15" x14ac:dyDescent="0.25">
      <c r="A203" s="14"/>
      <c r="B203" s="7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7"/>
      <c r="X203" s="10"/>
      <c r="Y203" s="11"/>
      <c r="Z203" s="12"/>
      <c r="AA203" s="12"/>
      <c r="AB203" s="12"/>
      <c r="AC203" s="13"/>
      <c r="AD203" s="7"/>
      <c r="AE203" s="7"/>
      <c r="AF203" s="7"/>
      <c r="AG203" s="7"/>
      <c r="AH203" s="7"/>
      <c r="AI203" s="7"/>
      <c r="AJ203" s="7"/>
      <c r="AK203" s="7"/>
    </row>
    <row r="204" spans="1:37" ht="15" x14ac:dyDescent="0.25">
      <c r="A204" s="14"/>
      <c r="B204" s="7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7"/>
      <c r="X204" s="10"/>
      <c r="Y204" s="11"/>
      <c r="Z204" s="12"/>
      <c r="AA204" s="12"/>
      <c r="AB204" s="12"/>
      <c r="AC204" s="13"/>
      <c r="AD204" s="7"/>
      <c r="AE204" s="7"/>
      <c r="AF204" s="7"/>
      <c r="AG204" s="7"/>
      <c r="AH204" s="7"/>
      <c r="AI204" s="7"/>
      <c r="AJ204" s="7"/>
      <c r="AK204" s="7"/>
    </row>
    <row r="205" spans="1:37" ht="15" x14ac:dyDescent="0.25">
      <c r="A205" s="14"/>
      <c r="B205" s="7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7"/>
      <c r="X205" s="10"/>
      <c r="Y205" s="11"/>
      <c r="Z205" s="12"/>
      <c r="AA205" s="12"/>
      <c r="AB205" s="12"/>
      <c r="AC205" s="13"/>
      <c r="AD205" s="7"/>
      <c r="AE205" s="7"/>
      <c r="AF205" s="7"/>
      <c r="AG205" s="7"/>
      <c r="AH205" s="7"/>
      <c r="AI205" s="7"/>
      <c r="AJ205" s="7"/>
      <c r="AK205" s="7"/>
    </row>
    <row r="206" spans="1:37" ht="15" x14ac:dyDescent="0.25">
      <c r="A206" s="14"/>
      <c r="B206" s="7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7"/>
      <c r="X206" s="10"/>
      <c r="Y206" s="11"/>
      <c r="Z206" s="12"/>
      <c r="AA206" s="12"/>
      <c r="AB206" s="12"/>
      <c r="AC206" s="13"/>
      <c r="AD206" s="7"/>
      <c r="AE206" s="7"/>
      <c r="AF206" s="7"/>
      <c r="AG206" s="7"/>
      <c r="AH206" s="7"/>
      <c r="AI206" s="7"/>
      <c r="AJ206" s="7"/>
      <c r="AK206" s="7"/>
    </row>
    <row r="207" spans="1:37" ht="15" x14ac:dyDescent="0.25">
      <c r="A207" s="14"/>
      <c r="B207" s="7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7"/>
      <c r="X207" s="10"/>
      <c r="Y207" s="11"/>
      <c r="Z207" s="12"/>
      <c r="AA207" s="12"/>
      <c r="AB207" s="12"/>
      <c r="AC207" s="13"/>
      <c r="AD207" s="7"/>
      <c r="AE207" s="7"/>
      <c r="AF207" s="7"/>
      <c r="AG207" s="7"/>
      <c r="AH207" s="7"/>
      <c r="AI207" s="7"/>
      <c r="AJ207" s="7"/>
      <c r="AK207" s="7"/>
    </row>
    <row r="208" spans="1:37" ht="15" x14ac:dyDescent="0.25">
      <c r="A208" s="14"/>
      <c r="B208" s="7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7"/>
      <c r="X208" s="10"/>
      <c r="Y208" s="11"/>
      <c r="Z208" s="12"/>
      <c r="AA208" s="12"/>
      <c r="AB208" s="12"/>
      <c r="AC208" s="13"/>
      <c r="AD208" s="7"/>
      <c r="AE208" s="7"/>
      <c r="AF208" s="7"/>
      <c r="AG208" s="7"/>
      <c r="AH208" s="7"/>
      <c r="AI208" s="7"/>
      <c r="AJ208" s="7"/>
      <c r="AK208" s="7"/>
    </row>
    <row r="209" spans="1:37" ht="15" x14ac:dyDescent="0.25">
      <c r="A209" s="14"/>
      <c r="B209" s="7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7"/>
      <c r="V209" s="9"/>
      <c r="W209" s="7"/>
      <c r="X209" s="10"/>
      <c r="Y209" s="11"/>
      <c r="Z209" s="12"/>
      <c r="AA209" s="12"/>
      <c r="AB209" s="12"/>
      <c r="AC209" s="13"/>
      <c r="AD209" s="7"/>
      <c r="AE209" s="7"/>
      <c r="AF209" s="7"/>
      <c r="AG209" s="7"/>
      <c r="AH209" s="7"/>
      <c r="AI209" s="7"/>
      <c r="AJ209" s="7"/>
      <c r="AK209" s="7"/>
    </row>
    <row r="210" spans="1:37" ht="15" x14ac:dyDescent="0.25">
      <c r="A210" s="14"/>
      <c r="B210" s="7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7"/>
      <c r="X210" s="10"/>
      <c r="Y210" s="11"/>
      <c r="Z210" s="12"/>
      <c r="AA210" s="12"/>
      <c r="AB210" s="12"/>
      <c r="AC210" s="13"/>
      <c r="AD210" s="7"/>
      <c r="AE210" s="7"/>
      <c r="AF210" s="7"/>
      <c r="AG210" s="7"/>
      <c r="AH210" s="7"/>
      <c r="AI210" s="7"/>
      <c r="AJ210" s="7"/>
      <c r="AK210" s="7"/>
    </row>
    <row r="211" spans="1:37" ht="15" x14ac:dyDescent="0.25">
      <c r="A211" s="14"/>
      <c r="B211" s="7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7"/>
      <c r="X211" s="10"/>
      <c r="Y211" s="11"/>
      <c r="Z211" s="12"/>
      <c r="AA211" s="12"/>
      <c r="AB211" s="12"/>
      <c r="AC211" s="13"/>
      <c r="AD211" s="7"/>
      <c r="AE211" s="7"/>
      <c r="AF211" s="7"/>
      <c r="AG211" s="7"/>
      <c r="AH211" s="7"/>
      <c r="AI211" s="7"/>
      <c r="AJ211" s="7"/>
      <c r="AK211" s="7"/>
    </row>
    <row r="212" spans="1:37" ht="15" x14ac:dyDescent="0.25">
      <c r="A212" s="14"/>
      <c r="B212" s="7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7"/>
      <c r="X212" s="10"/>
      <c r="Y212" s="11"/>
      <c r="Z212" s="12"/>
      <c r="AA212" s="12"/>
      <c r="AB212" s="12"/>
      <c r="AC212" s="13"/>
      <c r="AD212" s="7"/>
      <c r="AE212" s="7"/>
      <c r="AF212" s="7"/>
      <c r="AG212" s="7"/>
      <c r="AH212" s="7"/>
      <c r="AI212" s="7"/>
      <c r="AJ212" s="7"/>
      <c r="AK212" s="7"/>
    </row>
    <row r="213" spans="1:37" ht="15" x14ac:dyDescent="0.25">
      <c r="A213" s="14"/>
      <c r="B213" s="7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7"/>
      <c r="X213" s="10"/>
      <c r="Y213" s="11"/>
      <c r="Z213" s="12"/>
      <c r="AA213" s="12"/>
      <c r="AB213" s="12"/>
      <c r="AC213" s="13"/>
      <c r="AD213" s="7"/>
      <c r="AE213" s="7"/>
      <c r="AF213" s="7"/>
      <c r="AG213" s="7"/>
      <c r="AH213" s="7"/>
      <c r="AI213" s="7"/>
      <c r="AJ213" s="7"/>
      <c r="AK213" s="7"/>
    </row>
    <row r="214" spans="1:37" ht="15" x14ac:dyDescent="0.25">
      <c r="A214" s="14"/>
      <c r="B214" s="7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7"/>
      <c r="X214" s="10"/>
      <c r="Y214" s="11"/>
      <c r="Z214" s="12"/>
      <c r="AA214" s="12"/>
      <c r="AB214" s="12"/>
      <c r="AC214" s="13"/>
      <c r="AD214" s="7"/>
      <c r="AE214" s="7"/>
      <c r="AF214" s="7"/>
      <c r="AG214" s="7"/>
      <c r="AH214" s="7"/>
      <c r="AI214" s="7"/>
      <c r="AJ214" s="7"/>
      <c r="AK214" s="7"/>
    </row>
    <row r="215" spans="1:37" ht="15" x14ac:dyDescent="0.25">
      <c r="A215" s="14"/>
      <c r="B215" s="7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7"/>
      <c r="X215" s="10"/>
      <c r="Y215" s="11"/>
      <c r="Z215" s="12"/>
      <c r="AA215" s="12"/>
      <c r="AB215" s="12"/>
      <c r="AC215" s="13"/>
      <c r="AD215" s="7"/>
      <c r="AE215" s="7"/>
      <c r="AF215" s="7"/>
      <c r="AG215" s="7"/>
      <c r="AH215" s="7"/>
      <c r="AI215" s="7"/>
      <c r="AJ215" s="7"/>
      <c r="AK215" s="7"/>
    </row>
    <row r="216" spans="1:37" ht="15" x14ac:dyDescent="0.25">
      <c r="A216" s="14"/>
      <c r="B216" s="7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7"/>
      <c r="X216" s="10"/>
      <c r="Y216" s="11"/>
      <c r="Z216" s="12"/>
      <c r="AA216" s="12"/>
      <c r="AB216" s="12"/>
      <c r="AC216" s="13"/>
      <c r="AD216" s="7"/>
      <c r="AE216" s="7"/>
      <c r="AF216" s="7"/>
      <c r="AG216" s="7"/>
      <c r="AH216" s="7"/>
      <c r="AI216" s="7"/>
      <c r="AJ216" s="7"/>
      <c r="AK216" s="7"/>
    </row>
    <row r="217" spans="1:37" ht="15" x14ac:dyDescent="0.25">
      <c r="A217" s="14"/>
      <c r="B217" s="7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7"/>
      <c r="X217" s="10"/>
      <c r="Y217" s="11"/>
      <c r="Z217" s="12"/>
      <c r="AA217" s="12"/>
      <c r="AB217" s="12"/>
      <c r="AC217" s="13"/>
      <c r="AD217" s="7"/>
      <c r="AE217" s="7"/>
      <c r="AF217" s="7"/>
      <c r="AG217" s="7"/>
      <c r="AH217" s="7"/>
      <c r="AI217" s="7"/>
      <c r="AJ217" s="7"/>
      <c r="AK217" s="7"/>
    </row>
    <row r="218" spans="1:37" ht="15" x14ac:dyDescent="0.25">
      <c r="A218" s="14"/>
      <c r="B218" s="7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7"/>
      <c r="X218" s="10"/>
      <c r="Y218" s="11"/>
      <c r="Z218" s="12"/>
      <c r="AA218" s="12"/>
      <c r="AB218" s="12"/>
      <c r="AC218" s="13"/>
      <c r="AD218" s="7"/>
      <c r="AE218" s="7"/>
      <c r="AF218" s="7"/>
      <c r="AG218" s="7"/>
      <c r="AH218" s="7"/>
      <c r="AI218" s="7"/>
      <c r="AJ218" s="7"/>
      <c r="AK218" s="7"/>
    </row>
    <row r="219" spans="1:37" ht="15" x14ac:dyDescent="0.25">
      <c r="A219" s="14"/>
      <c r="B219" s="7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7"/>
      <c r="X219" s="10"/>
      <c r="Y219" s="11"/>
      <c r="Z219" s="12"/>
      <c r="AA219" s="12"/>
      <c r="AB219" s="12"/>
      <c r="AC219" s="13"/>
      <c r="AD219" s="7"/>
      <c r="AE219" s="7"/>
      <c r="AF219" s="7"/>
      <c r="AG219" s="7"/>
      <c r="AH219" s="7"/>
      <c r="AI219" s="7"/>
      <c r="AJ219" s="7"/>
      <c r="AK219" s="7"/>
    </row>
    <row r="220" spans="1:37" ht="15" x14ac:dyDescent="0.25">
      <c r="A220" s="14"/>
      <c r="B220" s="7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7"/>
      <c r="X220" s="10"/>
      <c r="Y220" s="11"/>
      <c r="Z220" s="12"/>
      <c r="AA220" s="12"/>
      <c r="AB220" s="12"/>
      <c r="AC220" s="13"/>
      <c r="AD220" s="7"/>
      <c r="AE220" s="7"/>
      <c r="AF220" s="7"/>
      <c r="AG220" s="7"/>
      <c r="AH220" s="7"/>
      <c r="AI220" s="7"/>
      <c r="AJ220" s="7"/>
      <c r="AK220" s="7"/>
    </row>
    <row r="221" spans="1:37" ht="15" x14ac:dyDescent="0.25">
      <c r="A221" s="14"/>
      <c r="B221" s="7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7"/>
      <c r="X221" s="10"/>
      <c r="Y221" s="11"/>
      <c r="Z221" s="12"/>
      <c r="AA221" s="12"/>
      <c r="AB221" s="12"/>
      <c r="AC221" s="13"/>
      <c r="AD221" s="7"/>
      <c r="AE221" s="7"/>
      <c r="AF221" s="7"/>
      <c r="AG221" s="7"/>
      <c r="AH221" s="7"/>
      <c r="AI221" s="7"/>
      <c r="AJ221" s="7"/>
      <c r="AK221" s="7"/>
    </row>
    <row r="222" spans="1:37" ht="15" x14ac:dyDescent="0.25">
      <c r="A222" s="14"/>
      <c r="B222" s="7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7"/>
      <c r="X222" s="10"/>
      <c r="Y222" s="11"/>
      <c r="Z222" s="12"/>
      <c r="AA222" s="12"/>
      <c r="AB222" s="12"/>
      <c r="AC222" s="13"/>
      <c r="AD222" s="7"/>
      <c r="AE222" s="7"/>
      <c r="AF222" s="7"/>
      <c r="AG222" s="7"/>
      <c r="AH222" s="7"/>
      <c r="AI222" s="7"/>
      <c r="AJ222" s="7"/>
      <c r="AK222" s="7"/>
    </row>
    <row r="223" spans="1:37" ht="15" x14ac:dyDescent="0.25">
      <c r="A223" s="14"/>
      <c r="B223" s="7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7"/>
      <c r="X223" s="18"/>
      <c r="Y223" s="11"/>
      <c r="Z223" s="12"/>
      <c r="AA223" s="12"/>
      <c r="AB223" s="12"/>
      <c r="AC223" s="13"/>
      <c r="AD223" s="7"/>
      <c r="AE223" s="7"/>
      <c r="AF223" s="7"/>
      <c r="AG223" s="7"/>
      <c r="AH223" s="7"/>
      <c r="AI223" s="7"/>
      <c r="AJ223" s="7"/>
      <c r="AK223" s="7"/>
    </row>
    <row r="224" spans="1:37" ht="15" x14ac:dyDescent="0.25">
      <c r="A224" s="14"/>
      <c r="B224" s="7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7"/>
      <c r="V224" s="9"/>
      <c r="W224" s="7"/>
      <c r="X224" s="10"/>
      <c r="Y224" s="11"/>
      <c r="Z224" s="12"/>
      <c r="AA224" s="12"/>
      <c r="AB224" s="12"/>
      <c r="AC224" s="13"/>
      <c r="AD224" s="7"/>
      <c r="AE224" s="7"/>
      <c r="AF224" s="7"/>
      <c r="AG224" s="7"/>
      <c r="AH224" s="7"/>
      <c r="AI224" s="7"/>
      <c r="AJ224" s="7"/>
      <c r="AK224" s="7"/>
    </row>
    <row r="225" spans="1:37" ht="15" x14ac:dyDescent="0.25">
      <c r="A225" s="14"/>
      <c r="B225" s="7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7"/>
      <c r="W225" s="7"/>
      <c r="X225" s="10"/>
      <c r="Y225" s="11"/>
      <c r="Z225" s="12"/>
      <c r="AA225" s="12"/>
      <c r="AB225" s="12"/>
      <c r="AC225" s="13"/>
      <c r="AD225" s="7"/>
      <c r="AE225" s="7"/>
      <c r="AF225" s="7"/>
      <c r="AG225" s="7"/>
      <c r="AH225" s="7"/>
      <c r="AI225" s="7"/>
      <c r="AJ225" s="7"/>
      <c r="AK225" s="7"/>
    </row>
    <row r="226" spans="1:37" ht="15" x14ac:dyDescent="0.25">
      <c r="A226" s="14"/>
      <c r="B226" s="7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7"/>
      <c r="V226" s="9"/>
      <c r="W226" s="7"/>
      <c r="X226" s="10"/>
      <c r="Y226" s="11"/>
      <c r="Z226" s="12"/>
      <c r="AA226" s="12"/>
      <c r="AB226" s="12"/>
      <c r="AC226" s="13"/>
      <c r="AD226" s="7"/>
      <c r="AE226" s="7"/>
      <c r="AF226" s="7"/>
      <c r="AG226" s="7"/>
      <c r="AH226" s="7"/>
      <c r="AI226" s="7"/>
      <c r="AJ226" s="7"/>
      <c r="AK226" s="7"/>
    </row>
    <row r="227" spans="1:37" ht="15" x14ac:dyDescent="0.25">
      <c r="A227" s="14"/>
      <c r="B227" s="7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7"/>
      <c r="X227" s="10"/>
      <c r="Y227" s="11"/>
      <c r="Z227" s="12"/>
      <c r="AA227" s="12"/>
      <c r="AB227" s="12"/>
      <c r="AC227" s="13"/>
      <c r="AD227" s="7"/>
      <c r="AE227" s="7"/>
      <c r="AF227" s="7"/>
      <c r="AG227" s="7"/>
      <c r="AH227" s="7"/>
      <c r="AI227" s="7"/>
      <c r="AJ227" s="7"/>
      <c r="AK227" s="7"/>
    </row>
    <row r="228" spans="1:37" ht="15" x14ac:dyDescent="0.25">
      <c r="A228" s="14"/>
      <c r="B228" s="7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7"/>
      <c r="X228" s="10"/>
      <c r="Y228" s="11"/>
      <c r="Z228" s="12"/>
      <c r="AA228" s="12"/>
      <c r="AB228" s="12"/>
      <c r="AC228" s="13"/>
      <c r="AD228" s="7"/>
      <c r="AE228" s="7"/>
      <c r="AF228" s="7"/>
      <c r="AG228" s="7"/>
      <c r="AH228" s="7"/>
      <c r="AI228" s="7"/>
      <c r="AJ228" s="7"/>
      <c r="AK228" s="7"/>
    </row>
    <row r="229" spans="1:37" ht="15" x14ac:dyDescent="0.25">
      <c r="A229" s="14"/>
      <c r="B229" s="7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7"/>
      <c r="X229" s="10"/>
      <c r="Y229" s="11"/>
      <c r="Z229" s="12"/>
      <c r="AA229" s="12"/>
      <c r="AB229" s="12"/>
      <c r="AC229" s="13"/>
      <c r="AD229" s="7"/>
      <c r="AE229" s="7"/>
      <c r="AF229" s="7"/>
      <c r="AG229" s="7"/>
      <c r="AH229" s="7"/>
      <c r="AI229" s="7"/>
      <c r="AJ229" s="7"/>
      <c r="AK229" s="7"/>
    </row>
    <row r="230" spans="1:37" ht="15" x14ac:dyDescent="0.25">
      <c r="A230" s="14"/>
      <c r="B230" s="7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7"/>
      <c r="X230" s="10"/>
      <c r="Y230" s="11"/>
      <c r="Z230" s="12"/>
      <c r="AA230" s="12"/>
      <c r="AB230" s="12"/>
      <c r="AC230" s="13"/>
      <c r="AD230" s="7"/>
      <c r="AE230" s="7"/>
      <c r="AF230" s="7"/>
      <c r="AG230" s="7"/>
      <c r="AH230" s="7"/>
      <c r="AI230" s="7"/>
      <c r="AJ230" s="7"/>
      <c r="AK230" s="7"/>
    </row>
    <row r="231" spans="1:37" ht="15" x14ac:dyDescent="0.25">
      <c r="A231" s="14"/>
      <c r="B231" s="7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7"/>
      <c r="W231" s="7"/>
      <c r="X231" s="10"/>
      <c r="Y231" s="11"/>
      <c r="Z231" s="12"/>
      <c r="AA231" s="12"/>
      <c r="AB231" s="12"/>
      <c r="AC231" s="13"/>
      <c r="AD231" s="7"/>
      <c r="AE231" s="7"/>
      <c r="AF231" s="7"/>
      <c r="AG231" s="7"/>
      <c r="AH231" s="7"/>
      <c r="AI231" s="7"/>
      <c r="AJ231" s="7"/>
      <c r="AK231" s="7"/>
    </row>
    <row r="232" spans="1:37" ht="15" x14ac:dyDescent="0.25">
      <c r="A232" s="14"/>
      <c r="B232" s="7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7"/>
      <c r="V232" s="9"/>
      <c r="W232" s="7"/>
      <c r="X232" s="10"/>
      <c r="Y232" s="11"/>
      <c r="Z232" s="12"/>
      <c r="AA232" s="12"/>
      <c r="AB232" s="12"/>
      <c r="AC232" s="13"/>
      <c r="AD232" s="7"/>
      <c r="AE232" s="7"/>
      <c r="AF232" s="7"/>
      <c r="AG232" s="7"/>
      <c r="AH232" s="7"/>
      <c r="AI232" s="7"/>
      <c r="AJ232" s="7"/>
      <c r="AK232" s="7"/>
    </row>
    <row r="233" spans="1:37" ht="15" x14ac:dyDescent="0.25">
      <c r="A233" s="14"/>
      <c r="B233" s="7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7"/>
      <c r="X233" s="10"/>
      <c r="Y233" s="11"/>
      <c r="Z233" s="12"/>
      <c r="AA233" s="12"/>
      <c r="AB233" s="12"/>
      <c r="AC233" s="13"/>
      <c r="AD233" s="7"/>
      <c r="AE233" s="7"/>
      <c r="AF233" s="7"/>
      <c r="AG233" s="7"/>
      <c r="AH233" s="7"/>
      <c r="AI233" s="7"/>
      <c r="AJ233" s="7"/>
      <c r="AK233" s="7"/>
    </row>
    <row r="234" spans="1:37" ht="15" x14ac:dyDescent="0.25">
      <c r="A234" s="14"/>
      <c r="B234" s="7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7"/>
      <c r="X234" s="10"/>
      <c r="Y234" s="11"/>
      <c r="Z234" s="12"/>
      <c r="AA234" s="12"/>
      <c r="AB234" s="12"/>
      <c r="AC234" s="13"/>
      <c r="AD234" s="7"/>
      <c r="AE234" s="7"/>
      <c r="AF234" s="7"/>
      <c r="AG234" s="7"/>
      <c r="AH234" s="7"/>
      <c r="AI234" s="7"/>
      <c r="AJ234" s="7"/>
      <c r="AK234" s="7"/>
    </row>
    <row r="235" spans="1:37" ht="15" x14ac:dyDescent="0.25">
      <c r="A235" s="14"/>
      <c r="B235" s="7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7"/>
      <c r="X235" s="10"/>
      <c r="Y235" s="11"/>
      <c r="Z235" s="12"/>
      <c r="AA235" s="12"/>
      <c r="AB235" s="12"/>
      <c r="AC235" s="13"/>
      <c r="AD235" s="7"/>
      <c r="AE235" s="7"/>
      <c r="AF235" s="7"/>
      <c r="AG235" s="7"/>
      <c r="AH235" s="7"/>
      <c r="AI235" s="7"/>
      <c r="AJ235" s="7"/>
      <c r="AK235" s="7"/>
    </row>
    <row r="236" spans="1:37" ht="15" x14ac:dyDescent="0.25">
      <c r="A236" s="14"/>
      <c r="B236" s="7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7"/>
      <c r="X236" s="10"/>
      <c r="Y236" s="11"/>
      <c r="Z236" s="12"/>
      <c r="AA236" s="12"/>
      <c r="AB236" s="12"/>
      <c r="AC236" s="13"/>
      <c r="AD236" s="7"/>
      <c r="AE236" s="7"/>
      <c r="AF236" s="7"/>
      <c r="AG236" s="7"/>
      <c r="AH236" s="7"/>
      <c r="AI236" s="7"/>
      <c r="AJ236" s="7"/>
      <c r="AK236" s="7"/>
    </row>
    <row r="237" spans="1:37" ht="15" x14ac:dyDescent="0.25">
      <c r="A237" s="14"/>
      <c r="B237" s="7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7"/>
      <c r="W237" s="7"/>
      <c r="X237" s="10"/>
      <c r="Y237" s="11"/>
      <c r="Z237" s="12"/>
      <c r="AA237" s="12"/>
      <c r="AB237" s="12"/>
      <c r="AC237" s="13"/>
      <c r="AD237" s="7"/>
      <c r="AE237" s="7"/>
      <c r="AF237" s="7"/>
      <c r="AG237" s="7"/>
      <c r="AH237" s="7"/>
      <c r="AI237" s="7"/>
      <c r="AJ237" s="7"/>
      <c r="AK237" s="7"/>
    </row>
    <row r="238" spans="1:37" ht="15" x14ac:dyDescent="0.25">
      <c r="A238" s="14"/>
      <c r="B238" s="7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7"/>
      <c r="X238" s="10"/>
      <c r="Y238" s="11"/>
      <c r="Z238" s="12"/>
      <c r="AA238" s="12"/>
      <c r="AB238" s="12"/>
      <c r="AC238" s="13"/>
      <c r="AD238" s="7"/>
      <c r="AE238" s="7"/>
      <c r="AF238" s="7"/>
      <c r="AG238" s="7"/>
      <c r="AH238" s="7"/>
      <c r="AI238" s="7"/>
      <c r="AJ238" s="7"/>
      <c r="AK238" s="7"/>
    </row>
    <row r="239" spans="1:37" ht="15" x14ac:dyDescent="0.25">
      <c r="A239" s="14"/>
      <c r="B239" s="7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7"/>
      <c r="X239" s="10"/>
      <c r="Y239" s="11"/>
      <c r="Z239" s="12"/>
      <c r="AA239" s="12"/>
      <c r="AB239" s="12"/>
      <c r="AC239" s="13"/>
      <c r="AD239" s="7"/>
      <c r="AE239" s="7"/>
      <c r="AF239" s="7"/>
      <c r="AG239" s="7"/>
      <c r="AH239" s="7"/>
      <c r="AI239" s="7"/>
      <c r="AJ239" s="7"/>
      <c r="AK239" s="7"/>
    </row>
    <row r="240" spans="1:37" ht="15" x14ac:dyDescent="0.25">
      <c r="A240" s="14"/>
      <c r="B240" s="7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7"/>
      <c r="X240" s="10"/>
      <c r="Y240" s="11"/>
      <c r="Z240" s="12"/>
      <c r="AA240" s="12"/>
      <c r="AB240" s="12"/>
      <c r="AC240" s="13"/>
      <c r="AD240" s="7"/>
      <c r="AE240" s="7"/>
      <c r="AF240" s="7"/>
      <c r="AG240" s="7"/>
      <c r="AH240" s="7"/>
      <c r="AI240" s="7"/>
      <c r="AJ240" s="7"/>
      <c r="AK240" s="7"/>
    </row>
    <row r="241" spans="1:37" ht="15" x14ac:dyDescent="0.25">
      <c r="A241" s="14"/>
      <c r="B241" s="7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7"/>
      <c r="X241" s="10"/>
      <c r="Y241" s="11"/>
      <c r="Z241" s="12"/>
      <c r="AA241" s="12"/>
      <c r="AB241" s="12"/>
      <c r="AC241" s="13"/>
      <c r="AD241" s="7"/>
      <c r="AE241" s="7"/>
      <c r="AF241" s="7"/>
      <c r="AG241" s="7"/>
      <c r="AH241" s="7"/>
      <c r="AI241" s="7"/>
      <c r="AJ241" s="7"/>
      <c r="AK241" s="7"/>
    </row>
    <row r="242" spans="1:37" ht="15" x14ac:dyDescent="0.25">
      <c r="A242" s="14"/>
      <c r="B242" s="7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7"/>
      <c r="X242" s="10"/>
      <c r="Y242" s="11"/>
      <c r="Z242" s="12"/>
      <c r="AA242" s="12"/>
      <c r="AB242" s="12"/>
      <c r="AC242" s="13"/>
      <c r="AD242" s="7"/>
      <c r="AE242" s="7"/>
      <c r="AF242" s="7"/>
      <c r="AG242" s="7"/>
      <c r="AH242" s="7"/>
      <c r="AI242" s="7"/>
      <c r="AJ242" s="7"/>
      <c r="AK242" s="7"/>
    </row>
    <row r="243" spans="1:37" ht="15" x14ac:dyDescent="0.25">
      <c r="A243" s="14"/>
      <c r="B243" s="7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7"/>
      <c r="X243" s="10"/>
      <c r="Y243" s="11"/>
      <c r="Z243" s="12"/>
      <c r="AA243" s="12"/>
      <c r="AB243" s="12"/>
      <c r="AC243" s="13"/>
      <c r="AD243" s="7"/>
      <c r="AE243" s="7"/>
      <c r="AF243" s="7"/>
      <c r="AG243" s="7"/>
      <c r="AH243" s="7"/>
      <c r="AI243" s="7"/>
      <c r="AJ243" s="7"/>
      <c r="AK243" s="7"/>
    </row>
    <row r="244" spans="1:37" ht="15" x14ac:dyDescent="0.25">
      <c r="A244" s="14"/>
      <c r="B244" s="7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7"/>
      <c r="X244" s="10"/>
      <c r="Y244" s="11"/>
      <c r="Z244" s="12"/>
      <c r="AA244" s="12"/>
      <c r="AB244" s="12"/>
      <c r="AC244" s="13"/>
      <c r="AD244" s="7"/>
      <c r="AE244" s="7"/>
      <c r="AF244" s="7"/>
      <c r="AG244" s="7"/>
      <c r="AH244" s="7"/>
      <c r="AI244" s="7"/>
      <c r="AJ244" s="7"/>
      <c r="AK244" s="7"/>
    </row>
    <row r="245" spans="1:37" ht="15" x14ac:dyDescent="0.25">
      <c r="A245" s="14"/>
      <c r="B245" s="7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7"/>
      <c r="V245" s="9"/>
      <c r="W245" s="7"/>
      <c r="X245" s="10"/>
      <c r="Y245" s="11"/>
      <c r="Z245" s="12"/>
      <c r="AA245" s="12"/>
      <c r="AB245" s="12"/>
      <c r="AC245" s="13"/>
      <c r="AD245" s="7"/>
      <c r="AE245" s="7"/>
      <c r="AF245" s="7"/>
      <c r="AG245" s="7"/>
      <c r="AH245" s="7"/>
      <c r="AI245" s="7"/>
      <c r="AJ245" s="7"/>
      <c r="AK245" s="7"/>
    </row>
    <row r="246" spans="1:37" ht="15" x14ac:dyDescent="0.25">
      <c r="A246" s="14"/>
      <c r="B246" s="7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7"/>
      <c r="W246" s="7"/>
      <c r="X246" s="10"/>
      <c r="Y246" s="11"/>
      <c r="Z246" s="12"/>
      <c r="AA246" s="12"/>
      <c r="AB246" s="12"/>
      <c r="AC246" s="13"/>
      <c r="AD246" s="7"/>
      <c r="AE246" s="7"/>
      <c r="AF246" s="7"/>
      <c r="AG246" s="7"/>
      <c r="AH246" s="7"/>
      <c r="AI246" s="7"/>
      <c r="AJ246" s="7"/>
      <c r="AK246" s="7"/>
    </row>
    <row r="247" spans="1:37" ht="15" x14ac:dyDescent="0.25">
      <c r="A247" s="14"/>
      <c r="B247" s="7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7"/>
      <c r="X247" s="10"/>
      <c r="Y247" s="11"/>
      <c r="Z247" s="12"/>
      <c r="AA247" s="12"/>
      <c r="AB247" s="12"/>
      <c r="AC247" s="13"/>
      <c r="AD247" s="7"/>
      <c r="AE247" s="7"/>
      <c r="AF247" s="7"/>
      <c r="AG247" s="7"/>
      <c r="AH247" s="7"/>
      <c r="AI247" s="7"/>
      <c r="AJ247" s="7"/>
      <c r="AK247" s="7"/>
    </row>
    <row r="248" spans="1:37" ht="15" x14ac:dyDescent="0.25">
      <c r="A248" s="14"/>
      <c r="B248" s="7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7"/>
      <c r="V248" s="9"/>
      <c r="W248" s="7"/>
      <c r="X248" s="10"/>
      <c r="Y248" s="11"/>
      <c r="Z248" s="12"/>
      <c r="AA248" s="12"/>
      <c r="AB248" s="12"/>
      <c r="AC248" s="13"/>
      <c r="AD248" s="7"/>
      <c r="AE248" s="7"/>
      <c r="AF248" s="7"/>
      <c r="AG248" s="7"/>
      <c r="AH248" s="7"/>
      <c r="AI248" s="7"/>
      <c r="AJ248" s="7"/>
      <c r="AK248" s="7"/>
    </row>
    <row r="249" spans="1:37" ht="15" x14ac:dyDescent="0.25">
      <c r="A249" s="14"/>
      <c r="B249" s="7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7"/>
      <c r="X249" s="10"/>
      <c r="Y249" s="11"/>
      <c r="Z249" s="12"/>
      <c r="AA249" s="12"/>
      <c r="AB249" s="12"/>
      <c r="AC249" s="13"/>
      <c r="AD249" s="7"/>
      <c r="AE249" s="7"/>
      <c r="AF249" s="7"/>
      <c r="AG249" s="7"/>
      <c r="AH249" s="7"/>
      <c r="AI249" s="7"/>
      <c r="AJ249" s="7"/>
      <c r="AK249" s="7"/>
    </row>
    <row r="250" spans="1:37" ht="15" x14ac:dyDescent="0.25">
      <c r="A250" s="14"/>
      <c r="B250" s="7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7"/>
      <c r="X250" s="10"/>
      <c r="Y250" s="11"/>
      <c r="Z250" s="12"/>
      <c r="AA250" s="12"/>
      <c r="AB250" s="12"/>
      <c r="AC250" s="13"/>
      <c r="AD250" s="7"/>
      <c r="AE250" s="7"/>
      <c r="AF250" s="7"/>
      <c r="AG250" s="7"/>
      <c r="AH250" s="7"/>
      <c r="AI250" s="7"/>
      <c r="AJ250" s="7"/>
      <c r="AK250" s="7"/>
    </row>
    <row r="251" spans="1:37" ht="15" x14ac:dyDescent="0.25">
      <c r="A251" s="14"/>
      <c r="B251" s="7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7"/>
      <c r="X251" s="10"/>
      <c r="Y251" s="11"/>
      <c r="Z251" s="12"/>
      <c r="AA251" s="12"/>
      <c r="AB251" s="12"/>
      <c r="AC251" s="13"/>
      <c r="AD251" s="7"/>
      <c r="AE251" s="7"/>
      <c r="AF251" s="7"/>
      <c r="AG251" s="7"/>
      <c r="AH251" s="7"/>
      <c r="AI251" s="7"/>
      <c r="AJ251" s="7"/>
      <c r="AK251" s="7"/>
    </row>
    <row r="252" spans="1:37" ht="15" x14ac:dyDescent="0.25">
      <c r="A252" s="14"/>
      <c r="B252" s="7"/>
      <c r="C252" s="9"/>
      <c r="D252" s="16"/>
      <c r="E252" s="16"/>
      <c r="F252" s="20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7"/>
      <c r="V252" s="9"/>
      <c r="W252" s="7"/>
      <c r="X252" s="10"/>
      <c r="Y252" s="11"/>
      <c r="Z252" s="12"/>
      <c r="AA252" s="12"/>
      <c r="AB252" s="12"/>
      <c r="AC252" s="13"/>
      <c r="AD252" s="7"/>
      <c r="AE252" s="7"/>
      <c r="AF252" s="7"/>
      <c r="AG252" s="7"/>
      <c r="AH252" s="7"/>
      <c r="AI252" s="7"/>
      <c r="AJ252" s="7"/>
      <c r="AK252" s="7"/>
    </row>
    <row r="253" spans="1:37" ht="15" x14ac:dyDescent="0.25">
      <c r="A253" s="14"/>
      <c r="B253" s="7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7"/>
      <c r="X253" s="10"/>
      <c r="Y253" s="11"/>
      <c r="Z253" s="12"/>
      <c r="AA253" s="12"/>
      <c r="AB253" s="12"/>
      <c r="AC253" s="13"/>
      <c r="AD253" s="7"/>
      <c r="AE253" s="7"/>
      <c r="AF253" s="7"/>
      <c r="AG253" s="7"/>
      <c r="AH253" s="7"/>
      <c r="AI253" s="7"/>
      <c r="AJ253" s="7"/>
      <c r="AK253" s="7"/>
    </row>
    <row r="254" spans="1:37" ht="15" x14ac:dyDescent="0.25">
      <c r="A254" s="14"/>
      <c r="B254" s="7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7"/>
      <c r="X254" s="10"/>
      <c r="Y254" s="11"/>
      <c r="Z254" s="12"/>
      <c r="AA254" s="12"/>
      <c r="AB254" s="12"/>
      <c r="AC254" s="13"/>
      <c r="AD254" s="7"/>
      <c r="AE254" s="7"/>
      <c r="AF254" s="7"/>
      <c r="AG254" s="7"/>
      <c r="AH254" s="7"/>
      <c r="AI254" s="7"/>
      <c r="AJ254" s="7"/>
      <c r="AK254" s="7"/>
    </row>
    <row r="255" spans="1:37" ht="15" x14ac:dyDescent="0.25">
      <c r="A255" s="14"/>
      <c r="B255" s="7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7"/>
      <c r="X255" s="10"/>
      <c r="Y255" s="11"/>
      <c r="Z255" s="12"/>
      <c r="AA255" s="12"/>
      <c r="AB255" s="12"/>
      <c r="AC255" s="13"/>
      <c r="AD255" s="7"/>
      <c r="AE255" s="7"/>
      <c r="AF255" s="7"/>
      <c r="AG255" s="7"/>
      <c r="AH255" s="7"/>
      <c r="AI255" s="7"/>
      <c r="AJ255" s="7"/>
      <c r="AK255" s="7"/>
    </row>
    <row r="256" spans="1:37" ht="15" x14ac:dyDescent="0.25">
      <c r="A256" s="14"/>
      <c r="B256" s="7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7"/>
      <c r="X256" s="10"/>
      <c r="Y256" s="11"/>
      <c r="Z256" s="12"/>
      <c r="AA256" s="12"/>
      <c r="AB256" s="12"/>
      <c r="AC256" s="13"/>
      <c r="AD256" s="7"/>
      <c r="AE256" s="7"/>
      <c r="AF256" s="7"/>
      <c r="AG256" s="7"/>
      <c r="AH256" s="7"/>
      <c r="AI256" s="7"/>
      <c r="AJ256" s="7"/>
      <c r="AK256" s="7"/>
    </row>
    <row r="257" spans="1:37" ht="15" x14ac:dyDescent="0.25">
      <c r="A257" s="14"/>
      <c r="B257" s="7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7"/>
      <c r="X257" s="10"/>
      <c r="Y257" s="11"/>
      <c r="Z257" s="12"/>
      <c r="AA257" s="12"/>
      <c r="AB257" s="12"/>
      <c r="AC257" s="13"/>
      <c r="AD257" s="7"/>
      <c r="AE257" s="7"/>
      <c r="AF257" s="7"/>
      <c r="AG257" s="7"/>
      <c r="AH257" s="7"/>
      <c r="AI257" s="7"/>
      <c r="AJ257" s="7"/>
      <c r="AK257" s="7"/>
    </row>
    <row r="258" spans="1:37" ht="15" x14ac:dyDescent="0.25">
      <c r="A258" s="14"/>
      <c r="B258" s="7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7"/>
      <c r="X258" s="10"/>
      <c r="Y258" s="11"/>
      <c r="Z258" s="12"/>
      <c r="AA258" s="12"/>
      <c r="AB258" s="12"/>
      <c r="AC258" s="13"/>
      <c r="AD258" s="7"/>
      <c r="AE258" s="7"/>
      <c r="AF258" s="7"/>
      <c r="AG258" s="7"/>
      <c r="AH258" s="7"/>
      <c r="AI258" s="7"/>
      <c r="AJ258" s="7"/>
      <c r="AK258" s="7"/>
    </row>
    <row r="259" spans="1:37" ht="15" x14ac:dyDescent="0.25">
      <c r="A259" s="14"/>
      <c r="B259" s="7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7"/>
      <c r="X259" s="10"/>
      <c r="Y259" s="11"/>
      <c r="Z259" s="12"/>
      <c r="AA259" s="12"/>
      <c r="AB259" s="12"/>
      <c r="AC259" s="13"/>
      <c r="AD259" s="7"/>
      <c r="AE259" s="7"/>
      <c r="AF259" s="7"/>
      <c r="AG259" s="7"/>
      <c r="AH259" s="7"/>
      <c r="AI259" s="7"/>
      <c r="AJ259" s="7"/>
      <c r="AK259" s="7"/>
    </row>
    <row r="260" spans="1:37" ht="15" x14ac:dyDescent="0.25">
      <c r="A260" s="14"/>
      <c r="B260" s="7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7"/>
      <c r="X260" s="10"/>
      <c r="Y260" s="11"/>
      <c r="Z260" s="12"/>
      <c r="AA260" s="12"/>
      <c r="AB260" s="12"/>
      <c r="AC260" s="13"/>
      <c r="AD260" s="7"/>
      <c r="AE260" s="7"/>
      <c r="AF260" s="7"/>
      <c r="AG260" s="7"/>
      <c r="AH260" s="7"/>
      <c r="AI260" s="7"/>
      <c r="AJ260" s="7"/>
      <c r="AK260" s="7"/>
    </row>
    <row r="261" spans="1:37" ht="15" x14ac:dyDescent="0.25">
      <c r="A261" s="14"/>
      <c r="B261" s="7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7"/>
      <c r="X261" s="10"/>
      <c r="Y261" s="11"/>
      <c r="Z261" s="12"/>
      <c r="AA261" s="12"/>
      <c r="AB261" s="12"/>
      <c r="AC261" s="13"/>
      <c r="AD261" s="7"/>
      <c r="AE261" s="7"/>
      <c r="AF261" s="7"/>
      <c r="AG261" s="7"/>
      <c r="AH261" s="7"/>
      <c r="AI261" s="7"/>
      <c r="AJ261" s="7"/>
      <c r="AK261" s="7"/>
    </row>
    <row r="262" spans="1:37" ht="15" x14ac:dyDescent="0.25">
      <c r="A262" s="14"/>
      <c r="B262" s="7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7"/>
      <c r="X262" s="18"/>
      <c r="Y262" s="11"/>
      <c r="Z262" s="12"/>
      <c r="AA262" s="12"/>
      <c r="AB262" s="12"/>
      <c r="AC262" s="13"/>
      <c r="AD262" s="7"/>
      <c r="AE262" s="7"/>
      <c r="AF262" s="7"/>
      <c r="AG262" s="7"/>
      <c r="AH262" s="7"/>
      <c r="AI262" s="7"/>
      <c r="AJ262" s="7"/>
      <c r="AK262" s="7"/>
    </row>
    <row r="263" spans="1:37" ht="15" x14ac:dyDescent="0.25">
      <c r="A263" s="14"/>
      <c r="B263" s="7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7"/>
      <c r="X263" s="10"/>
      <c r="Y263" s="11"/>
      <c r="Z263" s="12"/>
      <c r="AA263" s="12"/>
      <c r="AB263" s="12"/>
      <c r="AC263" s="13"/>
      <c r="AD263" s="7"/>
      <c r="AE263" s="7"/>
      <c r="AF263" s="7"/>
      <c r="AG263" s="7"/>
      <c r="AH263" s="7"/>
      <c r="AI263" s="7"/>
      <c r="AJ263" s="7"/>
      <c r="AK263" s="7"/>
    </row>
    <row r="264" spans="1:37" ht="15" x14ac:dyDescent="0.25">
      <c r="A264" s="14"/>
      <c r="B264" s="7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7"/>
      <c r="V264" s="9"/>
      <c r="W264" s="7"/>
      <c r="X264" s="10"/>
      <c r="Y264" s="11"/>
      <c r="Z264" s="12"/>
      <c r="AA264" s="12"/>
      <c r="AB264" s="12"/>
      <c r="AC264" s="13"/>
      <c r="AD264" s="7"/>
      <c r="AE264" s="7"/>
      <c r="AF264" s="7"/>
      <c r="AG264" s="7"/>
      <c r="AH264" s="7"/>
      <c r="AI264" s="7"/>
      <c r="AJ264" s="7"/>
      <c r="AK264" s="7"/>
    </row>
    <row r="265" spans="1:37" ht="15" x14ac:dyDescent="0.25">
      <c r="A265" s="14"/>
      <c r="B265" s="7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7"/>
      <c r="X265" s="10"/>
      <c r="Y265" s="11"/>
      <c r="Z265" s="12"/>
      <c r="AA265" s="12"/>
      <c r="AB265" s="12"/>
      <c r="AC265" s="13"/>
      <c r="AD265" s="7"/>
      <c r="AE265" s="7"/>
      <c r="AF265" s="7"/>
      <c r="AG265" s="7"/>
      <c r="AH265" s="7"/>
      <c r="AI265" s="7"/>
      <c r="AJ265" s="7"/>
      <c r="AK265" s="7"/>
    </row>
    <row r="266" spans="1:37" ht="15" x14ac:dyDescent="0.25">
      <c r="A266" s="14"/>
      <c r="B266" s="7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7"/>
      <c r="X266" s="10"/>
      <c r="Y266" s="11"/>
      <c r="Z266" s="12"/>
      <c r="AA266" s="12"/>
      <c r="AB266" s="12"/>
      <c r="AC266" s="13"/>
      <c r="AD266" s="7"/>
      <c r="AE266" s="7"/>
      <c r="AF266" s="7"/>
      <c r="AG266" s="7"/>
      <c r="AH266" s="7"/>
      <c r="AI266" s="7"/>
      <c r="AJ266" s="7"/>
      <c r="AK266" s="7"/>
    </row>
    <row r="267" spans="1:37" ht="15" x14ac:dyDescent="0.25">
      <c r="A267" s="14"/>
      <c r="B267" s="7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7"/>
      <c r="X267" s="10"/>
      <c r="Y267" s="11"/>
      <c r="Z267" s="12"/>
      <c r="AA267" s="12"/>
      <c r="AB267" s="12"/>
      <c r="AC267" s="13"/>
      <c r="AD267" s="7"/>
      <c r="AE267" s="7"/>
      <c r="AF267" s="7"/>
      <c r="AG267" s="7"/>
      <c r="AH267" s="7"/>
      <c r="AI267" s="7"/>
      <c r="AJ267" s="7"/>
      <c r="AK267" s="7"/>
    </row>
    <row r="268" spans="1:37" ht="15" x14ac:dyDescent="0.25">
      <c r="A268" s="14"/>
      <c r="B268" s="7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7"/>
      <c r="X268" s="10"/>
      <c r="Y268" s="11"/>
      <c r="Z268" s="12"/>
      <c r="AA268" s="12"/>
      <c r="AB268" s="12"/>
      <c r="AC268" s="13"/>
      <c r="AD268" s="7"/>
      <c r="AE268" s="7"/>
      <c r="AF268" s="7"/>
      <c r="AG268" s="7"/>
      <c r="AH268" s="7"/>
      <c r="AI268" s="7"/>
      <c r="AJ268" s="7"/>
      <c r="AK268" s="7"/>
    </row>
    <row r="269" spans="1:37" ht="15" x14ac:dyDescent="0.25">
      <c r="A269" s="14"/>
      <c r="B269" s="7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7"/>
      <c r="X269" s="10"/>
      <c r="Y269" s="11"/>
      <c r="Z269" s="12"/>
      <c r="AA269" s="12"/>
      <c r="AB269" s="12"/>
      <c r="AC269" s="13"/>
      <c r="AD269" s="7"/>
      <c r="AE269" s="7"/>
      <c r="AF269" s="7"/>
      <c r="AG269" s="7"/>
      <c r="AH269" s="7"/>
      <c r="AI269" s="7"/>
      <c r="AJ269" s="7"/>
      <c r="AK269" s="7"/>
    </row>
    <row r="270" spans="1:37" ht="15" x14ac:dyDescent="0.25">
      <c r="A270" s="14"/>
      <c r="B270" s="7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7"/>
      <c r="X270" s="10"/>
      <c r="Y270" s="11"/>
      <c r="Z270" s="12"/>
      <c r="AA270" s="12"/>
      <c r="AB270" s="12"/>
      <c r="AC270" s="13"/>
      <c r="AD270" s="7"/>
      <c r="AE270" s="7"/>
      <c r="AF270" s="7"/>
      <c r="AG270" s="7"/>
      <c r="AH270" s="7"/>
      <c r="AI270" s="7"/>
      <c r="AJ270" s="7"/>
      <c r="AK270" s="7"/>
    </row>
    <row r="271" spans="1:37" ht="15" x14ac:dyDescent="0.25">
      <c r="A271" s="14"/>
      <c r="B271" s="7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7"/>
      <c r="X271" s="10"/>
      <c r="Y271" s="11"/>
      <c r="Z271" s="12"/>
      <c r="AA271" s="12"/>
      <c r="AB271" s="12"/>
      <c r="AC271" s="13"/>
      <c r="AD271" s="7"/>
      <c r="AE271" s="7"/>
      <c r="AF271" s="7"/>
      <c r="AG271" s="7"/>
      <c r="AH271" s="7"/>
      <c r="AI271" s="7"/>
      <c r="AJ271" s="7"/>
      <c r="AK271" s="7"/>
    </row>
    <row r="272" spans="1:37" ht="15" x14ac:dyDescent="0.25">
      <c r="A272" s="14"/>
      <c r="B272" s="7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7"/>
      <c r="X272" s="10"/>
      <c r="Y272" s="11"/>
      <c r="Z272" s="12"/>
      <c r="AA272" s="12"/>
      <c r="AB272" s="12"/>
      <c r="AC272" s="13"/>
      <c r="AD272" s="7"/>
      <c r="AE272" s="7"/>
      <c r="AF272" s="7"/>
      <c r="AG272" s="7"/>
      <c r="AH272" s="7"/>
      <c r="AI272" s="7"/>
      <c r="AJ272" s="7"/>
      <c r="AK272" s="7"/>
    </row>
    <row r="273" spans="1:37" ht="15" x14ac:dyDescent="0.25">
      <c r="A273" s="14"/>
      <c r="B273" s="7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7"/>
      <c r="X273" s="10"/>
      <c r="Y273" s="11"/>
      <c r="Z273" s="12"/>
      <c r="AA273" s="12"/>
      <c r="AB273" s="12"/>
      <c r="AC273" s="13"/>
      <c r="AD273" s="7"/>
      <c r="AE273" s="7"/>
      <c r="AF273" s="7"/>
      <c r="AG273" s="7"/>
      <c r="AH273" s="7"/>
      <c r="AI273" s="7"/>
      <c r="AJ273" s="7"/>
      <c r="AK273" s="7"/>
    </row>
    <row r="274" spans="1:37" ht="15" x14ac:dyDescent="0.25">
      <c r="A274" s="14"/>
      <c r="B274" s="7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7"/>
      <c r="V274" s="9"/>
      <c r="W274" s="7"/>
      <c r="X274" s="10"/>
      <c r="Y274" s="11"/>
      <c r="Z274" s="12"/>
      <c r="AA274" s="12"/>
      <c r="AB274" s="12"/>
      <c r="AC274" s="13"/>
      <c r="AD274" s="7"/>
      <c r="AE274" s="7"/>
      <c r="AF274" s="7"/>
      <c r="AG274" s="7"/>
      <c r="AH274" s="7"/>
      <c r="AI274" s="7"/>
      <c r="AJ274" s="7"/>
      <c r="AK274" s="7"/>
    </row>
    <row r="275" spans="1:37" ht="15" x14ac:dyDescent="0.25">
      <c r="A275" s="14"/>
      <c r="B275" s="7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7"/>
      <c r="X275" s="10"/>
      <c r="Y275" s="11"/>
      <c r="Z275" s="12"/>
      <c r="AA275" s="12"/>
      <c r="AB275" s="12"/>
      <c r="AC275" s="13"/>
      <c r="AD275" s="7"/>
      <c r="AE275" s="7"/>
      <c r="AF275" s="7"/>
      <c r="AG275" s="7"/>
      <c r="AH275" s="7"/>
      <c r="AI275" s="7"/>
      <c r="AJ275" s="7"/>
      <c r="AK275" s="7"/>
    </row>
    <row r="276" spans="1:37" ht="15" x14ac:dyDescent="0.25">
      <c r="A276" s="14"/>
      <c r="B276" s="7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7"/>
      <c r="X276" s="10"/>
      <c r="Y276" s="11"/>
      <c r="Z276" s="12"/>
      <c r="AA276" s="12"/>
      <c r="AB276" s="12"/>
      <c r="AC276" s="13"/>
      <c r="AD276" s="7"/>
      <c r="AE276" s="7"/>
      <c r="AF276" s="7"/>
      <c r="AG276" s="7"/>
      <c r="AH276" s="7"/>
      <c r="AI276" s="7"/>
      <c r="AJ276" s="7"/>
      <c r="AK276" s="7"/>
    </row>
    <row r="277" spans="1:37" ht="15" x14ac:dyDescent="0.25">
      <c r="A277" s="14"/>
      <c r="B277" s="7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7"/>
      <c r="X277" s="10"/>
      <c r="Y277" s="11"/>
      <c r="Z277" s="12"/>
      <c r="AA277" s="12"/>
      <c r="AB277" s="12"/>
      <c r="AC277" s="13"/>
      <c r="AD277" s="7"/>
      <c r="AE277" s="7"/>
      <c r="AF277" s="7"/>
      <c r="AG277" s="7"/>
      <c r="AH277" s="7"/>
      <c r="AI277" s="7"/>
      <c r="AJ277" s="7"/>
      <c r="AK277" s="7"/>
    </row>
    <row r="278" spans="1:37" ht="15" x14ac:dyDescent="0.25">
      <c r="A278" s="14"/>
      <c r="B278" s="7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7"/>
      <c r="X278" s="10"/>
      <c r="Y278" s="11"/>
      <c r="Z278" s="12"/>
      <c r="AA278" s="12"/>
      <c r="AB278" s="12"/>
      <c r="AC278" s="13"/>
      <c r="AD278" s="7"/>
      <c r="AE278" s="7"/>
      <c r="AF278" s="7"/>
      <c r="AG278" s="7"/>
      <c r="AH278" s="7"/>
      <c r="AI278" s="7"/>
      <c r="AJ278" s="7"/>
      <c r="AK278" s="7"/>
    </row>
    <row r="279" spans="1:37" ht="15" x14ac:dyDescent="0.25">
      <c r="A279" s="14"/>
      <c r="B279" s="7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7"/>
      <c r="W279" s="7"/>
      <c r="X279" s="10"/>
      <c r="Y279" s="11"/>
      <c r="Z279" s="12"/>
      <c r="AA279" s="12"/>
      <c r="AB279" s="12"/>
      <c r="AC279" s="13"/>
      <c r="AD279" s="7"/>
      <c r="AE279" s="7"/>
      <c r="AF279" s="7"/>
      <c r="AG279" s="7"/>
      <c r="AH279" s="7"/>
      <c r="AI279" s="7"/>
      <c r="AJ279" s="7"/>
      <c r="AK279" s="7"/>
    </row>
    <row r="280" spans="1:37" ht="15" x14ac:dyDescent="0.25">
      <c r="A280" s="14"/>
      <c r="B280" s="7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7"/>
      <c r="V280" s="9"/>
      <c r="W280" s="7"/>
      <c r="X280" s="10"/>
      <c r="Y280" s="11"/>
      <c r="Z280" s="12"/>
      <c r="AA280" s="12"/>
      <c r="AB280" s="12"/>
      <c r="AC280" s="13"/>
      <c r="AD280" s="7"/>
      <c r="AE280" s="7"/>
      <c r="AF280" s="7"/>
      <c r="AG280" s="7"/>
      <c r="AH280" s="7"/>
      <c r="AI280" s="7"/>
      <c r="AJ280" s="7"/>
      <c r="AK280" s="7"/>
    </row>
    <row r="281" spans="1:37" ht="15" x14ac:dyDescent="0.25">
      <c r="A281" s="14"/>
      <c r="B281" s="7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7"/>
      <c r="X281" s="10"/>
      <c r="Y281" s="11"/>
      <c r="Z281" s="12"/>
      <c r="AA281" s="12"/>
      <c r="AB281" s="12"/>
      <c r="AC281" s="13"/>
      <c r="AD281" s="7"/>
      <c r="AE281" s="7"/>
      <c r="AF281" s="7"/>
      <c r="AG281" s="7"/>
      <c r="AH281" s="7"/>
      <c r="AI281" s="7"/>
      <c r="AJ281" s="7"/>
      <c r="AK281" s="7"/>
    </row>
    <row r="282" spans="1:37" ht="15" x14ac:dyDescent="0.25">
      <c r="A282" s="14"/>
      <c r="B282" s="7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7"/>
      <c r="X282" s="10"/>
      <c r="Y282" s="11"/>
      <c r="Z282" s="12"/>
      <c r="AA282" s="12"/>
      <c r="AB282" s="12"/>
      <c r="AC282" s="13"/>
      <c r="AD282" s="7"/>
      <c r="AE282" s="7"/>
      <c r="AF282" s="7"/>
      <c r="AG282" s="7"/>
      <c r="AH282" s="7"/>
      <c r="AI282" s="7"/>
      <c r="AJ282" s="7"/>
      <c r="AK282" s="7"/>
    </row>
    <row r="283" spans="1:37" ht="15" x14ac:dyDescent="0.25">
      <c r="A283" s="14"/>
      <c r="B283" s="7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7"/>
      <c r="X283" s="10"/>
      <c r="Y283" s="11"/>
      <c r="Z283" s="12"/>
      <c r="AA283" s="12"/>
      <c r="AB283" s="12"/>
      <c r="AC283" s="13"/>
      <c r="AD283" s="7"/>
      <c r="AE283" s="7"/>
      <c r="AF283" s="7"/>
      <c r="AG283" s="7"/>
      <c r="AH283" s="7"/>
      <c r="AI283" s="7"/>
      <c r="AJ283" s="7"/>
      <c r="AK283" s="7"/>
    </row>
    <row r="284" spans="1:37" ht="15" x14ac:dyDescent="0.25">
      <c r="A284" s="14"/>
      <c r="B284" s="4"/>
      <c r="C284" s="24"/>
      <c r="D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9"/>
      <c r="W284" s="7"/>
      <c r="X284" s="10"/>
      <c r="Y284" s="11"/>
      <c r="Z284" s="12"/>
      <c r="AA284" s="12"/>
      <c r="AB284" s="12"/>
      <c r="AC284" s="13"/>
      <c r="AD284" s="7"/>
      <c r="AE284" s="7"/>
      <c r="AF284" s="7"/>
      <c r="AG284" s="7"/>
      <c r="AH284" s="7"/>
      <c r="AI284" s="7"/>
      <c r="AJ284" s="7"/>
      <c r="AK284" s="7"/>
    </row>
    <row r="285" spans="1:37" ht="15" x14ac:dyDescent="0.25">
      <c r="A285" s="14"/>
      <c r="B285" s="4"/>
      <c r="C285" s="24"/>
      <c r="D285" s="27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9"/>
      <c r="W285" s="7"/>
      <c r="X285" s="10"/>
      <c r="Y285" s="11"/>
      <c r="Z285" s="12"/>
      <c r="AA285" s="12"/>
      <c r="AB285" s="12"/>
      <c r="AC285" s="13"/>
      <c r="AD285" s="7"/>
      <c r="AE285" s="7"/>
      <c r="AF285" s="7"/>
      <c r="AG285" s="7"/>
      <c r="AH285" s="7"/>
      <c r="AI285" s="7"/>
      <c r="AJ285" s="7"/>
      <c r="AK285" s="7"/>
    </row>
    <row r="286" spans="1:37" ht="15" x14ac:dyDescent="0.25">
      <c r="A286" s="14"/>
      <c r="B286" s="4"/>
      <c r="C286" s="24"/>
      <c r="D286" s="27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9"/>
      <c r="W286" s="7"/>
      <c r="X286" s="10"/>
      <c r="Y286" s="11"/>
      <c r="Z286" s="12"/>
      <c r="AA286" s="12"/>
      <c r="AB286" s="12"/>
      <c r="AC286" s="13"/>
      <c r="AD286" s="7"/>
      <c r="AE286" s="7"/>
      <c r="AF286" s="7"/>
      <c r="AG286" s="7"/>
      <c r="AH286" s="7"/>
      <c r="AI286" s="7"/>
      <c r="AJ286" s="7"/>
      <c r="AK286" s="7"/>
    </row>
    <row r="287" spans="1:37" ht="15" x14ac:dyDescent="0.25">
      <c r="A287" s="14"/>
      <c r="B287" s="4"/>
      <c r="C287" s="24"/>
      <c r="D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9"/>
      <c r="W287" s="7"/>
      <c r="X287" s="10"/>
      <c r="Y287" s="11"/>
      <c r="Z287" s="12"/>
      <c r="AA287" s="12"/>
      <c r="AB287" s="12"/>
      <c r="AC287" s="13"/>
      <c r="AD287" s="7"/>
      <c r="AE287" s="7"/>
      <c r="AF287" s="7"/>
      <c r="AG287" s="7"/>
      <c r="AH287" s="7"/>
      <c r="AI287" s="7"/>
      <c r="AJ287" s="7"/>
      <c r="AK287" s="7"/>
    </row>
    <row r="288" spans="1:37" ht="15" x14ac:dyDescent="0.25">
      <c r="A288" s="14"/>
      <c r="B288" s="4"/>
      <c r="C288" s="24"/>
      <c r="D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9"/>
      <c r="W288" s="7"/>
      <c r="X288" s="10"/>
      <c r="Y288" s="11"/>
      <c r="Z288" s="12"/>
      <c r="AA288" s="12"/>
      <c r="AB288" s="12"/>
      <c r="AC288" s="13"/>
      <c r="AD288" s="7"/>
      <c r="AE288" s="7"/>
      <c r="AF288" s="7"/>
      <c r="AG288" s="7"/>
      <c r="AH288" s="7"/>
      <c r="AI288" s="7"/>
      <c r="AJ288" s="7"/>
      <c r="AK288" s="7"/>
    </row>
    <row r="289" spans="1:37" ht="15" x14ac:dyDescent="0.25">
      <c r="A289" s="14"/>
      <c r="B289" s="4"/>
      <c r="C289" s="24"/>
      <c r="D289" s="27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9"/>
      <c r="W289" s="7"/>
      <c r="X289" s="10"/>
      <c r="Y289" s="11"/>
      <c r="Z289" s="12"/>
      <c r="AA289" s="12"/>
      <c r="AB289" s="12"/>
      <c r="AC289" s="13"/>
      <c r="AD289" s="7"/>
      <c r="AE289" s="7"/>
      <c r="AF289" s="7"/>
      <c r="AG289" s="7"/>
      <c r="AH289" s="7"/>
      <c r="AI289" s="7"/>
      <c r="AJ289" s="7"/>
      <c r="AK289" s="7"/>
    </row>
    <row r="290" spans="1:37" ht="15" x14ac:dyDescent="0.25">
      <c r="A290" s="14"/>
      <c r="B290" s="4"/>
      <c r="C290" s="24"/>
      <c r="D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9"/>
      <c r="W290" s="7"/>
      <c r="X290" s="10"/>
      <c r="Y290" s="11"/>
      <c r="Z290" s="12"/>
      <c r="AA290" s="12"/>
      <c r="AB290" s="12"/>
      <c r="AC290" s="13"/>
      <c r="AD290" s="7"/>
      <c r="AE290" s="7"/>
      <c r="AF290" s="7"/>
      <c r="AG290" s="7"/>
      <c r="AH290" s="7"/>
      <c r="AI290" s="7"/>
      <c r="AJ290" s="7"/>
      <c r="AK290" s="7"/>
    </row>
    <row r="291" spans="1:37" ht="15" x14ac:dyDescent="0.25">
      <c r="A291" s="14"/>
      <c r="B291" s="4"/>
      <c r="C291" s="24"/>
      <c r="D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9"/>
      <c r="W291" s="7"/>
      <c r="X291" s="10"/>
      <c r="Y291" s="11"/>
      <c r="Z291" s="12"/>
      <c r="AA291" s="12"/>
      <c r="AB291" s="12"/>
      <c r="AC291" s="13"/>
      <c r="AD291" s="7"/>
      <c r="AE291" s="7"/>
      <c r="AF291" s="7"/>
      <c r="AG291" s="7"/>
      <c r="AH291" s="7"/>
      <c r="AI291" s="7"/>
      <c r="AJ291" s="7"/>
      <c r="AK291" s="7"/>
    </row>
    <row r="292" spans="1:37" ht="15" x14ac:dyDescent="0.25">
      <c r="A292" s="14"/>
      <c r="B292" s="4"/>
      <c r="C292" s="24"/>
      <c r="D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9"/>
      <c r="W292" s="7"/>
      <c r="X292" s="10"/>
      <c r="Y292" s="11"/>
      <c r="Z292" s="12"/>
      <c r="AA292" s="12"/>
      <c r="AB292" s="12"/>
      <c r="AC292" s="13"/>
      <c r="AD292" s="7"/>
      <c r="AE292" s="7"/>
      <c r="AF292" s="7"/>
      <c r="AG292" s="7"/>
      <c r="AH292" s="7"/>
      <c r="AI292" s="7"/>
      <c r="AJ292" s="7"/>
      <c r="AK292" s="7"/>
    </row>
    <row r="293" spans="1:37" ht="15" x14ac:dyDescent="0.25">
      <c r="A293" s="14"/>
      <c r="B293" s="4"/>
      <c r="C293" s="24"/>
      <c r="D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9"/>
      <c r="W293" s="7"/>
      <c r="X293" s="10"/>
      <c r="Y293" s="11"/>
      <c r="Z293" s="12"/>
      <c r="AA293" s="12"/>
      <c r="AB293" s="12"/>
      <c r="AC293" s="13"/>
      <c r="AD293" s="7"/>
      <c r="AE293" s="7"/>
      <c r="AF293" s="7"/>
      <c r="AG293" s="7"/>
      <c r="AH293" s="7"/>
      <c r="AI293" s="7"/>
      <c r="AJ293" s="7"/>
      <c r="AK293" s="7"/>
    </row>
    <row r="294" spans="1:37" ht="15" x14ac:dyDescent="0.25">
      <c r="A294" s="14"/>
      <c r="B294" s="4"/>
      <c r="C294" s="24"/>
      <c r="D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9"/>
      <c r="W294" s="7"/>
      <c r="X294" s="10"/>
      <c r="Y294" s="11"/>
      <c r="Z294" s="12"/>
      <c r="AA294" s="12"/>
      <c r="AB294" s="12"/>
      <c r="AC294" s="13"/>
      <c r="AD294" s="7"/>
      <c r="AE294" s="7"/>
      <c r="AF294" s="7"/>
      <c r="AG294" s="7"/>
      <c r="AH294" s="7"/>
      <c r="AI294" s="7"/>
      <c r="AJ294" s="7"/>
      <c r="AK294" s="7"/>
    </row>
    <row r="295" spans="1:37" ht="15" x14ac:dyDescent="0.25">
      <c r="A295" s="14"/>
      <c r="B295" s="4"/>
      <c r="C295" s="24"/>
      <c r="D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9"/>
      <c r="W295" s="7"/>
      <c r="X295" s="10"/>
      <c r="Y295" s="11"/>
      <c r="Z295" s="12"/>
      <c r="AA295" s="12"/>
      <c r="AB295" s="12"/>
      <c r="AC295" s="13"/>
      <c r="AD295" s="7"/>
      <c r="AE295" s="7"/>
      <c r="AF295" s="7"/>
      <c r="AG295" s="7"/>
      <c r="AH295" s="7"/>
      <c r="AI295" s="7"/>
      <c r="AJ295" s="7"/>
      <c r="AK295" s="7"/>
    </row>
    <row r="296" spans="1:37" ht="15" x14ac:dyDescent="0.25">
      <c r="A296" s="14"/>
      <c r="B296" s="4"/>
      <c r="C296" s="24"/>
      <c r="D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9"/>
      <c r="W296" s="7"/>
      <c r="X296" s="10"/>
      <c r="Y296" s="11"/>
      <c r="Z296" s="12"/>
      <c r="AA296" s="12"/>
      <c r="AB296" s="12"/>
      <c r="AC296" s="13"/>
      <c r="AD296" s="7"/>
      <c r="AE296" s="7"/>
      <c r="AF296" s="7"/>
      <c r="AG296" s="7"/>
      <c r="AH296" s="7"/>
      <c r="AI296" s="7"/>
      <c r="AJ296" s="7"/>
      <c r="AK296" s="7"/>
    </row>
    <row r="297" spans="1:37" ht="15" x14ac:dyDescent="0.25">
      <c r="A297" s="14"/>
      <c r="B297" s="4"/>
      <c r="C297" s="24"/>
      <c r="D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9"/>
      <c r="W297" s="7"/>
      <c r="X297" s="10"/>
      <c r="Y297" s="11"/>
      <c r="Z297" s="12"/>
      <c r="AA297" s="12"/>
      <c r="AB297" s="12"/>
      <c r="AC297" s="13"/>
      <c r="AD297" s="7"/>
      <c r="AE297" s="7"/>
      <c r="AF297" s="7"/>
      <c r="AG297" s="7"/>
      <c r="AH297" s="7"/>
      <c r="AI297" s="7"/>
      <c r="AJ297" s="7"/>
      <c r="AK297" s="7"/>
    </row>
    <row r="298" spans="1:37" ht="15" x14ac:dyDescent="0.25">
      <c r="A298" s="14"/>
      <c r="B298" s="4"/>
      <c r="C298" s="24"/>
      <c r="D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9"/>
      <c r="W298" s="7"/>
      <c r="X298" s="10"/>
      <c r="Y298" s="11"/>
      <c r="Z298" s="12"/>
      <c r="AA298" s="12"/>
      <c r="AB298" s="12"/>
      <c r="AC298" s="13"/>
      <c r="AD298" s="7"/>
      <c r="AE298" s="7"/>
      <c r="AF298" s="7"/>
      <c r="AG298" s="7"/>
      <c r="AH298" s="7"/>
      <c r="AI298" s="7"/>
      <c r="AJ298" s="7"/>
      <c r="AK298" s="7"/>
    </row>
    <row r="299" spans="1:37" ht="15" x14ac:dyDescent="0.25">
      <c r="A299" s="14"/>
      <c r="B299" s="4"/>
      <c r="C299" s="24"/>
      <c r="D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9"/>
      <c r="W299" s="7"/>
      <c r="X299" s="10"/>
      <c r="Y299" s="11"/>
      <c r="Z299" s="12"/>
      <c r="AA299" s="12"/>
      <c r="AB299" s="12"/>
      <c r="AC299" s="13"/>
      <c r="AD299" s="7"/>
      <c r="AE299" s="7"/>
      <c r="AF299" s="7"/>
      <c r="AG299" s="7"/>
      <c r="AH299" s="7"/>
      <c r="AI299" s="7"/>
      <c r="AJ299" s="7"/>
      <c r="AK299" s="7"/>
    </row>
    <row r="300" spans="1:37" ht="15" x14ac:dyDescent="0.25">
      <c r="A300" s="14"/>
      <c r="B300" s="4"/>
      <c r="C300" s="24"/>
      <c r="D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9"/>
      <c r="W300" s="7"/>
      <c r="X300" s="10"/>
      <c r="Y300" s="11"/>
      <c r="Z300" s="12"/>
      <c r="AA300" s="12"/>
      <c r="AB300" s="12"/>
      <c r="AC300" s="13"/>
      <c r="AD300" s="7"/>
      <c r="AE300" s="7"/>
      <c r="AF300" s="7"/>
      <c r="AG300" s="7"/>
      <c r="AH300" s="7"/>
      <c r="AI300" s="7"/>
      <c r="AJ300" s="7"/>
      <c r="AK300" s="7"/>
    </row>
    <row r="301" spans="1:37" ht="15" x14ac:dyDescent="0.25">
      <c r="A301" s="14"/>
      <c r="B301" s="4"/>
      <c r="C301" s="24"/>
      <c r="D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9"/>
      <c r="W301" s="7"/>
      <c r="X301" s="10"/>
      <c r="Y301" s="11"/>
      <c r="Z301" s="12"/>
      <c r="AA301" s="12"/>
      <c r="AB301" s="12"/>
      <c r="AC301" s="13"/>
      <c r="AD301" s="7"/>
      <c r="AE301" s="7"/>
      <c r="AF301" s="7"/>
      <c r="AG301" s="7"/>
      <c r="AH301" s="7"/>
      <c r="AI301" s="7"/>
      <c r="AJ301" s="7"/>
      <c r="AK301" s="7"/>
    </row>
    <row r="302" spans="1:37" ht="15" x14ac:dyDescent="0.25">
      <c r="A302" s="14"/>
      <c r="B302" s="4"/>
      <c r="C302" s="24"/>
      <c r="D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9"/>
      <c r="W302" s="7"/>
      <c r="X302" s="10"/>
      <c r="Y302" s="11"/>
      <c r="Z302" s="12"/>
      <c r="AA302" s="12"/>
      <c r="AB302" s="12"/>
      <c r="AC302" s="13"/>
      <c r="AD302" s="7"/>
      <c r="AE302" s="7"/>
      <c r="AF302" s="7"/>
      <c r="AG302" s="7"/>
      <c r="AH302" s="7"/>
      <c r="AI302" s="7"/>
      <c r="AJ302" s="7"/>
      <c r="AK302" s="7"/>
    </row>
    <row r="303" spans="1:37" ht="15" x14ac:dyDescent="0.25">
      <c r="A303" s="14"/>
      <c r="B303" s="4"/>
      <c r="C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9"/>
      <c r="W303" s="7"/>
      <c r="X303" s="10"/>
      <c r="Y303" s="11"/>
      <c r="Z303" s="12"/>
      <c r="AA303" s="12"/>
      <c r="AB303" s="12"/>
      <c r="AC303" s="13"/>
      <c r="AD303" s="7"/>
      <c r="AE303" s="7"/>
      <c r="AF303" s="7"/>
      <c r="AG303" s="7"/>
      <c r="AH303" s="7"/>
      <c r="AI303" s="7"/>
      <c r="AJ303" s="7"/>
      <c r="AK303" s="7"/>
    </row>
    <row r="304" spans="1:37" ht="15" x14ac:dyDescent="0.25">
      <c r="A304" s="14"/>
      <c r="B304" s="4"/>
      <c r="C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9"/>
      <c r="W304" s="7"/>
      <c r="X304" s="10"/>
      <c r="Y304" s="11"/>
      <c r="Z304" s="12"/>
      <c r="AA304" s="12"/>
      <c r="AB304" s="12"/>
      <c r="AC304" s="13"/>
      <c r="AD304" s="7"/>
      <c r="AE304" s="7"/>
      <c r="AF304" s="7"/>
      <c r="AG304" s="7"/>
      <c r="AH304" s="7"/>
      <c r="AI304" s="7"/>
      <c r="AJ304" s="7"/>
      <c r="AK304" s="7"/>
    </row>
    <row r="305" spans="1:37" ht="15" x14ac:dyDescent="0.25">
      <c r="A305" s="14"/>
      <c r="B305" s="4"/>
      <c r="C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9"/>
      <c r="W305" s="7"/>
      <c r="X305" s="10"/>
      <c r="Y305" s="11"/>
      <c r="Z305" s="12"/>
      <c r="AA305" s="12"/>
      <c r="AB305" s="12"/>
      <c r="AC305" s="13"/>
      <c r="AD305" s="7"/>
      <c r="AE305" s="7"/>
      <c r="AF305" s="7"/>
      <c r="AG305" s="7"/>
      <c r="AH305" s="7"/>
      <c r="AI305" s="7"/>
      <c r="AJ305" s="7"/>
      <c r="AK305" s="7"/>
    </row>
    <row r="306" spans="1:37" ht="15" x14ac:dyDescent="0.25">
      <c r="A306" s="14"/>
      <c r="B306" s="4"/>
      <c r="C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9"/>
      <c r="W306" s="7"/>
      <c r="X306" s="10"/>
      <c r="Y306" s="11"/>
      <c r="Z306" s="12"/>
      <c r="AA306" s="12"/>
      <c r="AB306" s="12"/>
      <c r="AC306" s="13"/>
      <c r="AD306" s="7"/>
      <c r="AE306" s="7"/>
      <c r="AF306" s="7"/>
      <c r="AG306" s="7"/>
      <c r="AH306" s="7"/>
      <c r="AI306" s="7"/>
      <c r="AJ306" s="7"/>
      <c r="AK306" s="7"/>
    </row>
    <row r="307" spans="1:37" ht="15" x14ac:dyDescent="0.25">
      <c r="A307" s="14"/>
      <c r="B307" s="4"/>
      <c r="C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9"/>
      <c r="W307" s="7"/>
      <c r="X307" s="10"/>
      <c r="Y307" s="11"/>
      <c r="Z307" s="12"/>
      <c r="AA307" s="12"/>
      <c r="AB307" s="12"/>
      <c r="AC307" s="13"/>
      <c r="AD307" s="7"/>
      <c r="AE307" s="7"/>
      <c r="AF307" s="7"/>
      <c r="AG307" s="7"/>
      <c r="AH307" s="7"/>
      <c r="AI307" s="7"/>
      <c r="AJ307" s="7"/>
      <c r="AK307" s="7"/>
    </row>
    <row r="308" spans="1:37" ht="15" x14ac:dyDescent="0.25">
      <c r="A308" s="14"/>
      <c r="B308" s="4"/>
      <c r="C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9"/>
      <c r="W308" s="7"/>
      <c r="X308" s="10"/>
      <c r="Y308" s="11"/>
      <c r="Z308" s="12"/>
      <c r="AA308" s="12"/>
      <c r="AB308" s="12"/>
      <c r="AC308" s="13"/>
      <c r="AD308" s="7"/>
      <c r="AE308" s="7"/>
      <c r="AF308" s="7"/>
      <c r="AG308" s="7"/>
      <c r="AH308" s="7"/>
      <c r="AI308" s="7"/>
      <c r="AJ308" s="7"/>
      <c r="AK308" s="7"/>
    </row>
    <row r="309" spans="1:37" ht="15" x14ac:dyDescent="0.25">
      <c r="A309" s="14"/>
      <c r="B309" s="4"/>
      <c r="C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9"/>
      <c r="W309" s="7"/>
      <c r="X309" s="10"/>
      <c r="Y309" s="11"/>
      <c r="Z309" s="12"/>
      <c r="AA309" s="12"/>
      <c r="AB309" s="12"/>
      <c r="AC309" s="13"/>
      <c r="AD309" s="7"/>
      <c r="AE309" s="7"/>
      <c r="AF309" s="7"/>
      <c r="AG309" s="7"/>
      <c r="AH309" s="7"/>
      <c r="AI309" s="7"/>
      <c r="AJ309" s="7"/>
      <c r="AK309" s="7"/>
    </row>
    <row r="310" spans="1:37" ht="15" x14ac:dyDescent="0.25">
      <c r="A310" s="14"/>
      <c r="B310" s="4"/>
      <c r="C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9"/>
      <c r="W310" s="7"/>
      <c r="X310" s="10"/>
      <c r="Y310" s="11"/>
      <c r="Z310" s="12"/>
      <c r="AA310" s="12"/>
      <c r="AB310" s="12"/>
      <c r="AC310" s="13"/>
      <c r="AD310" s="7"/>
      <c r="AE310" s="7"/>
      <c r="AF310" s="7"/>
      <c r="AG310" s="7"/>
      <c r="AH310" s="7"/>
      <c r="AI310" s="7"/>
      <c r="AJ310" s="7"/>
      <c r="AK310" s="7"/>
    </row>
    <row r="311" spans="1:37" ht="15" x14ac:dyDescent="0.25">
      <c r="A311" s="14"/>
      <c r="B311" s="4"/>
      <c r="C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9"/>
      <c r="W311" s="7"/>
      <c r="X311" s="10"/>
      <c r="Y311" s="11"/>
      <c r="Z311" s="12"/>
      <c r="AA311" s="12"/>
      <c r="AB311" s="12"/>
      <c r="AC311" s="13"/>
      <c r="AD311" s="7"/>
      <c r="AE311" s="7"/>
      <c r="AF311" s="7"/>
      <c r="AG311" s="7"/>
      <c r="AH311" s="7"/>
      <c r="AI311" s="7"/>
      <c r="AJ311" s="7"/>
      <c r="AK311" s="7"/>
    </row>
    <row r="312" spans="1:37" ht="15" x14ac:dyDescent="0.25">
      <c r="A312" s="14"/>
      <c r="B312" s="4"/>
      <c r="C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9"/>
      <c r="W312" s="7"/>
      <c r="X312" s="10"/>
      <c r="Y312" s="11"/>
      <c r="Z312" s="12"/>
      <c r="AA312" s="12"/>
      <c r="AB312" s="12"/>
      <c r="AC312" s="13"/>
      <c r="AD312" s="7"/>
      <c r="AE312" s="7"/>
      <c r="AF312" s="7"/>
      <c r="AG312" s="7"/>
      <c r="AH312" s="7"/>
      <c r="AI312" s="7"/>
      <c r="AJ312" s="7"/>
      <c r="AK312" s="7"/>
    </row>
    <row r="313" spans="1:37" ht="15" x14ac:dyDescent="0.25">
      <c r="A313" s="14"/>
      <c r="B313" s="4"/>
      <c r="C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9"/>
      <c r="W313" s="7"/>
      <c r="X313" s="10"/>
      <c r="Y313" s="11"/>
      <c r="Z313" s="12"/>
      <c r="AA313" s="12"/>
      <c r="AB313" s="12"/>
      <c r="AC313" s="13"/>
      <c r="AD313" s="7"/>
      <c r="AE313" s="7"/>
      <c r="AF313" s="7"/>
      <c r="AG313" s="7"/>
      <c r="AH313" s="7"/>
      <c r="AI313" s="7"/>
      <c r="AJ313" s="7"/>
      <c r="AK313" s="7"/>
    </row>
    <row r="314" spans="1:37" ht="15" x14ac:dyDescent="0.25">
      <c r="A314" s="14"/>
      <c r="B314" s="4"/>
      <c r="C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9"/>
      <c r="W314" s="7"/>
      <c r="X314" s="10"/>
      <c r="Y314" s="11"/>
      <c r="Z314" s="12"/>
      <c r="AA314" s="12"/>
      <c r="AB314" s="12"/>
      <c r="AC314" s="13"/>
      <c r="AD314" s="7"/>
      <c r="AE314" s="7"/>
      <c r="AF314" s="7"/>
      <c r="AG314" s="7"/>
      <c r="AH314" s="7"/>
      <c r="AI314" s="7"/>
      <c r="AJ314" s="7"/>
      <c r="AK314" s="7"/>
    </row>
    <row r="315" spans="1:37" ht="15" x14ac:dyDescent="0.25">
      <c r="A315" s="14"/>
      <c r="B315" s="4"/>
      <c r="C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9"/>
      <c r="W315" s="7"/>
      <c r="X315" s="10"/>
      <c r="Y315" s="11"/>
      <c r="Z315" s="12"/>
      <c r="AA315" s="12"/>
      <c r="AB315" s="12"/>
      <c r="AC315" s="13"/>
      <c r="AD315" s="7"/>
      <c r="AE315" s="7"/>
      <c r="AF315" s="7"/>
      <c r="AG315" s="7"/>
      <c r="AH315" s="7"/>
      <c r="AI315" s="7"/>
      <c r="AJ315" s="7"/>
      <c r="AK315" s="7"/>
    </row>
    <row r="316" spans="1:37" ht="15" x14ac:dyDescent="0.25">
      <c r="A316" s="14"/>
      <c r="B316" s="4"/>
      <c r="C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9"/>
      <c r="W316" s="7"/>
      <c r="X316" s="10"/>
      <c r="Y316" s="11"/>
      <c r="Z316" s="12"/>
      <c r="AA316" s="12"/>
      <c r="AB316" s="12"/>
      <c r="AC316" s="13"/>
      <c r="AD316" s="7"/>
      <c r="AE316" s="7"/>
      <c r="AF316" s="7"/>
      <c r="AG316" s="7"/>
      <c r="AH316" s="7"/>
      <c r="AI316" s="7"/>
      <c r="AJ316" s="7"/>
      <c r="AK316" s="7"/>
    </row>
    <row r="317" spans="1:37" ht="15" x14ac:dyDescent="0.25">
      <c r="A317" s="14"/>
      <c r="B317" s="4"/>
      <c r="C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9"/>
      <c r="W317" s="7"/>
      <c r="X317" s="10"/>
      <c r="Y317" s="11"/>
      <c r="Z317" s="12"/>
      <c r="AA317" s="12"/>
      <c r="AB317" s="12"/>
      <c r="AC317" s="13"/>
      <c r="AD317" s="7"/>
      <c r="AE317" s="7"/>
      <c r="AF317" s="7"/>
      <c r="AG317" s="7"/>
      <c r="AH317" s="7"/>
      <c r="AI317" s="7"/>
      <c r="AJ317" s="7"/>
      <c r="AK317" s="7"/>
    </row>
    <row r="318" spans="1:37" ht="15" x14ac:dyDescent="0.25">
      <c r="A318" s="14"/>
      <c r="B318" s="4"/>
      <c r="C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9"/>
      <c r="W318" s="7"/>
      <c r="X318" s="10"/>
      <c r="Y318" s="11"/>
      <c r="Z318" s="12"/>
      <c r="AA318" s="12"/>
      <c r="AB318" s="12"/>
      <c r="AC318" s="13"/>
      <c r="AD318" s="7"/>
      <c r="AE318" s="7"/>
      <c r="AF318" s="7"/>
      <c r="AG318" s="7"/>
      <c r="AH318" s="7"/>
      <c r="AI318" s="7"/>
      <c r="AJ318" s="7"/>
      <c r="AK318" s="7"/>
    </row>
    <row r="319" spans="1:37" ht="15" x14ac:dyDescent="0.25">
      <c r="A319" s="14"/>
      <c r="B319" s="4"/>
      <c r="C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9"/>
      <c r="W319" s="7"/>
      <c r="X319" s="10"/>
      <c r="Y319" s="11"/>
      <c r="Z319" s="12"/>
      <c r="AA319" s="12"/>
      <c r="AB319" s="12"/>
      <c r="AC319" s="13"/>
      <c r="AD319" s="7"/>
      <c r="AE319" s="7"/>
      <c r="AF319" s="7"/>
      <c r="AG319" s="7"/>
      <c r="AH319" s="7"/>
      <c r="AI319" s="7"/>
      <c r="AJ319" s="7"/>
      <c r="AK319" s="7"/>
    </row>
    <row r="320" spans="1:37" ht="15" x14ac:dyDescent="0.25">
      <c r="A320" s="14"/>
      <c r="B320" s="4"/>
      <c r="C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9"/>
      <c r="W320" s="7"/>
      <c r="X320" s="10"/>
      <c r="Y320" s="11"/>
      <c r="Z320" s="12"/>
      <c r="AA320" s="12"/>
      <c r="AB320" s="12"/>
      <c r="AC320" s="13"/>
      <c r="AD320" s="7"/>
      <c r="AE320" s="7"/>
      <c r="AF320" s="7"/>
      <c r="AG320" s="7"/>
      <c r="AH320" s="7"/>
      <c r="AI320" s="7"/>
      <c r="AJ320" s="7"/>
      <c r="AK320" s="7"/>
    </row>
    <row r="321" spans="1:37" ht="15" x14ac:dyDescent="0.25">
      <c r="A321" s="14"/>
      <c r="B321" s="4"/>
      <c r="C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9"/>
      <c r="W321" s="7"/>
      <c r="X321" s="10"/>
      <c r="Y321" s="11"/>
      <c r="Z321" s="12"/>
      <c r="AA321" s="12"/>
      <c r="AB321" s="12"/>
      <c r="AC321" s="13"/>
      <c r="AD321" s="7"/>
      <c r="AE321" s="7"/>
      <c r="AF321" s="7"/>
      <c r="AG321" s="7"/>
      <c r="AH321" s="7"/>
      <c r="AI321" s="7"/>
      <c r="AJ321" s="7"/>
      <c r="AK321" s="7"/>
    </row>
    <row r="322" spans="1:37" ht="15" x14ac:dyDescent="0.25">
      <c r="A322" s="14"/>
      <c r="B322" s="4"/>
      <c r="C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9"/>
      <c r="W322" s="7"/>
      <c r="X322" s="10"/>
      <c r="Y322" s="11"/>
      <c r="Z322" s="12"/>
      <c r="AA322" s="12"/>
      <c r="AB322" s="12"/>
      <c r="AC322" s="13"/>
      <c r="AD322" s="7"/>
      <c r="AE322" s="7"/>
      <c r="AF322" s="7"/>
      <c r="AG322" s="7"/>
      <c r="AH322" s="7"/>
      <c r="AI322" s="7"/>
      <c r="AJ322" s="7"/>
      <c r="AK322" s="7"/>
    </row>
    <row r="323" spans="1:37" ht="15" x14ac:dyDescent="0.25">
      <c r="A323" s="14"/>
      <c r="B323" s="4"/>
      <c r="C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9"/>
      <c r="W323" s="7"/>
      <c r="X323" s="10"/>
      <c r="Y323" s="11"/>
      <c r="Z323" s="12"/>
      <c r="AA323" s="12"/>
      <c r="AB323" s="12"/>
      <c r="AC323" s="13"/>
      <c r="AD323" s="7"/>
      <c r="AE323" s="7"/>
      <c r="AF323" s="7"/>
      <c r="AG323" s="7"/>
      <c r="AH323" s="7"/>
      <c r="AI323" s="7"/>
      <c r="AJ323" s="7"/>
      <c r="AK323" s="7"/>
    </row>
    <row r="324" spans="1:37" ht="15" x14ac:dyDescent="0.25">
      <c r="A324" s="14"/>
      <c r="B324" s="4"/>
      <c r="C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9"/>
      <c r="W324" s="7"/>
      <c r="X324" s="10"/>
      <c r="Y324" s="11"/>
      <c r="Z324" s="12"/>
      <c r="AA324" s="12"/>
      <c r="AB324" s="12"/>
      <c r="AC324" s="13"/>
      <c r="AD324" s="7"/>
      <c r="AE324" s="7"/>
      <c r="AF324" s="7"/>
      <c r="AG324" s="7"/>
      <c r="AH324" s="7"/>
      <c r="AI324" s="7"/>
      <c r="AJ324" s="7"/>
      <c r="AK324" s="7"/>
    </row>
    <row r="325" spans="1:37" ht="15" x14ac:dyDescent="0.25">
      <c r="A325" s="14"/>
      <c r="B325" s="4"/>
      <c r="C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9"/>
      <c r="W325" s="7"/>
      <c r="X325" s="10"/>
      <c r="Y325" s="11"/>
      <c r="Z325" s="12"/>
      <c r="AA325" s="12"/>
      <c r="AB325" s="12"/>
      <c r="AC325" s="13"/>
      <c r="AD325" s="7"/>
      <c r="AE325" s="7"/>
      <c r="AF325" s="7"/>
      <c r="AG325" s="7"/>
      <c r="AH325" s="7"/>
      <c r="AI325" s="7"/>
      <c r="AJ325" s="7"/>
      <c r="AK325" s="7"/>
    </row>
    <row r="326" spans="1:37" ht="15" x14ac:dyDescent="0.25">
      <c r="A326" s="14"/>
      <c r="B326" s="7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7"/>
      <c r="W326" s="7"/>
      <c r="X326" s="10"/>
      <c r="Y326" s="11"/>
      <c r="Z326" s="12"/>
      <c r="AA326" s="12"/>
      <c r="AB326" s="12"/>
      <c r="AC326" s="13"/>
      <c r="AD326" s="7"/>
      <c r="AE326" s="7"/>
      <c r="AF326" s="7"/>
      <c r="AG326" s="7"/>
      <c r="AH326" s="7"/>
      <c r="AI326" s="7"/>
      <c r="AJ326" s="7"/>
      <c r="AK326" s="7"/>
    </row>
    <row r="327" spans="1:37" ht="15" x14ac:dyDescent="0.25">
      <c r="A327" s="14"/>
      <c r="B327" s="7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7"/>
      <c r="X327" s="10"/>
      <c r="Y327" s="11"/>
      <c r="Z327" s="12"/>
      <c r="AA327" s="12"/>
      <c r="AB327" s="12"/>
      <c r="AC327" s="13"/>
      <c r="AD327" s="7"/>
      <c r="AE327" s="7"/>
      <c r="AF327" s="7"/>
      <c r="AG327" s="7"/>
      <c r="AH327" s="7"/>
      <c r="AI327" s="7"/>
      <c r="AJ327" s="7"/>
      <c r="AK327" s="7"/>
    </row>
    <row r="328" spans="1:37" ht="15" x14ac:dyDescent="0.25">
      <c r="A328" s="14"/>
      <c r="B328" s="7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7"/>
      <c r="X328" s="10"/>
      <c r="Y328" s="11"/>
      <c r="Z328" s="12"/>
      <c r="AA328" s="12"/>
      <c r="AB328" s="12"/>
      <c r="AC328" s="13"/>
      <c r="AD328" s="7"/>
      <c r="AE328" s="7"/>
      <c r="AF328" s="7"/>
      <c r="AG328" s="7"/>
      <c r="AH328" s="7"/>
      <c r="AI328" s="7"/>
      <c r="AJ328" s="7"/>
      <c r="AK328" s="7"/>
    </row>
    <row r="329" spans="1:37" ht="15" x14ac:dyDescent="0.25">
      <c r="A329" s="14"/>
      <c r="B329" s="7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7"/>
      <c r="X329" s="10"/>
      <c r="Y329" s="11"/>
      <c r="Z329" s="12"/>
      <c r="AA329" s="12"/>
      <c r="AB329" s="12"/>
      <c r="AC329" s="13"/>
      <c r="AD329" s="7"/>
      <c r="AE329" s="7"/>
      <c r="AF329" s="7"/>
      <c r="AG329" s="7"/>
      <c r="AH329" s="7"/>
      <c r="AI329" s="7"/>
      <c r="AJ329" s="7"/>
      <c r="AK329" s="7"/>
    </row>
    <row r="330" spans="1:37" ht="15" x14ac:dyDescent="0.25">
      <c r="A330" s="14"/>
      <c r="B330" s="7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7"/>
      <c r="X330" s="10"/>
      <c r="Y330" s="11"/>
      <c r="Z330" s="12"/>
      <c r="AA330" s="12"/>
      <c r="AB330" s="12"/>
      <c r="AC330" s="13"/>
      <c r="AD330" s="7"/>
      <c r="AE330" s="7"/>
      <c r="AF330" s="7"/>
      <c r="AG330" s="7"/>
      <c r="AH330" s="7"/>
      <c r="AI330" s="7"/>
      <c r="AJ330" s="7"/>
      <c r="AK330" s="7"/>
    </row>
    <row r="331" spans="1:37" ht="15" x14ac:dyDescent="0.25">
      <c r="A331" s="14"/>
      <c r="B331" s="7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7"/>
      <c r="X331" s="10"/>
      <c r="Y331" s="11"/>
      <c r="Z331" s="12"/>
      <c r="AA331" s="12"/>
      <c r="AB331" s="12"/>
      <c r="AC331" s="13"/>
      <c r="AD331" s="7"/>
      <c r="AE331" s="7"/>
      <c r="AF331" s="7"/>
      <c r="AG331" s="7"/>
      <c r="AH331" s="7"/>
      <c r="AI331" s="7"/>
      <c r="AJ331" s="7"/>
      <c r="AK331" s="7"/>
    </row>
    <row r="332" spans="1:37" ht="15" x14ac:dyDescent="0.25">
      <c r="A332" s="14"/>
      <c r="B332" s="7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7"/>
      <c r="X332" s="10"/>
      <c r="Y332" s="11"/>
      <c r="Z332" s="12"/>
      <c r="AA332" s="12"/>
      <c r="AB332" s="12"/>
      <c r="AC332" s="13"/>
      <c r="AD332" s="7"/>
      <c r="AE332" s="7"/>
      <c r="AF332" s="7"/>
      <c r="AG332" s="7"/>
      <c r="AH332" s="7"/>
      <c r="AI332" s="7"/>
      <c r="AJ332" s="7"/>
      <c r="AK332" s="7"/>
    </row>
    <row r="333" spans="1:37" ht="15" x14ac:dyDescent="0.25">
      <c r="A333" s="14"/>
      <c r="B333" s="7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7"/>
      <c r="X333" s="10"/>
      <c r="Y333" s="11"/>
      <c r="Z333" s="12"/>
      <c r="AA333" s="12"/>
      <c r="AB333" s="12"/>
      <c r="AC333" s="13"/>
      <c r="AD333" s="7"/>
      <c r="AE333" s="7"/>
      <c r="AF333" s="7"/>
      <c r="AG333" s="7"/>
      <c r="AH333" s="7"/>
      <c r="AI333" s="7"/>
      <c r="AJ333" s="7"/>
      <c r="AK333" s="7"/>
    </row>
    <row r="334" spans="1:37" ht="15" x14ac:dyDescent="0.25">
      <c r="A334" s="14"/>
      <c r="B334" s="7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7"/>
      <c r="V334" s="9"/>
      <c r="W334" s="7"/>
      <c r="X334" s="10"/>
      <c r="Y334" s="11"/>
      <c r="Z334" s="12"/>
      <c r="AA334" s="12"/>
      <c r="AB334" s="12"/>
      <c r="AC334" s="13"/>
      <c r="AD334" s="7"/>
      <c r="AE334" s="7"/>
      <c r="AF334" s="7"/>
      <c r="AG334" s="7"/>
      <c r="AH334" s="7"/>
      <c r="AI334" s="7"/>
      <c r="AJ334" s="7"/>
      <c r="AK334" s="7"/>
    </row>
    <row r="335" spans="1:37" ht="15" x14ac:dyDescent="0.25">
      <c r="A335" s="14"/>
      <c r="B335" s="7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7"/>
      <c r="X335" s="10"/>
      <c r="Y335" s="11"/>
      <c r="Z335" s="12"/>
      <c r="AA335" s="12"/>
      <c r="AB335" s="12"/>
      <c r="AC335" s="13"/>
      <c r="AD335" s="7"/>
      <c r="AE335" s="7"/>
      <c r="AF335" s="7"/>
      <c r="AG335" s="7"/>
      <c r="AH335" s="7"/>
      <c r="AI335" s="7"/>
      <c r="AJ335" s="7"/>
      <c r="AK335" s="7"/>
    </row>
    <row r="336" spans="1:37" ht="15" x14ac:dyDescent="0.25">
      <c r="A336" s="14"/>
      <c r="B336" s="7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7"/>
      <c r="X336" s="10"/>
      <c r="Y336" s="11"/>
      <c r="Z336" s="12"/>
      <c r="AA336" s="12"/>
      <c r="AB336" s="12"/>
      <c r="AC336" s="13"/>
      <c r="AD336" s="7"/>
      <c r="AE336" s="7"/>
      <c r="AF336" s="7"/>
      <c r="AG336" s="7"/>
      <c r="AH336" s="7"/>
      <c r="AI336" s="7"/>
      <c r="AJ336" s="7"/>
      <c r="AK336" s="7"/>
    </row>
    <row r="337" spans="1:37" ht="15" x14ac:dyDescent="0.25">
      <c r="A337" s="14"/>
      <c r="B337" s="7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7"/>
      <c r="X337" s="10"/>
      <c r="Y337" s="11"/>
      <c r="Z337" s="12"/>
      <c r="AA337" s="12"/>
      <c r="AB337" s="12"/>
      <c r="AC337" s="13"/>
      <c r="AD337" s="7"/>
      <c r="AE337" s="7"/>
      <c r="AF337" s="7"/>
      <c r="AG337" s="7"/>
      <c r="AH337" s="7"/>
      <c r="AI337" s="7"/>
      <c r="AJ337" s="7"/>
      <c r="AK337" s="7"/>
    </row>
    <row r="338" spans="1:37" ht="15" x14ac:dyDescent="0.25">
      <c r="A338" s="14"/>
      <c r="B338" s="7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7"/>
      <c r="X338" s="10"/>
      <c r="Y338" s="11"/>
      <c r="Z338" s="12"/>
      <c r="AA338" s="12"/>
      <c r="AB338" s="12"/>
      <c r="AC338" s="13"/>
      <c r="AD338" s="7"/>
      <c r="AE338" s="7"/>
      <c r="AF338" s="7"/>
      <c r="AG338" s="7"/>
      <c r="AH338" s="7"/>
      <c r="AI338" s="7"/>
      <c r="AJ338" s="7"/>
      <c r="AK338" s="7"/>
    </row>
    <row r="339" spans="1:37" ht="15" x14ac:dyDescent="0.25">
      <c r="A339" s="14"/>
      <c r="B339" s="7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7"/>
      <c r="X339" s="10"/>
      <c r="Y339" s="11"/>
      <c r="Z339" s="12"/>
      <c r="AA339" s="12"/>
      <c r="AB339" s="12"/>
      <c r="AC339" s="13"/>
      <c r="AD339" s="7"/>
      <c r="AE339" s="7"/>
      <c r="AF339" s="7"/>
      <c r="AG339" s="7"/>
      <c r="AH339" s="7"/>
      <c r="AI339" s="7"/>
      <c r="AJ339" s="7"/>
      <c r="AK339" s="7"/>
    </row>
    <row r="340" spans="1:37" ht="15" x14ac:dyDescent="0.25">
      <c r="A340" s="14"/>
      <c r="B340" s="7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7"/>
      <c r="X340" s="18"/>
      <c r="Y340" s="11"/>
      <c r="Z340" s="12"/>
      <c r="AA340" s="12"/>
      <c r="AB340" s="12"/>
      <c r="AC340" s="13"/>
      <c r="AD340" s="7"/>
      <c r="AE340" s="7"/>
      <c r="AF340" s="7"/>
      <c r="AG340" s="7"/>
      <c r="AH340" s="7"/>
      <c r="AI340" s="7"/>
      <c r="AJ340" s="7"/>
      <c r="AK340" s="7"/>
    </row>
    <row r="341" spans="1:37" ht="15" x14ac:dyDescent="0.25">
      <c r="A341" s="14"/>
      <c r="B341" s="7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7"/>
      <c r="X341" s="18"/>
      <c r="Y341" s="11"/>
      <c r="Z341" s="12"/>
      <c r="AA341" s="12"/>
      <c r="AB341" s="12"/>
      <c r="AC341" s="13"/>
      <c r="AD341" s="7"/>
      <c r="AE341" s="7"/>
      <c r="AF341" s="7"/>
      <c r="AG341" s="7"/>
      <c r="AH341" s="7"/>
      <c r="AI341" s="7"/>
      <c r="AJ341" s="7"/>
      <c r="AK341" s="7"/>
    </row>
    <row r="342" spans="1:37" ht="15" x14ac:dyDescent="0.25">
      <c r="A342" s="14"/>
      <c r="B342" s="7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7"/>
      <c r="X342" s="18"/>
      <c r="Y342" s="11"/>
      <c r="Z342" s="12"/>
      <c r="AA342" s="12"/>
      <c r="AB342" s="12"/>
      <c r="AC342" s="13"/>
      <c r="AD342" s="7"/>
      <c r="AE342" s="7"/>
      <c r="AF342" s="7"/>
      <c r="AG342" s="7"/>
      <c r="AH342" s="7"/>
      <c r="AI342" s="7"/>
      <c r="AJ342" s="7"/>
      <c r="AK342" s="7"/>
    </row>
    <row r="343" spans="1:37" ht="15" x14ac:dyDescent="0.25">
      <c r="A343" s="14"/>
      <c r="B343" s="7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7"/>
      <c r="X343" s="10"/>
      <c r="Y343" s="11"/>
      <c r="Z343" s="12"/>
      <c r="AA343" s="12"/>
      <c r="AB343" s="12"/>
      <c r="AC343" s="13"/>
      <c r="AD343" s="7"/>
      <c r="AE343" s="7"/>
      <c r="AF343" s="7"/>
      <c r="AG343" s="7"/>
      <c r="AH343" s="7"/>
      <c r="AI343" s="7"/>
      <c r="AJ343" s="7"/>
      <c r="AK343" s="7"/>
    </row>
    <row r="344" spans="1:37" ht="15" x14ac:dyDescent="0.25">
      <c r="A344" s="14"/>
      <c r="B344" s="7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7"/>
      <c r="X344" s="10"/>
      <c r="Y344" s="11"/>
      <c r="Z344" s="12"/>
      <c r="AA344" s="12"/>
      <c r="AB344" s="12"/>
      <c r="AC344" s="13"/>
      <c r="AD344" s="7"/>
      <c r="AE344" s="7"/>
      <c r="AF344" s="7"/>
      <c r="AG344" s="7"/>
      <c r="AH344" s="7"/>
      <c r="AI344" s="7"/>
      <c r="AJ344" s="7"/>
      <c r="AK344" s="7"/>
    </row>
    <row r="345" spans="1:37" ht="15" x14ac:dyDescent="0.25">
      <c r="A345" s="14"/>
      <c r="B345" s="7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7"/>
      <c r="X345" s="10"/>
      <c r="Y345" s="11"/>
      <c r="Z345" s="12"/>
      <c r="AA345" s="12"/>
      <c r="AB345" s="12"/>
      <c r="AC345" s="13"/>
      <c r="AD345" s="7"/>
      <c r="AE345" s="7"/>
      <c r="AF345" s="7"/>
      <c r="AG345" s="7"/>
      <c r="AH345" s="7"/>
      <c r="AI345" s="7"/>
      <c r="AJ345" s="7"/>
      <c r="AK345" s="7"/>
    </row>
    <row r="346" spans="1:37" ht="15" x14ac:dyDescent="0.25">
      <c r="A346" s="14"/>
      <c r="B346" s="7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7"/>
      <c r="X346" s="10"/>
      <c r="Y346" s="11"/>
      <c r="Z346" s="12"/>
      <c r="AA346" s="12"/>
      <c r="AB346" s="12"/>
      <c r="AC346" s="13"/>
      <c r="AD346" s="7"/>
      <c r="AE346" s="7"/>
      <c r="AF346" s="7"/>
      <c r="AG346" s="7"/>
      <c r="AH346" s="7"/>
      <c r="AI346" s="7"/>
      <c r="AJ346" s="7"/>
      <c r="AK346" s="7"/>
    </row>
    <row r="347" spans="1:37" ht="15" x14ac:dyDescent="0.25">
      <c r="A347" s="14"/>
      <c r="B347" s="7"/>
      <c r="C347" s="9"/>
      <c r="D347" s="9"/>
      <c r="E347" s="15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7"/>
      <c r="V347" s="9"/>
      <c r="W347" s="7"/>
      <c r="X347" s="10"/>
      <c r="Y347" s="11"/>
      <c r="Z347" s="12"/>
      <c r="AA347" s="12"/>
      <c r="AB347" s="12"/>
      <c r="AC347" s="13"/>
      <c r="AD347" s="7"/>
      <c r="AE347" s="7"/>
      <c r="AF347" s="7"/>
      <c r="AG347" s="7"/>
      <c r="AH347" s="7"/>
      <c r="AI347" s="7"/>
      <c r="AJ347" s="7"/>
      <c r="AK347" s="7"/>
    </row>
    <row r="348" spans="1:37" ht="15" x14ac:dyDescent="0.25">
      <c r="A348" s="14"/>
      <c r="B348" s="7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7"/>
      <c r="X348" s="10"/>
      <c r="Y348" s="11"/>
      <c r="Z348" s="12"/>
      <c r="AA348" s="12"/>
      <c r="AB348" s="12"/>
      <c r="AC348" s="13"/>
      <c r="AD348" s="7"/>
      <c r="AE348" s="7"/>
      <c r="AF348" s="7"/>
      <c r="AG348" s="7"/>
      <c r="AH348" s="7"/>
      <c r="AI348" s="7"/>
      <c r="AJ348" s="7"/>
      <c r="AK348" s="7"/>
    </row>
    <row r="349" spans="1:37" ht="15" x14ac:dyDescent="0.25">
      <c r="A349" s="14"/>
      <c r="B349" s="7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7"/>
      <c r="X349" s="10"/>
      <c r="Y349" s="11"/>
      <c r="Z349" s="12"/>
      <c r="AA349" s="12"/>
      <c r="AB349" s="12"/>
      <c r="AC349" s="13"/>
      <c r="AD349" s="7"/>
      <c r="AE349" s="7"/>
      <c r="AF349" s="7"/>
      <c r="AG349" s="7"/>
      <c r="AH349" s="7"/>
      <c r="AI349" s="7"/>
      <c r="AJ349" s="7"/>
      <c r="AK349" s="7"/>
    </row>
    <row r="350" spans="1:37" ht="15" x14ac:dyDescent="0.25">
      <c r="A350" s="14"/>
      <c r="B350" s="7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7"/>
      <c r="X350" s="10"/>
      <c r="Y350" s="11"/>
      <c r="Z350" s="12"/>
      <c r="AA350" s="12"/>
      <c r="AB350" s="12"/>
      <c r="AC350" s="13"/>
      <c r="AD350" s="7"/>
      <c r="AE350" s="7"/>
      <c r="AF350" s="7"/>
      <c r="AG350" s="7"/>
      <c r="AH350" s="7"/>
      <c r="AI350" s="7"/>
      <c r="AJ350" s="7"/>
      <c r="AK350" s="7"/>
    </row>
    <row r="351" spans="1:37" ht="15" x14ac:dyDescent="0.25">
      <c r="A351" s="14"/>
      <c r="B351" s="7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7"/>
      <c r="X351" s="18"/>
      <c r="Y351" s="11"/>
      <c r="Z351" s="12"/>
      <c r="AA351" s="12"/>
      <c r="AB351" s="12"/>
      <c r="AC351" s="13"/>
      <c r="AD351" s="7"/>
      <c r="AE351" s="7"/>
      <c r="AF351" s="7"/>
      <c r="AG351" s="7"/>
      <c r="AH351" s="7"/>
      <c r="AI351" s="7"/>
      <c r="AJ351" s="7"/>
      <c r="AK351" s="7"/>
    </row>
    <row r="352" spans="1:37" ht="15" x14ac:dyDescent="0.25">
      <c r="A352" s="14"/>
      <c r="B352" s="7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7"/>
      <c r="X352" s="10"/>
      <c r="Y352" s="11"/>
      <c r="Z352" s="12"/>
      <c r="AA352" s="12"/>
      <c r="AB352" s="12"/>
      <c r="AC352" s="13"/>
      <c r="AD352" s="7"/>
      <c r="AE352" s="7"/>
      <c r="AF352" s="7"/>
      <c r="AG352" s="7"/>
      <c r="AH352" s="7"/>
      <c r="AI352" s="7"/>
      <c r="AJ352" s="7"/>
      <c r="AK352" s="7"/>
    </row>
    <row r="353" spans="1:37" ht="15" x14ac:dyDescent="0.25">
      <c r="A353" s="14"/>
      <c r="B353" s="7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7"/>
      <c r="X353" s="10"/>
      <c r="Y353" s="11"/>
      <c r="Z353" s="12"/>
      <c r="AA353" s="12"/>
      <c r="AB353" s="12"/>
      <c r="AC353" s="13"/>
      <c r="AD353" s="7"/>
      <c r="AE353" s="7"/>
      <c r="AF353" s="7"/>
      <c r="AG353" s="7"/>
      <c r="AH353" s="7"/>
      <c r="AI353" s="7"/>
      <c r="AJ353" s="7"/>
      <c r="AK353" s="7"/>
    </row>
    <row r="354" spans="1:37" ht="15" x14ac:dyDescent="0.25">
      <c r="A354" s="14"/>
      <c r="B354" s="7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7"/>
      <c r="X354" s="10"/>
      <c r="Y354" s="11"/>
      <c r="Z354" s="12"/>
      <c r="AA354" s="12"/>
      <c r="AB354" s="12"/>
      <c r="AC354" s="13"/>
      <c r="AD354" s="7"/>
      <c r="AE354" s="7"/>
      <c r="AF354" s="7"/>
      <c r="AG354" s="7"/>
      <c r="AH354" s="7"/>
      <c r="AI354" s="7"/>
      <c r="AJ354" s="7"/>
      <c r="AK354" s="7"/>
    </row>
    <row r="355" spans="1:37" ht="15" x14ac:dyDescent="0.25">
      <c r="A355" s="14"/>
      <c r="B355" s="7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7"/>
      <c r="X355" s="10"/>
      <c r="Y355" s="11"/>
      <c r="Z355" s="12"/>
      <c r="AA355" s="12"/>
      <c r="AB355" s="12"/>
      <c r="AC355" s="13"/>
      <c r="AD355" s="7"/>
      <c r="AE355" s="7"/>
      <c r="AF355" s="7"/>
      <c r="AG355" s="7"/>
      <c r="AH355" s="7"/>
      <c r="AI355" s="7"/>
      <c r="AJ355" s="7"/>
      <c r="AK355" s="7"/>
    </row>
    <row r="356" spans="1:37" ht="15" x14ac:dyDescent="0.25">
      <c r="A356" s="14"/>
      <c r="B356" s="7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7"/>
      <c r="X356" s="10"/>
      <c r="Y356" s="11"/>
      <c r="Z356" s="12"/>
      <c r="AA356" s="12"/>
      <c r="AB356" s="12"/>
      <c r="AC356" s="13"/>
      <c r="AD356" s="7"/>
      <c r="AE356" s="7"/>
      <c r="AF356" s="7"/>
      <c r="AG356" s="7"/>
      <c r="AH356" s="7"/>
      <c r="AI356" s="7"/>
      <c r="AJ356" s="7"/>
      <c r="AK356" s="7"/>
    </row>
    <row r="357" spans="1:37" ht="15" x14ac:dyDescent="0.25">
      <c r="A357" s="14"/>
      <c r="B357" s="7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7"/>
      <c r="X357" s="10"/>
      <c r="Y357" s="11"/>
      <c r="Z357" s="12"/>
      <c r="AA357" s="12"/>
      <c r="AB357" s="12"/>
      <c r="AC357" s="13"/>
      <c r="AD357" s="7"/>
      <c r="AE357" s="7"/>
      <c r="AF357" s="7"/>
      <c r="AG357" s="7"/>
      <c r="AH357" s="7"/>
      <c r="AI357" s="7"/>
      <c r="AJ357" s="7"/>
      <c r="AK357" s="7"/>
    </row>
    <row r="358" spans="1:37" ht="15" x14ac:dyDescent="0.25">
      <c r="A358" s="14"/>
      <c r="B358" s="7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7"/>
      <c r="X358" s="10"/>
      <c r="Y358" s="11"/>
      <c r="Z358" s="12"/>
      <c r="AA358" s="12"/>
      <c r="AB358" s="12"/>
      <c r="AC358" s="13"/>
      <c r="AD358" s="7"/>
      <c r="AE358" s="7"/>
      <c r="AF358" s="7"/>
      <c r="AG358" s="7"/>
      <c r="AH358" s="7"/>
      <c r="AI358" s="7"/>
      <c r="AJ358" s="7"/>
      <c r="AK358" s="7"/>
    </row>
    <row r="359" spans="1:37" ht="15" x14ac:dyDescent="0.25">
      <c r="A359" s="14"/>
      <c r="B359" s="7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7"/>
      <c r="X359" s="10"/>
      <c r="Y359" s="11"/>
      <c r="Z359" s="12"/>
      <c r="AA359" s="12"/>
      <c r="AB359" s="12"/>
      <c r="AC359" s="13"/>
      <c r="AD359" s="7"/>
      <c r="AE359" s="7"/>
      <c r="AF359" s="7"/>
      <c r="AG359" s="7"/>
      <c r="AH359" s="7"/>
      <c r="AI359" s="7"/>
      <c r="AJ359" s="7"/>
      <c r="AK359" s="7"/>
    </row>
    <row r="360" spans="1:37" ht="15" x14ac:dyDescent="0.25">
      <c r="A360" s="14"/>
      <c r="B360" s="7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7"/>
      <c r="X360" s="10"/>
      <c r="Y360" s="11"/>
      <c r="Z360" s="12"/>
      <c r="AA360" s="12"/>
      <c r="AB360" s="12"/>
      <c r="AC360" s="13"/>
      <c r="AD360" s="7"/>
      <c r="AE360" s="7"/>
      <c r="AF360" s="7"/>
      <c r="AG360" s="7"/>
      <c r="AH360" s="7"/>
      <c r="AI360" s="7"/>
      <c r="AJ360" s="7"/>
      <c r="AK360" s="7"/>
    </row>
    <row r="361" spans="1:37" ht="15" x14ac:dyDescent="0.25">
      <c r="A361" s="14"/>
      <c r="B361" s="7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7"/>
      <c r="X361" s="10"/>
      <c r="Y361" s="11"/>
      <c r="Z361" s="12"/>
      <c r="AA361" s="12"/>
      <c r="AB361" s="12"/>
      <c r="AC361" s="13"/>
      <c r="AD361" s="7"/>
      <c r="AE361" s="7"/>
      <c r="AF361" s="7"/>
      <c r="AG361" s="7"/>
      <c r="AH361" s="7"/>
      <c r="AI361" s="7"/>
      <c r="AJ361" s="7"/>
      <c r="AK361" s="7"/>
    </row>
    <row r="362" spans="1:37" ht="15" x14ac:dyDescent="0.25">
      <c r="A362" s="14"/>
      <c r="B362" s="7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7"/>
      <c r="X362" s="10"/>
      <c r="Y362" s="11"/>
      <c r="Z362" s="12"/>
      <c r="AA362" s="12"/>
      <c r="AB362" s="12"/>
      <c r="AC362" s="13"/>
      <c r="AD362" s="7"/>
      <c r="AE362" s="7"/>
      <c r="AF362" s="7"/>
      <c r="AG362" s="7"/>
      <c r="AH362" s="7"/>
      <c r="AI362" s="7"/>
      <c r="AJ362" s="7"/>
      <c r="AK362" s="7"/>
    </row>
    <row r="363" spans="1:37" ht="15" x14ac:dyDescent="0.25">
      <c r="A363" s="14"/>
      <c r="B363" s="7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7"/>
      <c r="X363" s="10"/>
      <c r="Y363" s="11"/>
      <c r="Z363" s="12"/>
      <c r="AA363" s="12"/>
      <c r="AB363" s="12"/>
      <c r="AC363" s="13"/>
      <c r="AD363" s="7"/>
      <c r="AE363" s="7"/>
      <c r="AF363" s="7"/>
      <c r="AG363" s="7"/>
      <c r="AH363" s="7"/>
      <c r="AI363" s="7"/>
      <c r="AJ363" s="7"/>
      <c r="AK363" s="7"/>
    </row>
    <row r="364" spans="1:37" ht="15" x14ac:dyDescent="0.25">
      <c r="A364" s="14"/>
      <c r="B364" s="7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7"/>
      <c r="X364" s="10"/>
      <c r="Y364" s="11"/>
      <c r="Z364" s="12"/>
      <c r="AA364" s="12"/>
      <c r="AB364" s="12"/>
      <c r="AC364" s="13"/>
      <c r="AD364" s="7"/>
      <c r="AE364" s="7"/>
      <c r="AF364" s="7"/>
      <c r="AG364" s="7"/>
      <c r="AH364" s="7"/>
      <c r="AI364" s="7"/>
      <c r="AJ364" s="7"/>
      <c r="AK364" s="7"/>
    </row>
    <row r="365" spans="1:37" ht="15" x14ac:dyDescent="0.25">
      <c r="A365" s="14"/>
      <c r="B365" s="7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7"/>
      <c r="X365" s="10"/>
      <c r="Y365" s="11"/>
      <c r="Z365" s="12"/>
      <c r="AA365" s="12"/>
      <c r="AB365" s="12"/>
      <c r="AC365" s="13"/>
      <c r="AD365" s="7"/>
      <c r="AE365" s="7"/>
      <c r="AF365" s="7"/>
      <c r="AG365" s="7"/>
      <c r="AH365" s="7"/>
      <c r="AI365" s="7"/>
      <c r="AJ365" s="7"/>
      <c r="AK365" s="7"/>
    </row>
    <row r="366" spans="1:37" ht="15" x14ac:dyDescent="0.25">
      <c r="A366" s="14"/>
      <c r="B366" s="7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7"/>
      <c r="X366" s="10"/>
      <c r="Y366" s="11"/>
      <c r="Z366" s="12"/>
      <c r="AA366" s="12"/>
      <c r="AB366" s="12"/>
      <c r="AC366" s="13"/>
      <c r="AD366" s="7"/>
      <c r="AE366" s="7"/>
      <c r="AF366" s="7"/>
      <c r="AG366" s="7"/>
      <c r="AH366" s="7"/>
      <c r="AI366" s="7"/>
      <c r="AJ366" s="7"/>
      <c r="AK366" s="7"/>
    </row>
    <row r="367" spans="1:37" ht="15" x14ac:dyDescent="0.25">
      <c r="A367" s="14"/>
      <c r="B367" s="7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7"/>
      <c r="X367" s="10"/>
      <c r="Y367" s="11"/>
      <c r="Z367" s="12"/>
      <c r="AA367" s="12"/>
      <c r="AB367" s="12"/>
      <c r="AC367" s="13"/>
      <c r="AD367" s="7"/>
      <c r="AE367" s="7"/>
      <c r="AF367" s="7"/>
      <c r="AG367" s="7"/>
      <c r="AH367" s="7"/>
      <c r="AI367" s="7"/>
      <c r="AJ367" s="7"/>
      <c r="AK367" s="7"/>
    </row>
    <row r="368" spans="1:37" ht="15" x14ac:dyDescent="0.25">
      <c r="A368" s="14"/>
      <c r="B368" s="7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7"/>
      <c r="W368" s="7"/>
      <c r="X368" s="10"/>
      <c r="Y368" s="11"/>
      <c r="Z368" s="12"/>
      <c r="AA368" s="12"/>
      <c r="AB368" s="12"/>
      <c r="AC368" s="13"/>
      <c r="AD368" s="7"/>
      <c r="AE368" s="7"/>
      <c r="AF368" s="7"/>
      <c r="AG368" s="7"/>
      <c r="AH368" s="7"/>
      <c r="AI368" s="7"/>
      <c r="AJ368" s="7"/>
      <c r="AK368" s="7"/>
    </row>
    <row r="369" spans="1:37" ht="15" x14ac:dyDescent="0.25">
      <c r="A369" s="14"/>
      <c r="B369" s="7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7"/>
      <c r="X369" s="10"/>
      <c r="Y369" s="11"/>
      <c r="Z369" s="12"/>
      <c r="AA369" s="12"/>
      <c r="AB369" s="12"/>
      <c r="AC369" s="13"/>
      <c r="AD369" s="7"/>
      <c r="AE369" s="7"/>
      <c r="AF369" s="7"/>
      <c r="AG369" s="7"/>
      <c r="AH369" s="7"/>
      <c r="AI369" s="7"/>
      <c r="AJ369" s="7"/>
      <c r="AK369" s="7"/>
    </row>
    <row r="370" spans="1:37" ht="15" x14ac:dyDescent="0.25">
      <c r="A370" s="14"/>
      <c r="B370" s="7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7"/>
      <c r="X370" s="10"/>
      <c r="Y370" s="11"/>
      <c r="Z370" s="12"/>
      <c r="AA370" s="12"/>
      <c r="AB370" s="12"/>
      <c r="AC370" s="13"/>
      <c r="AD370" s="7"/>
      <c r="AE370" s="7"/>
      <c r="AF370" s="7"/>
      <c r="AG370" s="7"/>
      <c r="AH370" s="7"/>
      <c r="AI370" s="7"/>
      <c r="AJ370" s="7"/>
      <c r="AK370" s="7"/>
    </row>
    <row r="371" spans="1:37" ht="15" x14ac:dyDescent="0.25">
      <c r="A371" s="14"/>
      <c r="B371" s="7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7"/>
      <c r="X371" s="10"/>
      <c r="Y371" s="11"/>
      <c r="Z371" s="12"/>
      <c r="AA371" s="12"/>
      <c r="AB371" s="12"/>
      <c r="AC371" s="13"/>
      <c r="AD371" s="7"/>
      <c r="AE371" s="7"/>
      <c r="AF371" s="7"/>
      <c r="AG371" s="7"/>
      <c r="AH371" s="7"/>
      <c r="AI371" s="7"/>
      <c r="AJ371" s="7"/>
      <c r="AK371" s="7"/>
    </row>
    <row r="372" spans="1:37" ht="15" x14ac:dyDescent="0.25">
      <c r="A372" s="14"/>
      <c r="B372" s="7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7"/>
      <c r="X372" s="10"/>
      <c r="Y372" s="11"/>
      <c r="Z372" s="12"/>
      <c r="AA372" s="12"/>
      <c r="AB372" s="12"/>
      <c r="AC372" s="13"/>
      <c r="AD372" s="7"/>
      <c r="AE372" s="7"/>
      <c r="AF372" s="7"/>
      <c r="AG372" s="7"/>
      <c r="AH372" s="7"/>
      <c r="AI372" s="7"/>
      <c r="AJ372" s="7"/>
      <c r="AK372" s="7"/>
    </row>
    <row r="373" spans="1:37" ht="15" x14ac:dyDescent="0.25">
      <c r="A373" s="14"/>
      <c r="B373" s="7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7"/>
      <c r="W373" s="7"/>
      <c r="X373" s="10"/>
      <c r="Y373" s="11"/>
      <c r="Z373" s="12"/>
      <c r="AA373" s="12"/>
      <c r="AB373" s="12"/>
      <c r="AC373" s="13"/>
      <c r="AD373" s="7"/>
      <c r="AE373" s="7"/>
      <c r="AF373" s="7"/>
      <c r="AG373" s="7"/>
      <c r="AH373" s="7"/>
      <c r="AI373" s="7"/>
      <c r="AJ373" s="7"/>
      <c r="AK373" s="7"/>
    </row>
    <row r="374" spans="1:37" ht="15" x14ac:dyDescent="0.25">
      <c r="A374" s="14"/>
      <c r="B374" s="7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7"/>
      <c r="X374" s="10"/>
      <c r="Y374" s="11"/>
      <c r="Z374" s="12"/>
      <c r="AA374" s="12"/>
      <c r="AB374" s="12"/>
      <c r="AC374" s="13"/>
      <c r="AD374" s="7"/>
      <c r="AE374" s="7"/>
      <c r="AF374" s="7"/>
      <c r="AG374" s="7"/>
      <c r="AH374" s="7"/>
      <c r="AI374" s="7"/>
      <c r="AJ374" s="7"/>
      <c r="AK374" s="7"/>
    </row>
    <row r="375" spans="1:37" ht="15" x14ac:dyDescent="0.25">
      <c r="A375" s="14"/>
      <c r="B375" s="7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7"/>
      <c r="X375" s="10"/>
      <c r="Y375" s="11"/>
      <c r="Z375" s="12"/>
      <c r="AA375" s="12"/>
      <c r="AB375" s="12"/>
      <c r="AC375" s="13"/>
      <c r="AD375" s="7"/>
      <c r="AE375" s="7"/>
      <c r="AF375" s="7"/>
      <c r="AG375" s="7"/>
      <c r="AH375" s="7"/>
      <c r="AI375" s="7"/>
      <c r="AJ375" s="7"/>
      <c r="AK375" s="7"/>
    </row>
    <row r="376" spans="1:37" ht="15" x14ac:dyDescent="0.25">
      <c r="A376" s="14"/>
      <c r="B376" s="7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7"/>
      <c r="X376" s="10"/>
      <c r="Y376" s="11"/>
      <c r="Z376" s="12"/>
      <c r="AA376" s="12"/>
      <c r="AB376" s="12"/>
      <c r="AC376" s="13"/>
      <c r="AD376" s="7"/>
      <c r="AE376" s="7"/>
      <c r="AF376" s="7"/>
      <c r="AG376" s="7"/>
      <c r="AH376" s="7"/>
      <c r="AI376" s="7"/>
      <c r="AJ376" s="7"/>
      <c r="AK376" s="7"/>
    </row>
    <row r="377" spans="1:37" ht="15" x14ac:dyDescent="0.25">
      <c r="A377" s="14"/>
      <c r="B377" s="7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7"/>
      <c r="X377" s="10"/>
      <c r="Y377" s="11"/>
      <c r="Z377" s="12"/>
      <c r="AA377" s="12"/>
      <c r="AB377" s="12"/>
      <c r="AC377" s="13"/>
      <c r="AD377" s="7"/>
      <c r="AE377" s="7"/>
      <c r="AF377" s="7"/>
      <c r="AG377" s="7"/>
      <c r="AH377" s="7"/>
      <c r="AI377" s="7"/>
      <c r="AJ377" s="7"/>
      <c r="AK377" s="7"/>
    </row>
    <row r="378" spans="1:37" ht="15" x14ac:dyDescent="0.25">
      <c r="A378" s="14"/>
      <c r="B378" s="7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7"/>
      <c r="X378" s="10"/>
      <c r="Y378" s="11"/>
      <c r="Z378" s="12"/>
      <c r="AA378" s="12"/>
      <c r="AB378" s="12"/>
      <c r="AC378" s="13"/>
      <c r="AD378" s="7"/>
      <c r="AE378" s="7"/>
      <c r="AF378" s="7"/>
      <c r="AG378" s="7"/>
      <c r="AH378" s="7"/>
      <c r="AI378" s="7"/>
      <c r="AJ378" s="7"/>
      <c r="AK378" s="7"/>
    </row>
    <row r="379" spans="1:37" ht="15" x14ac:dyDescent="0.25">
      <c r="A379" s="14"/>
      <c r="B379" s="7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7"/>
      <c r="X379" s="10"/>
      <c r="Y379" s="11"/>
      <c r="Z379" s="12"/>
      <c r="AA379" s="12"/>
      <c r="AB379" s="12"/>
      <c r="AC379" s="13"/>
      <c r="AD379" s="7"/>
      <c r="AE379" s="7"/>
      <c r="AF379" s="7"/>
      <c r="AG379" s="7"/>
      <c r="AH379" s="7"/>
      <c r="AI379" s="7"/>
      <c r="AJ379" s="7"/>
      <c r="AK379" s="7"/>
    </row>
    <row r="380" spans="1:37" ht="15" x14ac:dyDescent="0.25">
      <c r="A380" s="14"/>
      <c r="B380" s="7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7"/>
      <c r="X380" s="10"/>
      <c r="Y380" s="11"/>
      <c r="Z380" s="12"/>
      <c r="AA380" s="12"/>
      <c r="AB380" s="12"/>
      <c r="AC380" s="13"/>
      <c r="AD380" s="7"/>
      <c r="AE380" s="7"/>
      <c r="AF380" s="7"/>
      <c r="AG380" s="7"/>
      <c r="AH380" s="7"/>
      <c r="AI380" s="7"/>
      <c r="AJ380" s="7"/>
      <c r="AK380" s="7"/>
    </row>
    <row r="381" spans="1:37" ht="15" x14ac:dyDescent="0.25">
      <c r="A381" s="14"/>
      <c r="B381" s="7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7"/>
      <c r="X381" s="10"/>
      <c r="Y381" s="11"/>
      <c r="Z381" s="12"/>
      <c r="AA381" s="12"/>
      <c r="AB381" s="12"/>
      <c r="AC381" s="13"/>
      <c r="AD381" s="7"/>
      <c r="AE381" s="7"/>
      <c r="AF381" s="7"/>
      <c r="AG381" s="7"/>
      <c r="AH381" s="7"/>
      <c r="AI381" s="7"/>
      <c r="AJ381" s="7"/>
      <c r="AK381" s="7"/>
    </row>
    <row r="382" spans="1:37" ht="15" x14ac:dyDescent="0.25">
      <c r="A382" s="14"/>
      <c r="B382" s="7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7"/>
      <c r="X382" s="10"/>
      <c r="Y382" s="11"/>
      <c r="Z382" s="12"/>
      <c r="AA382" s="12"/>
      <c r="AB382" s="12"/>
      <c r="AC382" s="13"/>
      <c r="AD382" s="7"/>
      <c r="AE382" s="7"/>
      <c r="AF382" s="7"/>
      <c r="AG382" s="7"/>
      <c r="AH382" s="7"/>
      <c r="AI382" s="7"/>
      <c r="AJ382" s="7"/>
      <c r="AK382" s="7"/>
    </row>
    <row r="383" spans="1:37" ht="15" x14ac:dyDescent="0.25">
      <c r="A383" s="14"/>
      <c r="B383" s="7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7"/>
      <c r="X383" s="10"/>
      <c r="Y383" s="11"/>
      <c r="Z383" s="12"/>
      <c r="AA383" s="12"/>
      <c r="AB383" s="12"/>
      <c r="AC383" s="13"/>
      <c r="AD383" s="7"/>
      <c r="AE383" s="7"/>
      <c r="AF383" s="7"/>
      <c r="AG383" s="7"/>
      <c r="AH383" s="7"/>
      <c r="AI383" s="7"/>
      <c r="AJ383" s="7"/>
      <c r="AK383" s="7"/>
    </row>
    <row r="384" spans="1:37" ht="15" x14ac:dyDescent="0.25">
      <c r="A384" s="14"/>
      <c r="B384" s="7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7"/>
      <c r="X384" s="10"/>
      <c r="Y384" s="11"/>
      <c r="Z384" s="12"/>
      <c r="AA384" s="12"/>
      <c r="AB384" s="12"/>
      <c r="AC384" s="13"/>
      <c r="AD384" s="7"/>
      <c r="AE384" s="7"/>
      <c r="AF384" s="7"/>
      <c r="AG384" s="7"/>
      <c r="AH384" s="7"/>
      <c r="AI384" s="7"/>
      <c r="AJ384" s="7"/>
      <c r="AK384" s="7"/>
    </row>
    <row r="385" spans="1:37" ht="15" x14ac:dyDescent="0.25">
      <c r="A385" s="14"/>
      <c r="B385" s="7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7"/>
      <c r="X385" s="10"/>
      <c r="Y385" s="11"/>
      <c r="Z385" s="12"/>
      <c r="AA385" s="12"/>
      <c r="AB385" s="12"/>
      <c r="AC385" s="13"/>
      <c r="AD385" s="7"/>
      <c r="AE385" s="7"/>
      <c r="AF385" s="7"/>
      <c r="AG385" s="7"/>
      <c r="AH385" s="7"/>
      <c r="AI385" s="7"/>
      <c r="AJ385" s="7"/>
      <c r="AK385" s="7"/>
    </row>
    <row r="386" spans="1:37" ht="15" x14ac:dyDescent="0.25">
      <c r="A386" s="14"/>
      <c r="B386" s="7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7"/>
      <c r="X386" s="10"/>
      <c r="Y386" s="11"/>
      <c r="Z386" s="12"/>
      <c r="AA386" s="12"/>
      <c r="AB386" s="12"/>
      <c r="AC386" s="13"/>
      <c r="AD386" s="7"/>
      <c r="AE386" s="7"/>
      <c r="AF386" s="7"/>
      <c r="AG386" s="7"/>
      <c r="AH386" s="7"/>
      <c r="AI386" s="7"/>
      <c r="AJ386" s="7"/>
      <c r="AK386" s="7"/>
    </row>
    <row r="387" spans="1:37" ht="15" x14ac:dyDescent="0.25">
      <c r="A387" s="14"/>
      <c r="B387" s="7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7"/>
      <c r="X387" s="10"/>
      <c r="Y387" s="11"/>
      <c r="Z387" s="12"/>
      <c r="AA387" s="12"/>
      <c r="AB387" s="12"/>
      <c r="AC387" s="13"/>
      <c r="AD387" s="7"/>
      <c r="AE387" s="7"/>
      <c r="AF387" s="7"/>
      <c r="AG387" s="7"/>
      <c r="AH387" s="7"/>
      <c r="AI387" s="7"/>
      <c r="AJ387" s="7"/>
      <c r="AK387" s="7"/>
    </row>
    <row r="388" spans="1:37" ht="15" x14ac:dyDescent="0.25">
      <c r="A388" s="14"/>
      <c r="B388" s="7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7"/>
      <c r="X388" s="10"/>
      <c r="Y388" s="11"/>
      <c r="Z388" s="12"/>
      <c r="AA388" s="12"/>
      <c r="AB388" s="12"/>
      <c r="AC388" s="13"/>
      <c r="AD388" s="7"/>
      <c r="AE388" s="7"/>
      <c r="AF388" s="7"/>
      <c r="AG388" s="7"/>
      <c r="AH388" s="7"/>
      <c r="AI388" s="7"/>
      <c r="AJ388" s="7"/>
      <c r="AK388" s="7"/>
    </row>
    <row r="389" spans="1:37" ht="15" x14ac:dyDescent="0.25">
      <c r="A389" s="14"/>
      <c r="B389" s="7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7"/>
      <c r="X389" s="10"/>
      <c r="Y389" s="11"/>
      <c r="Z389" s="12"/>
      <c r="AA389" s="12"/>
      <c r="AB389" s="12"/>
      <c r="AC389" s="13"/>
      <c r="AD389" s="7"/>
      <c r="AE389" s="7"/>
      <c r="AF389" s="7"/>
      <c r="AG389" s="7"/>
      <c r="AH389" s="7"/>
      <c r="AI389" s="7"/>
      <c r="AJ389" s="7"/>
      <c r="AK389" s="7"/>
    </row>
    <row r="390" spans="1:37" ht="15" x14ac:dyDescent="0.25">
      <c r="A390" s="14"/>
      <c r="B390" s="7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7"/>
      <c r="X390" s="10"/>
      <c r="Y390" s="11"/>
      <c r="Z390" s="12"/>
      <c r="AA390" s="12"/>
      <c r="AB390" s="12"/>
      <c r="AC390" s="13"/>
      <c r="AD390" s="7"/>
      <c r="AE390" s="7"/>
      <c r="AF390" s="7"/>
      <c r="AG390" s="7"/>
      <c r="AH390" s="7"/>
      <c r="AI390" s="7"/>
      <c r="AJ390" s="7"/>
      <c r="AK390" s="7"/>
    </row>
    <row r="391" spans="1:37" ht="15" x14ac:dyDescent="0.25">
      <c r="A391" s="14"/>
      <c r="B391" s="7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7"/>
      <c r="X391" s="10"/>
      <c r="Y391" s="11"/>
      <c r="Z391" s="12"/>
      <c r="AA391" s="12"/>
      <c r="AB391" s="12"/>
      <c r="AC391" s="13"/>
      <c r="AD391" s="7"/>
      <c r="AE391" s="7"/>
      <c r="AF391" s="7"/>
      <c r="AG391" s="7"/>
      <c r="AH391" s="7"/>
      <c r="AI391" s="7"/>
      <c r="AJ391" s="7"/>
      <c r="AK391" s="7"/>
    </row>
    <row r="392" spans="1:37" ht="15" x14ac:dyDescent="0.25">
      <c r="A392" s="14"/>
      <c r="B392" s="7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7"/>
      <c r="X392" s="10"/>
      <c r="Y392" s="11"/>
      <c r="Z392" s="12"/>
      <c r="AA392" s="12"/>
      <c r="AB392" s="12"/>
      <c r="AC392" s="13"/>
      <c r="AD392" s="7"/>
      <c r="AE392" s="7"/>
      <c r="AF392" s="7"/>
      <c r="AG392" s="7"/>
      <c r="AH392" s="7"/>
      <c r="AI392" s="7"/>
      <c r="AJ392" s="7"/>
      <c r="AK392" s="7"/>
    </row>
    <row r="393" spans="1:37" ht="15" x14ac:dyDescent="0.25">
      <c r="A393" s="14"/>
      <c r="B393" s="7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7"/>
      <c r="X393" s="10"/>
      <c r="Y393" s="11"/>
      <c r="Z393" s="12"/>
      <c r="AA393" s="12"/>
      <c r="AB393" s="12"/>
      <c r="AC393" s="13"/>
      <c r="AD393" s="7"/>
      <c r="AE393" s="7"/>
      <c r="AF393" s="7"/>
      <c r="AG393" s="7"/>
      <c r="AH393" s="7"/>
      <c r="AI393" s="7"/>
      <c r="AJ393" s="7"/>
      <c r="AK393" s="7"/>
    </row>
    <row r="394" spans="1:37" ht="15" x14ac:dyDescent="0.25">
      <c r="A394" s="14"/>
      <c r="B394" s="7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7"/>
      <c r="X394" s="10"/>
      <c r="Y394" s="11"/>
      <c r="Z394" s="12"/>
      <c r="AA394" s="12"/>
      <c r="AB394" s="12"/>
      <c r="AC394" s="13"/>
      <c r="AD394" s="7"/>
      <c r="AE394" s="7"/>
      <c r="AF394" s="7"/>
      <c r="AG394" s="7"/>
      <c r="AH394" s="7"/>
      <c r="AI394" s="7"/>
      <c r="AJ394" s="7"/>
      <c r="AK394" s="7"/>
    </row>
    <row r="395" spans="1:37" ht="15" x14ac:dyDescent="0.25">
      <c r="A395" s="14"/>
      <c r="B395" s="7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7"/>
      <c r="X395" s="10"/>
      <c r="Y395" s="11"/>
      <c r="Z395" s="12"/>
      <c r="AA395" s="12"/>
      <c r="AB395" s="12"/>
      <c r="AC395" s="13"/>
      <c r="AD395" s="7"/>
      <c r="AE395" s="7"/>
      <c r="AF395" s="7"/>
      <c r="AG395" s="7"/>
      <c r="AH395" s="7"/>
      <c r="AI395" s="7"/>
      <c r="AJ395" s="7"/>
      <c r="AK395" s="7"/>
    </row>
    <row r="396" spans="1:37" ht="15" x14ac:dyDescent="0.25">
      <c r="A396" s="14"/>
      <c r="B396" s="7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7"/>
      <c r="X396" s="10"/>
      <c r="Y396" s="11"/>
      <c r="Z396" s="12"/>
      <c r="AA396" s="12"/>
      <c r="AB396" s="12"/>
      <c r="AC396" s="13"/>
      <c r="AD396" s="7"/>
      <c r="AE396" s="7"/>
      <c r="AF396" s="7"/>
      <c r="AG396" s="7"/>
      <c r="AH396" s="7"/>
      <c r="AI396" s="7"/>
      <c r="AJ396" s="7"/>
      <c r="AK396" s="7"/>
    </row>
    <row r="397" spans="1:37" ht="15" x14ac:dyDescent="0.25">
      <c r="A397" s="14"/>
      <c r="B397" s="7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7"/>
      <c r="X397" s="10"/>
      <c r="Y397" s="11"/>
      <c r="Z397" s="12"/>
      <c r="AA397" s="12"/>
      <c r="AB397" s="12"/>
      <c r="AC397" s="13"/>
      <c r="AD397" s="7"/>
      <c r="AE397" s="7"/>
      <c r="AF397" s="7"/>
      <c r="AG397" s="7"/>
      <c r="AH397" s="7"/>
      <c r="AI397" s="7"/>
      <c r="AJ397" s="7"/>
      <c r="AK397" s="7"/>
    </row>
    <row r="398" spans="1:37" ht="15" x14ac:dyDescent="0.25">
      <c r="A398" s="14"/>
      <c r="B398" s="7"/>
      <c r="C398" s="9"/>
      <c r="D398" s="16"/>
      <c r="E398" s="16"/>
      <c r="F398" s="20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7"/>
      <c r="V398" s="9"/>
      <c r="W398" s="7"/>
      <c r="X398" s="10"/>
      <c r="Y398" s="11"/>
      <c r="Z398" s="12"/>
      <c r="AA398" s="12"/>
      <c r="AB398" s="12"/>
      <c r="AC398" s="13"/>
      <c r="AD398" s="7"/>
      <c r="AE398" s="7"/>
      <c r="AF398" s="7"/>
      <c r="AG398" s="7"/>
      <c r="AH398" s="7"/>
      <c r="AI398" s="7"/>
      <c r="AJ398" s="7"/>
      <c r="AK398" s="7"/>
    </row>
    <row r="399" spans="1:37" ht="15" x14ac:dyDescent="0.25">
      <c r="A399" s="14"/>
      <c r="B399" s="7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7"/>
      <c r="X399" s="10"/>
      <c r="Y399" s="11"/>
      <c r="Z399" s="12"/>
      <c r="AA399" s="12"/>
      <c r="AB399" s="12"/>
      <c r="AC399" s="13"/>
      <c r="AD399" s="7"/>
      <c r="AE399" s="7"/>
      <c r="AF399" s="7"/>
      <c r="AG399" s="7"/>
      <c r="AH399" s="7"/>
      <c r="AI399" s="7"/>
      <c r="AJ399" s="7"/>
      <c r="AK399" s="7"/>
    </row>
    <row r="400" spans="1:37" ht="15" x14ac:dyDescent="0.25">
      <c r="A400" s="14"/>
      <c r="B400" s="7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7"/>
      <c r="X400" s="10"/>
      <c r="Y400" s="11"/>
      <c r="Z400" s="12"/>
      <c r="AA400" s="12"/>
      <c r="AB400" s="12"/>
      <c r="AC400" s="13"/>
      <c r="AD400" s="7"/>
      <c r="AE400" s="7"/>
      <c r="AF400" s="7"/>
      <c r="AG400" s="7"/>
      <c r="AH400" s="7"/>
      <c r="AI400" s="7"/>
      <c r="AJ400" s="7"/>
      <c r="AK400" s="7"/>
    </row>
    <row r="401" spans="1:37" ht="15" x14ac:dyDescent="0.25">
      <c r="A401" s="14"/>
      <c r="B401" s="7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7"/>
      <c r="X401" s="10"/>
      <c r="Y401" s="11"/>
      <c r="Z401" s="12"/>
      <c r="AA401" s="12"/>
      <c r="AB401" s="12"/>
      <c r="AC401" s="13"/>
      <c r="AD401" s="7"/>
      <c r="AE401" s="7"/>
      <c r="AF401" s="7"/>
      <c r="AG401" s="7"/>
      <c r="AH401" s="7"/>
      <c r="AI401" s="7"/>
      <c r="AJ401" s="7"/>
      <c r="AK401" s="7"/>
    </row>
    <row r="402" spans="1:37" ht="15" x14ac:dyDescent="0.25">
      <c r="A402" s="14"/>
      <c r="B402" s="7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7"/>
      <c r="X402" s="10"/>
      <c r="Y402" s="11"/>
      <c r="Z402" s="12"/>
      <c r="AA402" s="12"/>
      <c r="AB402" s="12"/>
      <c r="AC402" s="13"/>
      <c r="AD402" s="7"/>
      <c r="AE402" s="7"/>
      <c r="AF402" s="7"/>
      <c r="AG402" s="7"/>
      <c r="AH402" s="7"/>
      <c r="AI402" s="7"/>
      <c r="AJ402" s="7"/>
      <c r="AK402" s="7"/>
    </row>
    <row r="403" spans="1:37" ht="15" x14ac:dyDescent="0.25">
      <c r="A403" s="14"/>
      <c r="B403" s="7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7"/>
      <c r="X403" s="10"/>
      <c r="Y403" s="11"/>
      <c r="Z403" s="12"/>
      <c r="AA403" s="12"/>
      <c r="AB403" s="12"/>
      <c r="AC403" s="13"/>
      <c r="AD403" s="7"/>
      <c r="AE403" s="7"/>
      <c r="AF403" s="7"/>
      <c r="AG403" s="7"/>
      <c r="AH403" s="7"/>
      <c r="AI403" s="7"/>
      <c r="AJ403" s="7"/>
      <c r="AK403" s="7"/>
    </row>
    <row r="404" spans="1:37" ht="15" x14ac:dyDescent="0.25">
      <c r="A404" s="14"/>
      <c r="B404" s="7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7"/>
      <c r="X404" s="10"/>
      <c r="Y404" s="11"/>
      <c r="Z404" s="12"/>
      <c r="AA404" s="12"/>
      <c r="AB404" s="12"/>
      <c r="AC404" s="13"/>
      <c r="AD404" s="7"/>
      <c r="AE404" s="7"/>
      <c r="AF404" s="7"/>
      <c r="AG404" s="7"/>
      <c r="AH404" s="7"/>
      <c r="AI404" s="7"/>
      <c r="AJ404" s="7"/>
      <c r="AK404" s="7"/>
    </row>
    <row r="405" spans="1:37" ht="15" x14ac:dyDescent="0.25">
      <c r="A405" s="14"/>
      <c r="B405" s="7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7"/>
      <c r="X405" s="10"/>
      <c r="Y405" s="11"/>
      <c r="Z405" s="12"/>
      <c r="AA405" s="12"/>
      <c r="AB405" s="12"/>
      <c r="AC405" s="13"/>
      <c r="AD405" s="7"/>
      <c r="AE405" s="7"/>
      <c r="AF405" s="7"/>
      <c r="AG405" s="7"/>
      <c r="AH405" s="7"/>
      <c r="AI405" s="7"/>
      <c r="AJ405" s="7"/>
      <c r="AK405" s="7"/>
    </row>
    <row r="406" spans="1:37" ht="15" x14ac:dyDescent="0.25">
      <c r="A406" s="14"/>
      <c r="B406" s="7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7"/>
      <c r="X406" s="10"/>
      <c r="Y406" s="11"/>
      <c r="Z406" s="12"/>
      <c r="AA406" s="12"/>
      <c r="AB406" s="12"/>
      <c r="AC406" s="13"/>
      <c r="AD406" s="7"/>
      <c r="AE406" s="7"/>
      <c r="AF406" s="7"/>
      <c r="AG406" s="7"/>
      <c r="AH406" s="7"/>
      <c r="AI406" s="7"/>
      <c r="AJ406" s="7"/>
      <c r="AK406" s="7"/>
    </row>
    <row r="407" spans="1:37" ht="15" x14ac:dyDescent="0.25">
      <c r="A407" s="14"/>
      <c r="B407" s="7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7"/>
      <c r="V407" s="9"/>
      <c r="W407" s="7"/>
      <c r="X407" s="10"/>
      <c r="Y407" s="11"/>
      <c r="Z407" s="12"/>
      <c r="AA407" s="12"/>
      <c r="AB407" s="12"/>
      <c r="AC407" s="13"/>
      <c r="AD407" s="7"/>
      <c r="AE407" s="7"/>
      <c r="AF407" s="7"/>
      <c r="AG407" s="7"/>
      <c r="AH407" s="7"/>
      <c r="AI407" s="7"/>
      <c r="AJ407" s="7"/>
      <c r="AK407" s="7"/>
    </row>
    <row r="408" spans="1:37" ht="15" x14ac:dyDescent="0.25">
      <c r="A408" s="14"/>
      <c r="B408" s="7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7"/>
      <c r="X408" s="10"/>
      <c r="Y408" s="11"/>
      <c r="Z408" s="12"/>
      <c r="AA408" s="12"/>
      <c r="AB408" s="12"/>
      <c r="AC408" s="13"/>
      <c r="AD408" s="7"/>
      <c r="AE408" s="7"/>
      <c r="AF408" s="7"/>
      <c r="AG408" s="7"/>
      <c r="AH408" s="7"/>
      <c r="AI408" s="7"/>
      <c r="AJ408" s="7"/>
      <c r="AK408" s="7"/>
    </row>
    <row r="409" spans="1:37" ht="15" x14ac:dyDescent="0.25">
      <c r="A409" s="14"/>
      <c r="B409" s="7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7"/>
      <c r="X409" s="10"/>
      <c r="Y409" s="11"/>
      <c r="Z409" s="12"/>
      <c r="AA409" s="12"/>
      <c r="AB409" s="12"/>
      <c r="AC409" s="13"/>
      <c r="AD409" s="7"/>
      <c r="AE409" s="7"/>
      <c r="AF409" s="7"/>
      <c r="AG409" s="7"/>
      <c r="AH409" s="7"/>
      <c r="AI409" s="7"/>
      <c r="AJ409" s="7"/>
      <c r="AK409" s="7"/>
    </row>
    <row r="410" spans="1:37" ht="15" x14ac:dyDescent="0.25">
      <c r="A410" s="14"/>
      <c r="B410" s="7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7"/>
      <c r="X410" s="10"/>
      <c r="Y410" s="11"/>
      <c r="Z410" s="12"/>
      <c r="AA410" s="12"/>
      <c r="AB410" s="12"/>
      <c r="AC410" s="13"/>
      <c r="AD410" s="7"/>
      <c r="AE410" s="7"/>
      <c r="AF410" s="7"/>
      <c r="AG410" s="7"/>
      <c r="AH410" s="7"/>
      <c r="AI410" s="7"/>
      <c r="AJ410" s="7"/>
      <c r="AK410" s="7"/>
    </row>
    <row r="411" spans="1:37" ht="15" x14ac:dyDescent="0.25">
      <c r="A411" s="14"/>
      <c r="B411" s="7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7"/>
      <c r="X411" s="10"/>
      <c r="Y411" s="11"/>
      <c r="Z411" s="12"/>
      <c r="AA411" s="12"/>
      <c r="AB411" s="12"/>
      <c r="AC411" s="13"/>
      <c r="AD411" s="7"/>
      <c r="AE411" s="7"/>
      <c r="AF411" s="7"/>
      <c r="AG411" s="7"/>
      <c r="AH411" s="7"/>
      <c r="AI411" s="7"/>
      <c r="AJ411" s="7"/>
      <c r="AK411" s="7"/>
    </row>
    <row r="412" spans="1:37" ht="15" x14ac:dyDescent="0.25">
      <c r="A412" s="14"/>
      <c r="B412" s="7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7"/>
      <c r="V412" s="9"/>
      <c r="W412" s="7"/>
      <c r="X412" s="10"/>
      <c r="Y412" s="11"/>
      <c r="Z412" s="12"/>
      <c r="AA412" s="12"/>
      <c r="AB412" s="12"/>
      <c r="AC412" s="13"/>
      <c r="AD412" s="7"/>
      <c r="AE412" s="7"/>
      <c r="AF412" s="7"/>
      <c r="AG412" s="7"/>
      <c r="AH412" s="7"/>
      <c r="AI412" s="7"/>
      <c r="AJ412" s="7"/>
      <c r="AK412" s="7"/>
    </row>
    <row r="413" spans="1:37" ht="15" x14ac:dyDescent="0.25">
      <c r="A413" s="14"/>
      <c r="B413" s="7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7"/>
      <c r="X413" s="10"/>
      <c r="Y413" s="11"/>
      <c r="Z413" s="12"/>
      <c r="AA413" s="12"/>
      <c r="AB413" s="12"/>
      <c r="AC413" s="13"/>
      <c r="AD413" s="7"/>
      <c r="AE413" s="7"/>
      <c r="AF413" s="7"/>
      <c r="AG413" s="7"/>
      <c r="AH413" s="7"/>
      <c r="AI413" s="7"/>
      <c r="AJ413" s="7"/>
      <c r="AK413" s="7"/>
    </row>
    <row r="414" spans="1:37" ht="15" x14ac:dyDescent="0.25">
      <c r="A414" s="14"/>
      <c r="B414" s="7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7"/>
      <c r="X414" s="10"/>
      <c r="Y414" s="11"/>
      <c r="Z414" s="12"/>
      <c r="AA414" s="12"/>
      <c r="AB414" s="12"/>
      <c r="AC414" s="13"/>
      <c r="AD414" s="7"/>
      <c r="AE414" s="7"/>
      <c r="AF414" s="7"/>
      <c r="AG414" s="7"/>
      <c r="AH414" s="7"/>
      <c r="AI414" s="7"/>
      <c r="AJ414" s="7"/>
      <c r="AK414" s="7"/>
    </row>
    <row r="415" spans="1:37" ht="15" x14ac:dyDescent="0.25">
      <c r="A415" s="14"/>
      <c r="B415" s="7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7"/>
      <c r="X415" s="10"/>
      <c r="Y415" s="11"/>
      <c r="Z415" s="12"/>
      <c r="AA415" s="12"/>
      <c r="AB415" s="12"/>
      <c r="AC415" s="13"/>
      <c r="AD415" s="7"/>
      <c r="AE415" s="7"/>
      <c r="AF415" s="7"/>
      <c r="AG415" s="7"/>
      <c r="AH415" s="7"/>
      <c r="AI415" s="7"/>
      <c r="AJ415" s="7"/>
      <c r="AK415" s="7"/>
    </row>
    <row r="416" spans="1:37" ht="15" x14ac:dyDescent="0.25">
      <c r="A416" s="14"/>
      <c r="B416" s="7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7"/>
      <c r="X416" s="18"/>
      <c r="Y416" s="11"/>
      <c r="Z416" s="12"/>
      <c r="AA416" s="12"/>
      <c r="AB416" s="12"/>
      <c r="AC416" s="13"/>
      <c r="AD416" s="7"/>
      <c r="AE416" s="7"/>
      <c r="AF416" s="7"/>
      <c r="AG416" s="7"/>
      <c r="AH416" s="7"/>
      <c r="AI416" s="7"/>
      <c r="AJ416" s="7"/>
      <c r="AK416" s="7"/>
    </row>
    <row r="417" spans="1:37" ht="15" x14ac:dyDescent="0.25">
      <c r="A417" s="14"/>
      <c r="B417" s="7"/>
      <c r="C417" s="9"/>
      <c r="D417" s="9"/>
      <c r="E417" s="17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7"/>
      <c r="V417" s="9"/>
      <c r="W417" s="7"/>
      <c r="X417" s="10"/>
      <c r="Y417" s="11"/>
      <c r="Z417" s="12"/>
      <c r="AA417" s="12"/>
      <c r="AB417" s="12"/>
      <c r="AC417" s="13"/>
      <c r="AD417" s="7"/>
      <c r="AE417" s="7"/>
      <c r="AF417" s="7"/>
      <c r="AG417" s="7"/>
      <c r="AH417" s="7"/>
      <c r="AI417" s="7"/>
      <c r="AJ417" s="7"/>
      <c r="AK417" s="7"/>
    </row>
    <row r="418" spans="1:37" ht="15" x14ac:dyDescent="0.25">
      <c r="A418" s="14"/>
      <c r="B418" s="7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7"/>
      <c r="X418" s="10"/>
      <c r="Y418" s="11"/>
      <c r="Z418" s="12"/>
      <c r="AA418" s="12"/>
      <c r="AB418" s="12"/>
      <c r="AC418" s="13"/>
      <c r="AD418" s="7"/>
      <c r="AE418" s="7"/>
      <c r="AF418" s="7"/>
      <c r="AG418" s="7"/>
      <c r="AH418" s="7"/>
      <c r="AI418" s="7"/>
      <c r="AJ418" s="7"/>
      <c r="AK418" s="7"/>
    </row>
    <row r="419" spans="1:37" ht="15" x14ac:dyDescent="0.25">
      <c r="A419" s="14"/>
      <c r="B419" s="7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7"/>
      <c r="X419" s="10"/>
      <c r="Y419" s="11"/>
      <c r="Z419" s="12"/>
      <c r="AA419" s="12"/>
      <c r="AB419" s="12"/>
      <c r="AC419" s="13"/>
      <c r="AD419" s="7"/>
      <c r="AE419" s="7"/>
      <c r="AF419" s="7"/>
      <c r="AG419" s="7"/>
      <c r="AH419" s="7"/>
      <c r="AI419" s="7"/>
      <c r="AJ419" s="7"/>
      <c r="AK419" s="7"/>
    </row>
    <row r="420" spans="1:37" ht="15" x14ac:dyDescent="0.25">
      <c r="A420" s="14"/>
      <c r="B420" s="7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7"/>
      <c r="X420" s="10"/>
      <c r="Y420" s="11"/>
      <c r="Z420" s="12"/>
      <c r="AA420" s="12"/>
      <c r="AB420" s="12"/>
      <c r="AC420" s="13"/>
      <c r="AD420" s="7"/>
      <c r="AE420" s="7"/>
      <c r="AF420" s="7"/>
      <c r="AG420" s="7"/>
      <c r="AH420" s="7"/>
      <c r="AI420" s="7"/>
      <c r="AJ420" s="7"/>
      <c r="AK420" s="7"/>
    </row>
    <row r="421" spans="1:37" ht="15" x14ac:dyDescent="0.25">
      <c r="A421" s="14"/>
      <c r="B421" s="7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7"/>
      <c r="X421" s="10"/>
      <c r="Y421" s="11"/>
      <c r="Z421" s="12"/>
      <c r="AA421" s="12"/>
      <c r="AB421" s="12"/>
      <c r="AC421" s="13"/>
      <c r="AD421" s="7"/>
      <c r="AE421" s="7"/>
      <c r="AF421" s="7"/>
      <c r="AG421" s="7"/>
      <c r="AH421" s="7"/>
      <c r="AI421" s="7"/>
      <c r="AJ421" s="7"/>
      <c r="AK421" s="7"/>
    </row>
    <row r="422" spans="1:37" ht="15" x14ac:dyDescent="0.25">
      <c r="A422" s="14"/>
      <c r="B422" s="7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7"/>
      <c r="X422" s="10"/>
      <c r="Y422" s="11"/>
      <c r="Z422" s="12"/>
      <c r="AA422" s="12"/>
      <c r="AB422" s="12"/>
      <c r="AC422" s="13"/>
      <c r="AD422" s="7"/>
      <c r="AE422" s="7"/>
      <c r="AF422" s="7"/>
      <c r="AG422" s="7"/>
      <c r="AH422" s="7"/>
      <c r="AI422" s="7"/>
      <c r="AJ422" s="7"/>
      <c r="AK422" s="7"/>
    </row>
    <row r="423" spans="1:37" ht="15" x14ac:dyDescent="0.25">
      <c r="A423" s="14"/>
      <c r="B423" s="7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7"/>
      <c r="X423" s="10"/>
      <c r="Y423" s="11"/>
      <c r="Z423" s="12"/>
      <c r="AA423" s="12"/>
      <c r="AB423" s="12"/>
      <c r="AC423" s="13"/>
      <c r="AD423" s="7"/>
      <c r="AE423" s="7"/>
      <c r="AF423" s="7"/>
      <c r="AG423" s="7"/>
      <c r="AH423" s="7"/>
      <c r="AI423" s="7"/>
      <c r="AJ423" s="7"/>
      <c r="AK423" s="7"/>
    </row>
    <row r="424" spans="1:37" ht="15" x14ac:dyDescent="0.25">
      <c r="A424" s="14"/>
      <c r="B424" s="7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7"/>
      <c r="X424" s="10"/>
      <c r="Y424" s="11"/>
      <c r="Z424" s="12"/>
      <c r="AA424" s="12"/>
      <c r="AB424" s="12"/>
      <c r="AC424" s="13"/>
      <c r="AD424" s="7"/>
      <c r="AE424" s="7"/>
      <c r="AF424" s="7"/>
      <c r="AG424" s="7"/>
      <c r="AH424" s="7"/>
      <c r="AI424" s="7"/>
      <c r="AJ424" s="7"/>
      <c r="AK424" s="7"/>
    </row>
    <row r="425" spans="1:37" ht="15" x14ac:dyDescent="0.25">
      <c r="A425" s="14"/>
      <c r="B425" s="7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7"/>
      <c r="X425" s="10"/>
      <c r="Y425" s="11"/>
      <c r="Z425" s="12"/>
      <c r="AA425" s="12"/>
      <c r="AB425" s="12"/>
      <c r="AC425" s="13"/>
      <c r="AD425" s="7"/>
      <c r="AE425" s="7"/>
      <c r="AF425" s="7"/>
      <c r="AG425" s="7"/>
      <c r="AH425" s="7"/>
      <c r="AI425" s="7"/>
      <c r="AJ425" s="7"/>
      <c r="AK425" s="7"/>
    </row>
    <row r="426" spans="1:37" ht="15" x14ac:dyDescent="0.25">
      <c r="A426" s="14"/>
      <c r="B426" s="7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7"/>
      <c r="X426" s="10"/>
      <c r="Y426" s="11"/>
      <c r="Z426" s="12"/>
      <c r="AA426" s="12"/>
      <c r="AB426" s="12"/>
      <c r="AC426" s="13"/>
      <c r="AD426" s="7"/>
      <c r="AE426" s="7"/>
      <c r="AF426" s="7"/>
      <c r="AG426" s="7"/>
      <c r="AH426" s="7"/>
      <c r="AI426" s="7"/>
      <c r="AJ426" s="7"/>
      <c r="AK426" s="7"/>
    </row>
    <row r="427" spans="1:37" ht="15" x14ac:dyDescent="0.25">
      <c r="A427" s="14"/>
      <c r="B427" s="7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7"/>
      <c r="X427" s="10"/>
      <c r="Y427" s="11"/>
      <c r="Z427" s="12"/>
      <c r="AA427" s="12"/>
      <c r="AB427" s="12"/>
      <c r="AC427" s="13"/>
      <c r="AD427" s="7"/>
      <c r="AE427" s="7"/>
      <c r="AF427" s="7"/>
      <c r="AG427" s="7"/>
      <c r="AH427" s="7"/>
      <c r="AI427" s="7"/>
      <c r="AJ427" s="7"/>
      <c r="AK427" s="7"/>
    </row>
    <row r="428" spans="1:37" ht="15" x14ac:dyDescent="0.25">
      <c r="A428" s="14"/>
      <c r="B428" s="7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7"/>
      <c r="X428" s="10"/>
      <c r="Y428" s="11"/>
      <c r="Z428" s="12"/>
      <c r="AA428" s="12"/>
      <c r="AB428" s="12"/>
      <c r="AC428" s="13"/>
      <c r="AD428" s="7"/>
      <c r="AE428" s="7"/>
      <c r="AF428" s="7"/>
      <c r="AG428" s="7"/>
      <c r="AH428" s="7"/>
      <c r="AI428" s="7"/>
      <c r="AJ428" s="7"/>
      <c r="AK428" s="7"/>
    </row>
    <row r="429" spans="1:37" ht="15" x14ac:dyDescent="0.25">
      <c r="A429" s="14"/>
      <c r="B429" s="7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7"/>
      <c r="X429" s="10"/>
      <c r="Y429" s="11"/>
      <c r="Z429" s="12"/>
      <c r="AA429" s="12"/>
      <c r="AB429" s="12"/>
      <c r="AC429" s="13"/>
      <c r="AD429" s="7"/>
      <c r="AE429" s="7"/>
      <c r="AF429" s="7"/>
      <c r="AG429" s="7"/>
      <c r="AH429" s="7"/>
      <c r="AI429" s="7"/>
      <c r="AJ429" s="7"/>
      <c r="AK429" s="7"/>
    </row>
    <row r="430" spans="1:37" ht="15" x14ac:dyDescent="0.25">
      <c r="A430" s="14"/>
      <c r="B430" s="7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7"/>
      <c r="X430" s="10"/>
      <c r="Y430" s="11"/>
      <c r="Z430" s="12"/>
      <c r="AA430" s="12"/>
      <c r="AB430" s="12"/>
      <c r="AC430" s="13"/>
      <c r="AD430" s="7"/>
      <c r="AE430" s="7"/>
      <c r="AF430" s="7"/>
      <c r="AG430" s="7"/>
      <c r="AH430" s="7"/>
      <c r="AI430" s="7"/>
      <c r="AJ430" s="7"/>
      <c r="AK430" s="7"/>
    </row>
    <row r="431" spans="1:37" ht="15" x14ac:dyDescent="0.25">
      <c r="A431" s="14"/>
      <c r="B431" s="7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7"/>
      <c r="X431" s="10"/>
      <c r="Y431" s="11"/>
      <c r="Z431" s="12"/>
      <c r="AA431" s="12"/>
      <c r="AB431" s="12"/>
      <c r="AC431" s="13"/>
      <c r="AD431" s="7"/>
      <c r="AE431" s="7"/>
      <c r="AF431" s="7"/>
      <c r="AG431" s="7"/>
      <c r="AH431" s="7"/>
      <c r="AI431" s="7"/>
      <c r="AJ431" s="7"/>
      <c r="AK431" s="7"/>
    </row>
    <row r="432" spans="1:37" ht="15" x14ac:dyDescent="0.25">
      <c r="A432" s="14"/>
      <c r="B432" s="7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7"/>
      <c r="X432" s="10"/>
      <c r="Y432" s="11"/>
      <c r="Z432" s="12"/>
      <c r="AA432" s="12"/>
      <c r="AB432" s="12"/>
      <c r="AC432" s="13"/>
      <c r="AD432" s="7"/>
      <c r="AE432" s="7"/>
      <c r="AF432" s="7"/>
      <c r="AG432" s="7"/>
      <c r="AH432" s="7"/>
      <c r="AI432" s="7"/>
      <c r="AJ432" s="7"/>
      <c r="AK432" s="7"/>
    </row>
    <row r="433" spans="1:37" ht="15" x14ac:dyDescent="0.25">
      <c r="A433" s="14"/>
      <c r="B433" s="7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7"/>
      <c r="X433" s="10"/>
      <c r="Y433" s="11"/>
      <c r="Z433" s="12"/>
      <c r="AA433" s="12"/>
      <c r="AB433" s="12"/>
      <c r="AC433" s="13"/>
      <c r="AD433" s="7"/>
      <c r="AE433" s="7"/>
      <c r="AF433" s="7"/>
      <c r="AG433" s="7"/>
      <c r="AH433" s="7"/>
      <c r="AI433" s="7"/>
      <c r="AJ433" s="7"/>
      <c r="AK433" s="7"/>
    </row>
    <row r="434" spans="1:37" ht="15" x14ac:dyDescent="0.25">
      <c r="A434" s="14"/>
      <c r="B434" s="7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7"/>
      <c r="V434" s="9"/>
      <c r="W434" s="7"/>
      <c r="X434" s="10"/>
      <c r="Y434" s="11"/>
      <c r="Z434" s="12"/>
      <c r="AA434" s="12"/>
      <c r="AB434" s="12"/>
      <c r="AC434" s="13"/>
      <c r="AD434" s="7"/>
      <c r="AE434" s="7"/>
      <c r="AF434" s="7"/>
      <c r="AG434" s="7"/>
      <c r="AH434" s="7"/>
      <c r="AI434" s="7"/>
      <c r="AJ434" s="7"/>
      <c r="AK434" s="7"/>
    </row>
    <row r="435" spans="1:37" ht="15" x14ac:dyDescent="0.25">
      <c r="A435" s="14"/>
      <c r="B435" s="7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7"/>
      <c r="X435" s="10"/>
      <c r="Y435" s="11"/>
      <c r="Z435" s="12"/>
      <c r="AA435" s="12"/>
      <c r="AB435" s="12"/>
      <c r="AC435" s="13"/>
      <c r="AD435" s="7"/>
      <c r="AE435" s="7"/>
      <c r="AF435" s="7"/>
      <c r="AG435" s="7"/>
      <c r="AH435" s="7"/>
      <c r="AI435" s="7"/>
      <c r="AJ435" s="7"/>
      <c r="AK435" s="7"/>
    </row>
    <row r="436" spans="1:37" ht="15" x14ac:dyDescent="0.25">
      <c r="A436" s="14"/>
      <c r="B436" s="7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7"/>
      <c r="X436" s="10"/>
      <c r="Y436" s="11"/>
      <c r="Z436" s="12"/>
      <c r="AA436" s="12"/>
      <c r="AB436" s="12"/>
      <c r="AC436" s="13"/>
      <c r="AD436" s="7"/>
      <c r="AE436" s="7"/>
      <c r="AF436" s="7"/>
      <c r="AG436" s="7"/>
      <c r="AH436" s="7"/>
      <c r="AI436" s="7"/>
      <c r="AJ436" s="7"/>
      <c r="AK436" s="7"/>
    </row>
    <row r="437" spans="1:37" ht="15" x14ac:dyDescent="0.25">
      <c r="A437" s="14"/>
      <c r="B437" s="7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7"/>
      <c r="X437" s="10"/>
      <c r="Y437" s="11"/>
      <c r="Z437" s="12"/>
      <c r="AA437" s="12"/>
      <c r="AB437" s="12"/>
      <c r="AC437" s="13"/>
      <c r="AD437" s="7"/>
      <c r="AE437" s="7"/>
      <c r="AF437" s="7"/>
      <c r="AG437" s="7"/>
      <c r="AH437" s="7"/>
      <c r="AI437" s="7"/>
      <c r="AJ437" s="7"/>
      <c r="AK437" s="7"/>
    </row>
    <row r="438" spans="1:37" ht="15" x14ac:dyDescent="0.25">
      <c r="A438" s="14"/>
      <c r="B438" s="7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7"/>
      <c r="X438" s="18"/>
      <c r="Y438" s="11"/>
      <c r="Z438" s="12"/>
      <c r="AA438" s="12"/>
      <c r="AB438" s="12"/>
      <c r="AC438" s="13"/>
      <c r="AD438" s="7"/>
      <c r="AE438" s="7"/>
      <c r="AF438" s="7"/>
      <c r="AG438" s="7"/>
      <c r="AH438" s="7"/>
      <c r="AI438" s="7"/>
      <c r="AJ438" s="7"/>
      <c r="AK438" s="7"/>
    </row>
    <row r="439" spans="1:37" ht="15" x14ac:dyDescent="0.25">
      <c r="A439" s="14"/>
      <c r="B439" s="7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7"/>
      <c r="V439" s="9"/>
      <c r="W439" s="7"/>
      <c r="X439" s="10"/>
      <c r="Y439" s="11"/>
      <c r="Z439" s="12"/>
      <c r="AA439" s="12"/>
      <c r="AB439" s="12"/>
      <c r="AC439" s="13"/>
      <c r="AD439" s="7"/>
      <c r="AE439" s="7"/>
      <c r="AF439" s="7"/>
      <c r="AG439" s="7"/>
      <c r="AH439" s="7"/>
      <c r="AI439" s="7"/>
      <c r="AJ439" s="7"/>
      <c r="AK439" s="7"/>
    </row>
    <row r="440" spans="1:37" ht="15" x14ac:dyDescent="0.25">
      <c r="A440" s="14"/>
      <c r="B440" s="7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7"/>
      <c r="X440" s="10"/>
      <c r="Y440" s="11"/>
      <c r="Z440" s="12"/>
      <c r="AA440" s="12"/>
      <c r="AB440" s="12"/>
      <c r="AC440" s="13"/>
      <c r="AD440" s="7"/>
      <c r="AE440" s="7"/>
      <c r="AF440" s="7"/>
      <c r="AG440" s="7"/>
      <c r="AH440" s="7"/>
      <c r="AI440" s="7"/>
      <c r="AJ440" s="7"/>
      <c r="AK440" s="7"/>
    </row>
    <row r="441" spans="1:37" ht="15" x14ac:dyDescent="0.25">
      <c r="A441" s="14"/>
      <c r="B441" s="7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7"/>
      <c r="X441" s="10"/>
      <c r="Y441" s="11"/>
      <c r="Z441" s="12"/>
      <c r="AA441" s="12"/>
      <c r="AB441" s="12"/>
      <c r="AC441" s="13"/>
      <c r="AD441" s="7"/>
      <c r="AE441" s="7"/>
      <c r="AF441" s="7"/>
      <c r="AG441" s="7"/>
      <c r="AH441" s="7"/>
      <c r="AI441" s="7"/>
      <c r="AJ441" s="7"/>
      <c r="AK441" s="7"/>
    </row>
    <row r="442" spans="1:37" ht="15" x14ac:dyDescent="0.25">
      <c r="A442" s="14"/>
      <c r="B442" s="7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7"/>
      <c r="X442" s="10"/>
      <c r="Y442" s="11"/>
      <c r="Z442" s="12"/>
      <c r="AA442" s="12"/>
      <c r="AB442" s="12"/>
      <c r="AC442" s="13"/>
      <c r="AD442" s="7"/>
      <c r="AE442" s="7"/>
      <c r="AF442" s="7"/>
      <c r="AG442" s="7"/>
      <c r="AH442" s="7"/>
      <c r="AI442" s="7"/>
      <c r="AJ442" s="7"/>
      <c r="AK442" s="7"/>
    </row>
    <row r="443" spans="1:37" ht="15" x14ac:dyDescent="0.25">
      <c r="A443" s="14"/>
      <c r="B443" s="7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7"/>
      <c r="X443" s="18"/>
      <c r="Y443" s="11"/>
      <c r="Z443" s="12"/>
      <c r="AA443" s="12"/>
      <c r="AB443" s="12"/>
      <c r="AC443" s="13"/>
      <c r="AD443" s="7"/>
      <c r="AE443" s="7"/>
      <c r="AF443" s="7"/>
      <c r="AG443" s="7"/>
      <c r="AH443" s="7"/>
      <c r="AI443" s="7"/>
      <c r="AJ443" s="7"/>
      <c r="AK443" s="7"/>
    </row>
    <row r="444" spans="1:37" ht="15" x14ac:dyDescent="0.25">
      <c r="A444" s="14"/>
      <c r="B444" s="7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7"/>
      <c r="X444" s="18"/>
      <c r="Y444" s="11"/>
      <c r="Z444" s="12"/>
      <c r="AA444" s="12"/>
      <c r="AB444" s="12"/>
      <c r="AC444" s="13"/>
      <c r="AD444" s="7"/>
      <c r="AE444" s="7"/>
      <c r="AF444" s="7"/>
      <c r="AG444" s="7"/>
      <c r="AH444" s="7"/>
      <c r="AI444" s="7"/>
      <c r="AJ444" s="7"/>
      <c r="AK444" s="7"/>
    </row>
    <row r="445" spans="1:37" ht="15" x14ac:dyDescent="0.25">
      <c r="A445" s="14"/>
      <c r="B445" s="7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7"/>
      <c r="X445" s="10"/>
      <c r="Y445" s="11"/>
      <c r="Z445" s="12"/>
      <c r="AA445" s="12"/>
      <c r="AB445" s="12"/>
      <c r="AC445" s="13"/>
      <c r="AD445" s="7"/>
      <c r="AE445" s="7"/>
      <c r="AF445" s="7"/>
      <c r="AG445" s="7"/>
      <c r="AH445" s="7"/>
      <c r="AI445" s="7"/>
      <c r="AJ445" s="7"/>
      <c r="AK445" s="7"/>
    </row>
    <row r="446" spans="1:37" ht="15" x14ac:dyDescent="0.25">
      <c r="A446" s="14"/>
      <c r="B446" s="7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7"/>
      <c r="X446" s="18"/>
      <c r="Y446" s="11"/>
      <c r="Z446" s="12"/>
      <c r="AA446" s="12"/>
      <c r="AB446" s="12"/>
      <c r="AC446" s="13"/>
      <c r="AD446" s="7"/>
      <c r="AE446" s="7"/>
      <c r="AF446" s="7"/>
      <c r="AG446" s="7"/>
      <c r="AH446" s="7"/>
      <c r="AI446" s="7"/>
      <c r="AJ446" s="7"/>
      <c r="AK446" s="7"/>
    </row>
    <row r="447" spans="1:37" ht="15" x14ac:dyDescent="0.25">
      <c r="A447" s="14"/>
      <c r="B447" s="7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7"/>
      <c r="X447" s="10"/>
      <c r="Y447" s="11"/>
      <c r="Z447" s="12"/>
      <c r="AA447" s="12"/>
      <c r="AB447" s="12"/>
      <c r="AC447" s="13"/>
      <c r="AD447" s="7"/>
      <c r="AE447" s="7"/>
      <c r="AF447" s="7"/>
      <c r="AG447" s="7"/>
      <c r="AH447" s="7"/>
      <c r="AI447" s="7"/>
      <c r="AJ447" s="7"/>
      <c r="AK447" s="7"/>
    </row>
    <row r="448" spans="1:37" ht="15" x14ac:dyDescent="0.25">
      <c r="A448" s="14"/>
      <c r="B448" s="7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7"/>
      <c r="X448" s="10"/>
      <c r="Y448" s="11"/>
      <c r="Z448" s="12"/>
      <c r="AA448" s="12"/>
      <c r="AB448" s="12"/>
      <c r="AC448" s="13"/>
      <c r="AD448" s="7"/>
      <c r="AE448" s="7"/>
      <c r="AF448" s="7"/>
      <c r="AG448" s="7"/>
      <c r="AH448" s="7"/>
      <c r="AI448" s="7"/>
      <c r="AJ448" s="7"/>
      <c r="AK448" s="7"/>
    </row>
    <row r="449" spans="1:37" ht="15" x14ac:dyDescent="0.25">
      <c r="A449" s="14"/>
      <c r="B449" s="7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7"/>
      <c r="V449" s="9"/>
      <c r="W449" s="7"/>
      <c r="X449" s="10"/>
      <c r="Y449" s="11"/>
      <c r="Z449" s="12"/>
      <c r="AA449" s="12"/>
      <c r="AB449" s="12"/>
      <c r="AC449" s="13"/>
      <c r="AD449" s="7"/>
      <c r="AE449" s="7"/>
      <c r="AF449" s="7"/>
      <c r="AG449" s="7"/>
      <c r="AH449" s="7"/>
      <c r="AI449" s="7"/>
      <c r="AJ449" s="7"/>
      <c r="AK449" s="7"/>
    </row>
    <row r="450" spans="1:37" ht="15" x14ac:dyDescent="0.25">
      <c r="A450" s="14"/>
      <c r="B450" s="7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7"/>
      <c r="X450" s="10"/>
      <c r="Y450" s="11"/>
      <c r="Z450" s="12"/>
      <c r="AA450" s="12"/>
      <c r="AB450" s="12"/>
      <c r="AC450" s="13"/>
      <c r="AD450" s="7"/>
      <c r="AE450" s="7"/>
      <c r="AF450" s="7"/>
      <c r="AG450" s="7"/>
      <c r="AH450" s="7"/>
      <c r="AI450" s="7"/>
      <c r="AJ450" s="7"/>
      <c r="AK450" s="7"/>
    </row>
    <row r="451" spans="1:37" ht="15" x14ac:dyDescent="0.25">
      <c r="A451" s="14"/>
      <c r="B451" s="7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7"/>
      <c r="X451" s="10"/>
      <c r="Y451" s="11"/>
      <c r="Z451" s="12"/>
      <c r="AA451" s="12"/>
      <c r="AB451" s="12"/>
      <c r="AC451" s="13"/>
      <c r="AD451" s="7"/>
      <c r="AE451" s="7"/>
      <c r="AF451" s="7"/>
      <c r="AG451" s="7"/>
      <c r="AH451" s="7"/>
      <c r="AI451" s="7"/>
      <c r="AJ451" s="7"/>
      <c r="AK451" s="7"/>
    </row>
    <row r="452" spans="1:37" ht="15" x14ac:dyDescent="0.25">
      <c r="A452" s="14"/>
      <c r="B452" s="7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7"/>
      <c r="X452" s="10"/>
      <c r="Y452" s="11"/>
      <c r="Z452" s="12"/>
      <c r="AA452" s="12"/>
      <c r="AB452" s="12"/>
      <c r="AC452" s="13"/>
      <c r="AD452" s="7"/>
      <c r="AE452" s="7"/>
      <c r="AF452" s="7"/>
      <c r="AG452" s="7"/>
      <c r="AH452" s="7"/>
      <c r="AI452" s="7"/>
      <c r="AJ452" s="7"/>
      <c r="AK452" s="7"/>
    </row>
    <row r="453" spans="1:37" ht="15" x14ac:dyDescent="0.25">
      <c r="A453" s="14"/>
      <c r="B453" s="7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7"/>
      <c r="X453" s="10"/>
      <c r="Y453" s="11"/>
      <c r="Z453" s="12"/>
      <c r="AA453" s="12"/>
      <c r="AB453" s="12"/>
      <c r="AC453" s="13"/>
      <c r="AD453" s="7"/>
      <c r="AE453" s="7"/>
      <c r="AF453" s="7"/>
      <c r="AG453" s="7"/>
      <c r="AH453" s="7"/>
      <c r="AI453" s="7"/>
      <c r="AJ453" s="7"/>
      <c r="AK453" s="7"/>
    </row>
    <row r="454" spans="1:37" ht="15" x14ac:dyDescent="0.25">
      <c r="A454" s="14"/>
      <c r="B454" s="7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7"/>
      <c r="X454" s="10"/>
      <c r="Y454" s="11"/>
      <c r="Z454" s="12"/>
      <c r="AA454" s="12"/>
      <c r="AB454" s="12"/>
      <c r="AC454" s="13"/>
      <c r="AD454" s="7"/>
      <c r="AE454" s="7"/>
      <c r="AF454" s="7"/>
      <c r="AG454" s="7"/>
      <c r="AH454" s="7"/>
      <c r="AI454" s="7"/>
      <c r="AJ454" s="7"/>
      <c r="AK454" s="7"/>
    </row>
    <row r="455" spans="1:37" ht="15" x14ac:dyDescent="0.25">
      <c r="A455" s="14"/>
      <c r="B455" s="7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7"/>
      <c r="X455" s="10"/>
      <c r="Y455" s="11"/>
      <c r="Z455" s="12"/>
      <c r="AA455" s="12"/>
      <c r="AB455" s="12"/>
      <c r="AC455" s="13"/>
      <c r="AD455" s="7"/>
      <c r="AE455" s="7"/>
      <c r="AF455" s="7"/>
      <c r="AG455" s="7"/>
      <c r="AH455" s="7"/>
      <c r="AI455" s="7"/>
      <c r="AJ455" s="7"/>
      <c r="AK455" s="7"/>
    </row>
    <row r="456" spans="1:37" ht="15" x14ac:dyDescent="0.25">
      <c r="A456" s="14"/>
      <c r="B456" s="7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7"/>
      <c r="X456" s="10"/>
      <c r="Y456" s="11"/>
      <c r="Z456" s="12"/>
      <c r="AA456" s="12"/>
      <c r="AB456" s="12"/>
      <c r="AC456" s="13"/>
      <c r="AD456" s="7"/>
      <c r="AE456" s="7"/>
      <c r="AF456" s="7"/>
      <c r="AG456" s="7"/>
      <c r="AH456" s="7"/>
      <c r="AI456" s="7"/>
      <c r="AJ456" s="7"/>
      <c r="AK456" s="7"/>
    </row>
    <row r="457" spans="1:37" ht="15" x14ac:dyDescent="0.25">
      <c r="A457" s="14"/>
      <c r="B457" s="7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7"/>
      <c r="X457" s="10"/>
      <c r="Y457" s="11"/>
      <c r="Z457" s="12"/>
      <c r="AA457" s="12"/>
      <c r="AB457" s="12"/>
      <c r="AC457" s="13"/>
      <c r="AD457" s="7"/>
      <c r="AE457" s="7"/>
      <c r="AF457" s="7"/>
      <c r="AG457" s="7"/>
      <c r="AH457" s="7"/>
      <c r="AI457" s="7"/>
      <c r="AJ457" s="7"/>
      <c r="AK457" s="7"/>
    </row>
    <row r="458" spans="1:37" ht="15" x14ac:dyDescent="0.25">
      <c r="A458" s="14"/>
      <c r="B458" s="7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7"/>
      <c r="X458" s="10"/>
      <c r="Y458" s="11"/>
      <c r="Z458" s="12"/>
      <c r="AA458" s="12"/>
      <c r="AB458" s="12"/>
      <c r="AC458" s="13"/>
      <c r="AD458" s="7"/>
      <c r="AE458" s="7"/>
      <c r="AF458" s="7"/>
      <c r="AG458" s="7"/>
      <c r="AH458" s="7"/>
      <c r="AI458" s="7"/>
      <c r="AJ458" s="7"/>
      <c r="AK458" s="7"/>
    </row>
    <row r="459" spans="1:37" ht="15" x14ac:dyDescent="0.25">
      <c r="A459" s="14"/>
      <c r="B459" s="7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7"/>
      <c r="V459" s="9"/>
      <c r="W459" s="7"/>
      <c r="X459" s="10"/>
      <c r="Y459" s="11"/>
      <c r="Z459" s="12"/>
      <c r="AA459" s="12"/>
      <c r="AB459" s="12"/>
      <c r="AC459" s="13"/>
      <c r="AD459" s="7"/>
      <c r="AE459" s="7"/>
      <c r="AF459" s="7"/>
      <c r="AG459" s="7"/>
      <c r="AH459" s="7"/>
      <c r="AI459" s="7"/>
      <c r="AJ459" s="7"/>
      <c r="AK459" s="7"/>
    </row>
    <row r="460" spans="1:37" ht="15" x14ac:dyDescent="0.25">
      <c r="A460" s="14"/>
      <c r="B460" s="7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7"/>
      <c r="X460" s="10"/>
      <c r="Y460" s="11"/>
      <c r="Z460" s="12"/>
      <c r="AA460" s="12"/>
      <c r="AB460" s="12"/>
      <c r="AC460" s="13"/>
      <c r="AD460" s="7"/>
      <c r="AE460" s="7"/>
      <c r="AF460" s="7"/>
      <c r="AG460" s="7"/>
      <c r="AH460" s="7"/>
      <c r="AI460" s="7"/>
      <c r="AJ460" s="7"/>
      <c r="AK460" s="7"/>
    </row>
    <row r="461" spans="1:37" ht="15" x14ac:dyDescent="0.25">
      <c r="A461" s="14"/>
      <c r="B461" s="7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7"/>
      <c r="X461" s="10"/>
      <c r="Y461" s="11"/>
      <c r="Z461" s="12"/>
      <c r="AA461" s="12"/>
      <c r="AB461" s="12"/>
      <c r="AC461" s="13"/>
      <c r="AD461" s="7"/>
      <c r="AE461" s="7"/>
      <c r="AF461" s="7"/>
      <c r="AG461" s="7"/>
      <c r="AH461" s="7"/>
      <c r="AI461" s="7"/>
      <c r="AJ461" s="7"/>
      <c r="AK461" s="7"/>
    </row>
    <row r="462" spans="1:37" ht="15" x14ac:dyDescent="0.25">
      <c r="A462" s="14"/>
      <c r="B462" s="7"/>
      <c r="V462" s="9"/>
    </row>
    <row r="463" spans="1:37" ht="15" x14ac:dyDescent="0.25">
      <c r="A463" s="14"/>
      <c r="B463" s="7"/>
      <c r="V463" s="9"/>
    </row>
    <row r="464" spans="1:37" ht="15" x14ac:dyDescent="0.25">
      <c r="A464" s="14"/>
      <c r="B464" s="7"/>
      <c r="V464" s="9"/>
    </row>
    <row r="465" spans="1:22" ht="15" x14ac:dyDescent="0.25">
      <c r="A465" s="14"/>
      <c r="B465" s="7"/>
      <c r="V465" s="9"/>
    </row>
    <row r="466" spans="1:22" ht="15" x14ac:dyDescent="0.25">
      <c r="A466" s="14"/>
      <c r="B466" s="7"/>
      <c r="V466" s="9"/>
    </row>
    <row r="467" spans="1:22" ht="15" x14ac:dyDescent="0.25">
      <c r="A467" s="14"/>
      <c r="B467" s="7"/>
      <c r="V467" s="9"/>
    </row>
    <row r="468" spans="1:22" ht="15" x14ac:dyDescent="0.25">
      <c r="A468" s="14"/>
      <c r="B468" s="7"/>
      <c r="V468" s="9"/>
    </row>
    <row r="469" spans="1:22" ht="15" x14ac:dyDescent="0.25">
      <c r="A469" s="14"/>
      <c r="B469" s="7"/>
      <c r="V469" s="9"/>
    </row>
    <row r="470" spans="1:22" ht="15" x14ac:dyDescent="0.25">
      <c r="A470" s="14"/>
      <c r="B470" s="7"/>
      <c r="V470" s="9"/>
    </row>
    <row r="471" spans="1:22" ht="15" x14ac:dyDescent="0.25">
      <c r="A471" s="14"/>
      <c r="B471" s="7"/>
      <c r="V471" s="9"/>
    </row>
    <row r="472" spans="1:22" ht="15" x14ac:dyDescent="0.25">
      <c r="A472" s="14"/>
      <c r="B472" s="7"/>
      <c r="V472" s="9"/>
    </row>
    <row r="473" spans="1:22" ht="15" x14ac:dyDescent="0.25">
      <c r="A473" s="14"/>
      <c r="B473" s="7"/>
      <c r="V473" s="9"/>
    </row>
    <row r="474" spans="1:22" ht="15" x14ac:dyDescent="0.25">
      <c r="A474" s="14"/>
      <c r="B474" s="7"/>
      <c r="V474" s="9"/>
    </row>
    <row r="475" spans="1:22" ht="15" x14ac:dyDescent="0.25">
      <c r="A475" s="14"/>
      <c r="B475" s="7"/>
      <c r="V475" s="9"/>
    </row>
    <row r="476" spans="1:22" ht="15" x14ac:dyDescent="0.25">
      <c r="A476" s="14"/>
      <c r="B476" s="7"/>
      <c r="V476" s="9"/>
    </row>
    <row r="477" spans="1:22" ht="15" x14ac:dyDescent="0.25">
      <c r="A477" s="14"/>
      <c r="B477" s="7"/>
      <c r="V477" s="9"/>
    </row>
    <row r="478" spans="1:22" ht="15" x14ac:dyDescent="0.25">
      <c r="A478" s="14"/>
      <c r="B478" s="7"/>
      <c r="V478" s="9"/>
    </row>
    <row r="479" spans="1:22" ht="15" x14ac:dyDescent="0.25">
      <c r="A479" s="14"/>
      <c r="B479" s="7"/>
      <c r="V479" s="9"/>
    </row>
    <row r="480" spans="1:22" ht="15" x14ac:dyDescent="0.25">
      <c r="A480" s="14"/>
      <c r="B480" s="7"/>
      <c r="V480" s="9"/>
    </row>
    <row r="481" spans="1:22" ht="15" x14ac:dyDescent="0.25">
      <c r="A481" s="14"/>
      <c r="B481" s="7"/>
      <c r="V481" s="9"/>
    </row>
    <row r="482" spans="1:22" ht="15" x14ac:dyDescent="0.25">
      <c r="A482" s="14"/>
      <c r="B482" s="7"/>
      <c r="V482" s="9"/>
    </row>
    <row r="483" spans="1:22" ht="15" x14ac:dyDescent="0.25">
      <c r="B483" s="7"/>
      <c r="L483" s="9"/>
      <c r="V483" s="7"/>
    </row>
    <row r="484" spans="1:22" ht="15" x14ac:dyDescent="0.25">
      <c r="B484" s="7"/>
      <c r="V484" s="9"/>
    </row>
    <row r="485" spans="1:22" ht="15" x14ac:dyDescent="0.25">
      <c r="B485" s="7"/>
      <c r="V485" s="9"/>
    </row>
    <row r="486" spans="1:22" ht="15" x14ac:dyDescent="0.25">
      <c r="B486" s="7"/>
      <c r="V486" s="9"/>
    </row>
    <row r="487" spans="1:22" ht="15" x14ac:dyDescent="0.25">
      <c r="B487" s="7"/>
      <c r="V487" s="9"/>
    </row>
    <row r="488" spans="1:22" ht="15" x14ac:dyDescent="0.25">
      <c r="B488" s="7"/>
      <c r="V488" s="9"/>
    </row>
    <row r="489" spans="1:22" ht="15" x14ac:dyDescent="0.25">
      <c r="B489" s="7"/>
      <c r="V489" s="9"/>
    </row>
    <row r="490" spans="1:22" ht="15" x14ac:dyDescent="0.25">
      <c r="B490" s="7"/>
      <c r="V490" s="9"/>
    </row>
    <row r="491" spans="1:22" ht="15" x14ac:dyDescent="0.25">
      <c r="B491" s="7"/>
      <c r="V491" s="9"/>
    </row>
    <row r="492" spans="1:22" ht="15" x14ac:dyDescent="0.25">
      <c r="B492" s="7"/>
      <c r="V492" s="9"/>
    </row>
    <row r="493" spans="1:22" ht="15" x14ac:dyDescent="0.25">
      <c r="B493" s="7"/>
      <c r="V493" s="9"/>
    </row>
    <row r="494" spans="1:22" ht="15" x14ac:dyDescent="0.25">
      <c r="B494" s="7"/>
      <c r="V494" s="9"/>
    </row>
    <row r="495" spans="1:22" ht="15" x14ac:dyDescent="0.25">
      <c r="B495" s="7"/>
      <c r="V495" s="9"/>
    </row>
    <row r="496" spans="1:22" ht="15" x14ac:dyDescent="0.25">
      <c r="B496" s="7"/>
      <c r="V496" s="9"/>
    </row>
    <row r="497" spans="2:22" ht="15" x14ac:dyDescent="0.25">
      <c r="B497" s="7"/>
      <c r="V497" s="9"/>
    </row>
    <row r="498" spans="2:22" ht="15" x14ac:dyDescent="0.25">
      <c r="B498" s="7"/>
      <c r="V498" s="9"/>
    </row>
    <row r="499" spans="2:22" ht="15" x14ac:dyDescent="0.25">
      <c r="B499" s="7"/>
      <c r="V499" s="9"/>
    </row>
    <row r="500" spans="2:22" ht="15" x14ac:dyDescent="0.25">
      <c r="B500" s="7"/>
      <c r="V500" s="9"/>
    </row>
    <row r="501" spans="2:22" ht="15" x14ac:dyDescent="0.25">
      <c r="B501" s="7"/>
      <c r="V501" s="9"/>
    </row>
    <row r="502" spans="2:22" ht="15" x14ac:dyDescent="0.25">
      <c r="B502" s="7"/>
      <c r="V502" s="9"/>
    </row>
    <row r="503" spans="2:22" ht="15" x14ac:dyDescent="0.25">
      <c r="B503" s="7"/>
      <c r="V503" s="9"/>
    </row>
    <row r="504" spans="2:22" ht="15" x14ac:dyDescent="0.25">
      <c r="B504" s="7"/>
      <c r="V504" s="9"/>
    </row>
    <row r="505" spans="2:22" ht="15" x14ac:dyDescent="0.25">
      <c r="B505" s="7"/>
      <c r="V505" s="9"/>
    </row>
    <row r="506" spans="2:22" ht="15" x14ac:dyDescent="0.25">
      <c r="B506" s="7"/>
      <c r="V506" s="9"/>
    </row>
    <row r="507" spans="2:22" ht="15" x14ac:dyDescent="0.25">
      <c r="B507" s="7"/>
      <c r="V507" s="9"/>
    </row>
    <row r="508" spans="2:22" ht="15" x14ac:dyDescent="0.25">
      <c r="B508" s="7"/>
      <c r="V508" s="9"/>
    </row>
    <row r="509" spans="2:22" ht="15" x14ac:dyDescent="0.25">
      <c r="B509" s="7"/>
      <c r="V509" s="9"/>
    </row>
    <row r="510" spans="2:22" ht="15" x14ac:dyDescent="0.25">
      <c r="B510" s="7"/>
      <c r="V510" s="9"/>
    </row>
    <row r="511" spans="2:22" ht="15" x14ac:dyDescent="0.25">
      <c r="B511" s="7"/>
      <c r="V511" s="9"/>
    </row>
    <row r="512" spans="2:22" ht="15" x14ac:dyDescent="0.25">
      <c r="B512" s="7"/>
      <c r="V512" s="9"/>
    </row>
    <row r="513" spans="2:22" ht="15" x14ac:dyDescent="0.25">
      <c r="B513" s="7"/>
      <c r="V513" s="9"/>
    </row>
    <row r="514" spans="2:22" ht="15" x14ac:dyDescent="0.25">
      <c r="B514" s="7"/>
      <c r="V514" s="9"/>
    </row>
    <row r="515" spans="2:22" ht="15" x14ac:dyDescent="0.25">
      <c r="B515" s="7"/>
      <c r="V515" s="9"/>
    </row>
    <row r="516" spans="2:22" ht="15" x14ac:dyDescent="0.25">
      <c r="B516" s="7"/>
      <c r="L516" s="9"/>
      <c r="V516" s="7"/>
    </row>
    <row r="517" spans="2:22" ht="15" x14ac:dyDescent="0.25">
      <c r="B517" s="7"/>
      <c r="V517" s="9"/>
    </row>
    <row r="518" spans="2:22" ht="15" x14ac:dyDescent="0.25">
      <c r="B518" s="7"/>
      <c r="V518" s="9"/>
    </row>
    <row r="519" spans="2:22" x14ac:dyDescent="0.2">
      <c r="B519" s="7"/>
    </row>
    <row r="520" spans="2:22" x14ac:dyDescent="0.2">
      <c r="B520" s="7"/>
    </row>
    <row r="521" spans="2:22" x14ac:dyDescent="0.2">
      <c r="B521" s="7"/>
    </row>
    <row r="522" spans="2:22" x14ac:dyDescent="0.2">
      <c r="B522" s="7"/>
    </row>
    <row r="523" spans="2:22" x14ac:dyDescent="0.2">
      <c r="B523" s="7"/>
    </row>
    <row r="524" spans="2:22" x14ac:dyDescent="0.2">
      <c r="B524" s="7"/>
    </row>
    <row r="525" spans="2:22" x14ac:dyDescent="0.2">
      <c r="B525" s="7"/>
    </row>
    <row r="526" spans="2:22" x14ac:dyDescent="0.2">
      <c r="B526" s="7"/>
    </row>
    <row r="527" spans="2:22" x14ac:dyDescent="0.2">
      <c r="B527" s="7"/>
    </row>
    <row r="528" spans="2:22" x14ac:dyDescent="0.2">
      <c r="B528" s="7"/>
    </row>
    <row r="529" spans="2:22" x14ac:dyDescent="0.2">
      <c r="B529" s="7"/>
    </row>
    <row r="530" spans="2:22" x14ac:dyDescent="0.2">
      <c r="B530" s="7"/>
    </row>
    <row r="531" spans="2:22" x14ac:dyDescent="0.2">
      <c r="B531" s="7"/>
    </row>
    <row r="532" spans="2:22" x14ac:dyDescent="0.2">
      <c r="B532" s="7"/>
    </row>
    <row r="533" spans="2:22" x14ac:dyDescent="0.2">
      <c r="B533" s="7"/>
    </row>
    <row r="534" spans="2:22" x14ac:dyDescent="0.2">
      <c r="B534" s="7"/>
    </row>
    <row r="535" spans="2:22" x14ac:dyDescent="0.2">
      <c r="B535" s="7"/>
    </row>
    <row r="536" spans="2:22" x14ac:dyDescent="0.2">
      <c r="B536" s="7"/>
    </row>
    <row r="537" spans="2:22" x14ac:dyDescent="0.2">
      <c r="B537" s="7"/>
    </row>
    <row r="538" spans="2:22" x14ac:dyDescent="0.2">
      <c r="B538" s="7"/>
    </row>
    <row r="539" spans="2:22" ht="15" x14ac:dyDescent="0.25">
      <c r="B539" s="4"/>
      <c r="L539" s="9"/>
      <c r="V539" s="7"/>
    </row>
    <row r="540" spans="2:22" x14ac:dyDescent="0.2">
      <c r="B540" s="4"/>
    </row>
    <row r="541" spans="2:22" x14ac:dyDescent="0.2">
      <c r="B541" s="4"/>
    </row>
    <row r="542" spans="2:22" x14ac:dyDescent="0.2">
      <c r="B542" s="4"/>
    </row>
    <row r="543" spans="2:22" x14ac:dyDescent="0.2">
      <c r="B543" s="4"/>
    </row>
    <row r="544" spans="2:22" x14ac:dyDescent="0.2">
      <c r="B544" s="4"/>
    </row>
    <row r="545" spans="2:22" x14ac:dyDescent="0.2">
      <c r="B545" s="4"/>
    </row>
    <row r="546" spans="2:22" x14ac:dyDescent="0.2">
      <c r="B546" s="4"/>
    </row>
    <row r="547" spans="2:22" x14ac:dyDescent="0.2">
      <c r="B547" s="4"/>
    </row>
    <row r="548" spans="2:22" x14ac:dyDescent="0.2">
      <c r="B548" s="4"/>
    </row>
    <row r="549" spans="2:22" x14ac:dyDescent="0.2">
      <c r="B549" s="4"/>
    </row>
    <row r="550" spans="2:22" x14ac:dyDescent="0.2">
      <c r="B550" s="4"/>
    </row>
    <row r="551" spans="2:22" x14ac:dyDescent="0.2">
      <c r="B551" s="4"/>
    </row>
    <row r="552" spans="2:22" x14ac:dyDescent="0.2">
      <c r="B552" s="4"/>
    </row>
    <row r="553" spans="2:22" x14ac:dyDescent="0.2">
      <c r="B553" s="4"/>
    </row>
    <row r="554" spans="2:22" x14ac:dyDescent="0.2">
      <c r="B554" s="4"/>
    </row>
    <row r="555" spans="2:22" x14ac:dyDescent="0.2">
      <c r="B555" s="4"/>
    </row>
    <row r="556" spans="2:22" x14ac:dyDescent="0.2">
      <c r="B556" s="4"/>
    </row>
    <row r="557" spans="2:22" x14ac:dyDescent="0.2">
      <c r="B557" s="4"/>
    </row>
    <row r="558" spans="2:22" ht="15" x14ac:dyDescent="0.25">
      <c r="B558" s="7"/>
      <c r="L558" s="9"/>
      <c r="V558" s="7"/>
    </row>
    <row r="559" spans="2:22" x14ac:dyDescent="0.2">
      <c r="B559" s="7"/>
    </row>
    <row r="560" spans="2:22" x14ac:dyDescent="0.2">
      <c r="B560" s="7"/>
    </row>
    <row r="561" spans="1:2" x14ac:dyDescent="0.2">
      <c r="B561" s="7"/>
    </row>
    <row r="562" spans="1:2" x14ac:dyDescent="0.2">
      <c r="B562" s="7"/>
    </row>
    <row r="563" spans="1:2" x14ac:dyDescent="0.2">
      <c r="B563" s="7"/>
    </row>
    <row r="564" spans="1:2" x14ac:dyDescent="0.2">
      <c r="B564" s="7"/>
    </row>
    <row r="565" spans="1:2" x14ac:dyDescent="0.2">
      <c r="B565" s="7"/>
    </row>
    <row r="566" spans="1:2" x14ac:dyDescent="0.2">
      <c r="B566" s="7"/>
    </row>
    <row r="567" spans="1:2" x14ac:dyDescent="0.2">
      <c r="A567"/>
      <c r="B567" s="4"/>
    </row>
    <row r="568" spans="1:2" x14ac:dyDescent="0.2">
      <c r="A568"/>
      <c r="B568" s="4"/>
    </row>
    <row r="569" spans="1:2" x14ac:dyDescent="0.2">
      <c r="A569"/>
      <c r="B569" s="4"/>
    </row>
    <row r="570" spans="1:2" x14ac:dyDescent="0.2">
      <c r="A570"/>
      <c r="B570" s="4"/>
    </row>
    <row r="571" spans="1:2" x14ac:dyDescent="0.2">
      <c r="A571"/>
      <c r="B571" s="4"/>
    </row>
    <row r="572" spans="1:2" x14ac:dyDescent="0.2">
      <c r="A572"/>
      <c r="B572" s="4"/>
    </row>
    <row r="573" spans="1:2" x14ac:dyDescent="0.2">
      <c r="A573"/>
      <c r="B573" s="4"/>
    </row>
    <row r="574" spans="1:2" x14ac:dyDescent="0.2">
      <c r="A574"/>
      <c r="B574" s="4"/>
    </row>
    <row r="575" spans="1:2" x14ac:dyDescent="0.2">
      <c r="A575"/>
      <c r="B575" s="4"/>
    </row>
    <row r="576" spans="1:2" x14ac:dyDescent="0.2">
      <c r="A576"/>
      <c r="B576" s="4"/>
    </row>
    <row r="577" spans="1:2" x14ac:dyDescent="0.2">
      <c r="A577"/>
      <c r="B577" s="4"/>
    </row>
    <row r="578" spans="1:2" x14ac:dyDescent="0.2">
      <c r="A578"/>
      <c r="B578" s="4"/>
    </row>
    <row r="579" spans="1:2" x14ac:dyDescent="0.2">
      <c r="A579"/>
      <c r="B579" s="4"/>
    </row>
    <row r="580" spans="1:2" x14ac:dyDescent="0.2">
      <c r="A580"/>
      <c r="B580" s="4"/>
    </row>
    <row r="581" spans="1:2" x14ac:dyDescent="0.2">
      <c r="A581"/>
      <c r="B581" s="4"/>
    </row>
    <row r="582" spans="1:2" x14ac:dyDescent="0.2">
      <c r="A582"/>
      <c r="B582" s="4"/>
    </row>
    <row r="583" spans="1:2" x14ac:dyDescent="0.2">
      <c r="A583"/>
      <c r="B583" s="4"/>
    </row>
    <row r="584" spans="1:2" x14ac:dyDescent="0.2">
      <c r="A584"/>
      <c r="B584" s="4"/>
    </row>
    <row r="585" spans="1:2" x14ac:dyDescent="0.2">
      <c r="A585"/>
      <c r="B585" s="4"/>
    </row>
    <row r="586" spans="1:2" x14ac:dyDescent="0.2">
      <c r="A586"/>
      <c r="B586" s="4"/>
    </row>
    <row r="587" spans="1:2" x14ac:dyDescent="0.2">
      <c r="A587"/>
      <c r="B587" s="4"/>
    </row>
    <row r="588" spans="1:2" x14ac:dyDescent="0.2">
      <c r="A588"/>
      <c r="B588" s="4"/>
    </row>
    <row r="589" spans="1:2" x14ac:dyDescent="0.2">
      <c r="A589"/>
      <c r="B589" s="4"/>
    </row>
    <row r="590" spans="1:2" x14ac:dyDescent="0.2">
      <c r="A590"/>
      <c r="B590" s="4"/>
    </row>
    <row r="591" spans="1:2" x14ac:dyDescent="0.2">
      <c r="A591"/>
      <c r="B591" s="4"/>
    </row>
    <row r="592" spans="1:2" x14ac:dyDescent="0.2">
      <c r="A592"/>
      <c r="B592" s="4"/>
    </row>
    <row r="593" spans="1:2" x14ac:dyDescent="0.2">
      <c r="A593"/>
      <c r="B593" s="4"/>
    </row>
    <row r="594" spans="1:2" x14ac:dyDescent="0.2">
      <c r="A594"/>
      <c r="B594" s="4"/>
    </row>
    <row r="595" spans="1:2" x14ac:dyDescent="0.2">
      <c r="A595"/>
      <c r="B595" s="4"/>
    </row>
    <row r="596" spans="1:2" x14ac:dyDescent="0.2">
      <c r="A596"/>
      <c r="B596" s="4"/>
    </row>
    <row r="597" spans="1:2" x14ac:dyDescent="0.2">
      <c r="A597"/>
      <c r="B597" s="4"/>
    </row>
    <row r="598" spans="1:2" x14ac:dyDescent="0.2">
      <c r="A598"/>
      <c r="B598" s="4"/>
    </row>
    <row r="599" spans="1:2" x14ac:dyDescent="0.2">
      <c r="A599"/>
      <c r="B599" s="4"/>
    </row>
    <row r="600" spans="1:2" x14ac:dyDescent="0.2">
      <c r="A600"/>
      <c r="B600" s="4"/>
    </row>
    <row r="601" spans="1:2" x14ac:dyDescent="0.2">
      <c r="A601"/>
      <c r="B601" s="4"/>
    </row>
    <row r="602" spans="1:2" x14ac:dyDescent="0.2">
      <c r="A602"/>
      <c r="B602" s="4"/>
    </row>
    <row r="603" spans="1:2" x14ac:dyDescent="0.2">
      <c r="A603"/>
      <c r="B603" s="4"/>
    </row>
    <row r="604" spans="1:2" x14ac:dyDescent="0.2">
      <c r="A604"/>
      <c r="B604" s="4"/>
    </row>
    <row r="605" spans="1:2" x14ac:dyDescent="0.2">
      <c r="A605"/>
      <c r="B605" s="4"/>
    </row>
    <row r="606" spans="1:2" x14ac:dyDescent="0.2">
      <c r="A606"/>
      <c r="B606" s="4"/>
    </row>
    <row r="607" spans="1:2" x14ac:dyDescent="0.2">
      <c r="A607"/>
      <c r="B607" s="4"/>
    </row>
    <row r="608" spans="1:2" x14ac:dyDescent="0.2">
      <c r="A608"/>
      <c r="B608" s="4"/>
    </row>
    <row r="609" spans="1:2" x14ac:dyDescent="0.2">
      <c r="A609"/>
      <c r="B609" s="4"/>
    </row>
    <row r="610" spans="1:2" x14ac:dyDescent="0.2">
      <c r="A610"/>
      <c r="B610" s="4"/>
    </row>
    <row r="611" spans="1:2" x14ac:dyDescent="0.2">
      <c r="A611"/>
      <c r="B611" s="4"/>
    </row>
    <row r="612" spans="1:2" x14ac:dyDescent="0.2">
      <c r="A612"/>
      <c r="B612" s="4"/>
    </row>
    <row r="613" spans="1:2" x14ac:dyDescent="0.2">
      <c r="A613"/>
      <c r="B613" s="4"/>
    </row>
    <row r="614" spans="1:2" x14ac:dyDescent="0.2">
      <c r="A614"/>
      <c r="B614" s="4"/>
    </row>
    <row r="615" spans="1:2" x14ac:dyDescent="0.2">
      <c r="A615"/>
      <c r="B615" s="4"/>
    </row>
    <row r="616" spans="1:2" x14ac:dyDescent="0.2">
      <c r="A616"/>
      <c r="B616" s="4"/>
    </row>
    <row r="617" spans="1:2" x14ac:dyDescent="0.2">
      <c r="A617"/>
      <c r="B617" s="4"/>
    </row>
    <row r="618" spans="1:2" x14ac:dyDescent="0.2">
      <c r="A618"/>
      <c r="B618" s="4"/>
    </row>
    <row r="619" spans="1:2" x14ac:dyDescent="0.2">
      <c r="A619"/>
      <c r="B619" s="4"/>
    </row>
    <row r="620" spans="1:2" x14ac:dyDescent="0.2">
      <c r="A620"/>
      <c r="B620" s="4"/>
    </row>
    <row r="621" spans="1:2" x14ac:dyDescent="0.2">
      <c r="A621"/>
      <c r="B621" s="4"/>
    </row>
    <row r="622" spans="1:2" x14ac:dyDescent="0.2">
      <c r="A622"/>
      <c r="B622" s="4"/>
    </row>
    <row r="623" spans="1:2" x14ac:dyDescent="0.2">
      <c r="A623"/>
      <c r="B623" s="4"/>
    </row>
    <row r="624" spans="1:2" x14ac:dyDescent="0.2">
      <c r="A624"/>
      <c r="B624" s="4"/>
    </row>
    <row r="625" spans="1:2" x14ac:dyDescent="0.2">
      <c r="A625"/>
      <c r="B625" s="4"/>
    </row>
    <row r="626" spans="1:2" x14ac:dyDescent="0.2">
      <c r="A626"/>
      <c r="B626" s="4"/>
    </row>
    <row r="627" spans="1:2" x14ac:dyDescent="0.2">
      <c r="A627"/>
      <c r="B627" s="4"/>
    </row>
    <row r="628" spans="1:2" x14ac:dyDescent="0.2">
      <c r="A628"/>
      <c r="B628" s="4"/>
    </row>
    <row r="629" spans="1:2" x14ac:dyDescent="0.2">
      <c r="A629"/>
      <c r="B629" s="4"/>
    </row>
    <row r="630" spans="1:2" x14ac:dyDescent="0.2">
      <c r="A630"/>
      <c r="B630" s="4"/>
    </row>
    <row r="631" spans="1:2" x14ac:dyDescent="0.2">
      <c r="A631"/>
      <c r="B631" s="4"/>
    </row>
    <row r="632" spans="1:2" x14ac:dyDescent="0.2">
      <c r="A632"/>
      <c r="B632" s="4"/>
    </row>
    <row r="633" spans="1:2" x14ac:dyDescent="0.2">
      <c r="A633"/>
      <c r="B633" s="4"/>
    </row>
    <row r="634" spans="1:2" x14ac:dyDescent="0.2">
      <c r="A634"/>
      <c r="B634" s="4"/>
    </row>
    <row r="635" spans="1:2" x14ac:dyDescent="0.2">
      <c r="A635"/>
      <c r="B635" s="4"/>
    </row>
    <row r="636" spans="1:2" x14ac:dyDescent="0.2">
      <c r="A636"/>
      <c r="B636" s="4"/>
    </row>
    <row r="637" spans="1:2" x14ac:dyDescent="0.2">
      <c r="A637"/>
      <c r="B637" s="4"/>
    </row>
    <row r="638" spans="1:2" x14ac:dyDescent="0.2">
      <c r="A638"/>
      <c r="B638" s="4"/>
    </row>
    <row r="639" spans="1:2" x14ac:dyDescent="0.2">
      <c r="A639"/>
      <c r="B639" s="4"/>
    </row>
    <row r="640" spans="1:2" x14ac:dyDescent="0.2">
      <c r="A640"/>
      <c r="B640" s="4"/>
    </row>
    <row r="641" spans="1:22" x14ac:dyDescent="0.2">
      <c r="A641"/>
      <c r="B641" s="4"/>
    </row>
    <row r="642" spans="1:22" x14ac:dyDescent="0.2">
      <c r="A642"/>
      <c r="B642" s="4"/>
    </row>
    <row r="643" spans="1:22" x14ac:dyDescent="0.2">
      <c r="A643"/>
      <c r="B643" s="4"/>
    </row>
    <row r="644" spans="1:22" x14ac:dyDescent="0.2">
      <c r="A644"/>
      <c r="B644" s="4"/>
    </row>
    <row r="645" spans="1:22" ht="15" x14ac:dyDescent="0.25">
      <c r="B645" s="7"/>
      <c r="L645" s="9"/>
      <c r="V645" s="7"/>
    </row>
    <row r="646" spans="1:22" x14ac:dyDescent="0.2">
      <c r="B646" s="7"/>
    </row>
    <row r="647" spans="1:22" x14ac:dyDescent="0.2">
      <c r="B647" s="7"/>
    </row>
    <row r="648" spans="1:22" x14ac:dyDescent="0.2">
      <c r="B648" s="7"/>
    </row>
    <row r="649" spans="1:22" x14ac:dyDescent="0.2">
      <c r="B649" s="7"/>
    </row>
    <row r="650" spans="1:22" ht="15" x14ac:dyDescent="0.25">
      <c r="B650" s="7"/>
      <c r="L650" s="9"/>
      <c r="V650" s="7"/>
    </row>
    <row r="651" spans="1:22" x14ac:dyDescent="0.2">
      <c r="B651" s="7"/>
    </row>
    <row r="652" spans="1:22" x14ac:dyDescent="0.2">
      <c r="B652" s="7"/>
    </row>
    <row r="653" spans="1:22" x14ac:dyDescent="0.2">
      <c r="B653" s="7"/>
    </row>
    <row r="654" spans="1:22" x14ac:dyDescent="0.2">
      <c r="B654" s="7"/>
    </row>
    <row r="655" spans="1:22" x14ac:dyDescent="0.2">
      <c r="B655" s="7"/>
    </row>
    <row r="656" spans="1:22" x14ac:dyDescent="0.2">
      <c r="B656" s="7"/>
    </row>
    <row r="657" spans="2:22" x14ac:dyDescent="0.2">
      <c r="B657" s="7"/>
    </row>
    <row r="658" spans="2:22" x14ac:dyDescent="0.2">
      <c r="B658" s="7"/>
    </row>
    <row r="659" spans="2:22" x14ac:dyDescent="0.2">
      <c r="B659" s="7"/>
    </row>
    <row r="660" spans="2:22" x14ac:dyDescent="0.2">
      <c r="B660" s="7"/>
    </row>
    <row r="661" spans="2:22" x14ac:dyDescent="0.2">
      <c r="B661" s="7"/>
    </row>
    <row r="662" spans="2:22" x14ac:dyDescent="0.2">
      <c r="B662" s="7"/>
    </row>
    <row r="663" spans="2:22" x14ac:dyDescent="0.2">
      <c r="B663" s="7"/>
    </row>
    <row r="664" spans="2:22" x14ac:dyDescent="0.2">
      <c r="B664" s="7"/>
    </row>
    <row r="665" spans="2:22" x14ac:dyDescent="0.2">
      <c r="B665" s="7"/>
    </row>
    <row r="666" spans="2:22" x14ac:dyDescent="0.2">
      <c r="B666" s="7"/>
    </row>
    <row r="667" spans="2:22" x14ac:dyDescent="0.2">
      <c r="B667" s="7"/>
    </row>
    <row r="668" spans="2:22" x14ac:dyDescent="0.2">
      <c r="B668" s="7"/>
    </row>
    <row r="669" spans="2:22" ht="15" x14ac:dyDescent="0.25">
      <c r="B669" s="7"/>
      <c r="L669" s="9"/>
      <c r="V669" s="7"/>
    </row>
    <row r="670" spans="2:22" x14ac:dyDescent="0.2">
      <c r="B670" s="7"/>
    </row>
    <row r="671" spans="2:22" x14ac:dyDescent="0.2">
      <c r="B671" s="7"/>
    </row>
    <row r="672" spans="2:22" x14ac:dyDescent="0.2">
      <c r="B672" s="7"/>
    </row>
    <row r="673" spans="2:2" x14ac:dyDescent="0.2">
      <c r="B673" s="7"/>
    </row>
    <row r="674" spans="2:2" x14ac:dyDescent="0.2">
      <c r="B674" s="7"/>
    </row>
    <row r="675" spans="2:2" x14ac:dyDescent="0.2">
      <c r="B675" s="7"/>
    </row>
    <row r="676" spans="2:2" x14ac:dyDescent="0.2">
      <c r="B676" s="7"/>
    </row>
    <row r="677" spans="2:2" x14ac:dyDescent="0.2">
      <c r="B677" s="7"/>
    </row>
    <row r="678" spans="2:2" x14ac:dyDescent="0.2">
      <c r="B678" s="7"/>
    </row>
    <row r="679" spans="2:2" x14ac:dyDescent="0.2">
      <c r="B679" s="7"/>
    </row>
    <row r="680" spans="2:2" x14ac:dyDescent="0.2">
      <c r="B680" s="7"/>
    </row>
    <row r="681" spans="2:2" x14ac:dyDescent="0.2">
      <c r="B681" s="7"/>
    </row>
    <row r="682" spans="2:2" x14ac:dyDescent="0.2">
      <c r="B682" s="7"/>
    </row>
    <row r="683" spans="2:2" x14ac:dyDescent="0.2">
      <c r="B683" s="7"/>
    </row>
    <row r="684" spans="2:2" x14ac:dyDescent="0.2">
      <c r="B684" s="7"/>
    </row>
    <row r="685" spans="2:2" x14ac:dyDescent="0.2">
      <c r="B685" s="7"/>
    </row>
    <row r="686" spans="2:2" x14ac:dyDescent="0.2">
      <c r="B686" s="7"/>
    </row>
    <row r="687" spans="2:2" x14ac:dyDescent="0.2">
      <c r="B687" s="7"/>
    </row>
    <row r="688" spans="2:2" x14ac:dyDescent="0.2">
      <c r="B688" s="7"/>
    </row>
    <row r="689" spans="2:22" x14ac:dyDescent="0.2">
      <c r="B689" s="7"/>
    </row>
    <row r="690" spans="2:22" x14ac:dyDescent="0.2">
      <c r="B690" s="7"/>
    </row>
    <row r="691" spans="2:22" x14ac:dyDescent="0.2">
      <c r="B691" s="7"/>
    </row>
    <row r="692" spans="2:22" x14ac:dyDescent="0.2">
      <c r="B692" s="7"/>
    </row>
    <row r="693" spans="2:22" x14ac:dyDescent="0.2">
      <c r="B693" s="7"/>
    </row>
    <row r="694" spans="2:22" ht="15" x14ac:dyDescent="0.25">
      <c r="B694" s="7"/>
      <c r="L694" s="9"/>
      <c r="V694" s="7"/>
    </row>
    <row r="695" spans="2:22" x14ac:dyDescent="0.2">
      <c r="B695" s="7"/>
    </row>
    <row r="696" spans="2:22" x14ac:dyDescent="0.2">
      <c r="B696" s="7"/>
    </row>
    <row r="697" spans="2:22" x14ac:dyDescent="0.2">
      <c r="B697" s="7"/>
    </row>
    <row r="698" spans="2:22" x14ac:dyDescent="0.2">
      <c r="B698" s="7"/>
    </row>
    <row r="699" spans="2:22" x14ac:dyDescent="0.2">
      <c r="B699" s="7"/>
    </row>
    <row r="700" spans="2:22" x14ac:dyDescent="0.2">
      <c r="B700" s="7"/>
    </row>
    <row r="701" spans="2:22" x14ac:dyDescent="0.2">
      <c r="B701" s="7"/>
    </row>
    <row r="702" spans="2:22" x14ac:dyDescent="0.2">
      <c r="B702" s="7"/>
    </row>
    <row r="703" spans="2:22" x14ac:dyDescent="0.2">
      <c r="B703" s="7"/>
    </row>
    <row r="704" spans="2:22" x14ac:dyDescent="0.2">
      <c r="B704" s="7"/>
    </row>
    <row r="705" spans="2:22" x14ac:dyDescent="0.2">
      <c r="B705" s="7"/>
    </row>
    <row r="706" spans="2:22" x14ac:dyDescent="0.2">
      <c r="B706" s="7"/>
    </row>
    <row r="707" spans="2:22" x14ac:dyDescent="0.2">
      <c r="B707" s="7"/>
    </row>
    <row r="708" spans="2:22" x14ac:dyDescent="0.2">
      <c r="B708" s="7"/>
    </row>
    <row r="709" spans="2:22" x14ac:dyDescent="0.2">
      <c r="B709" s="7"/>
    </row>
    <row r="710" spans="2:22" ht="15" x14ac:dyDescent="0.25">
      <c r="B710" s="7"/>
      <c r="L710" s="9"/>
      <c r="V710" s="7"/>
    </row>
    <row r="711" spans="2:22" x14ac:dyDescent="0.2">
      <c r="B711" s="7"/>
    </row>
    <row r="712" spans="2:22" x14ac:dyDescent="0.2">
      <c r="B712" s="7"/>
    </row>
    <row r="713" spans="2:22" x14ac:dyDescent="0.2">
      <c r="B713" s="7"/>
    </row>
    <row r="714" spans="2:22" x14ac:dyDescent="0.2">
      <c r="B714" s="7"/>
    </row>
    <row r="715" spans="2:22" x14ac:dyDescent="0.2">
      <c r="B715" s="7"/>
    </row>
    <row r="716" spans="2:22" x14ac:dyDescent="0.2">
      <c r="B716" s="7"/>
    </row>
    <row r="717" spans="2:22" x14ac:dyDescent="0.2">
      <c r="B717" s="7"/>
    </row>
    <row r="718" spans="2:22" x14ac:dyDescent="0.2">
      <c r="B718" s="7"/>
    </row>
    <row r="719" spans="2:22" x14ac:dyDescent="0.2">
      <c r="B719" s="7"/>
    </row>
    <row r="720" spans="2:22" x14ac:dyDescent="0.2">
      <c r="B720" s="7"/>
    </row>
    <row r="721" spans="2:2" x14ac:dyDescent="0.2">
      <c r="B721" s="7"/>
    </row>
    <row r="722" spans="2:2" x14ac:dyDescent="0.2">
      <c r="B722" s="7"/>
    </row>
    <row r="723" spans="2:2" x14ac:dyDescent="0.2">
      <c r="B723" s="7"/>
    </row>
    <row r="724" spans="2:2" x14ac:dyDescent="0.2">
      <c r="B724" s="7"/>
    </row>
    <row r="725" spans="2:2" x14ac:dyDescent="0.2">
      <c r="B725" s="7"/>
    </row>
    <row r="726" spans="2:2" x14ac:dyDescent="0.2">
      <c r="B726" s="7"/>
    </row>
    <row r="727" spans="2:2" x14ac:dyDescent="0.2">
      <c r="B727" s="7"/>
    </row>
    <row r="728" spans="2:2" x14ac:dyDescent="0.2">
      <c r="B728" s="7"/>
    </row>
    <row r="729" spans="2:2" x14ac:dyDescent="0.2">
      <c r="B729" s="7"/>
    </row>
    <row r="730" spans="2:2" x14ac:dyDescent="0.2">
      <c r="B730" s="7"/>
    </row>
    <row r="731" spans="2:2" x14ac:dyDescent="0.2">
      <c r="B731" s="7"/>
    </row>
    <row r="732" spans="2:2" x14ac:dyDescent="0.2">
      <c r="B732" s="7"/>
    </row>
    <row r="733" spans="2:2" x14ac:dyDescent="0.2">
      <c r="B733" s="7"/>
    </row>
    <row r="734" spans="2:2" x14ac:dyDescent="0.2">
      <c r="B734" s="7"/>
    </row>
    <row r="735" spans="2:2" x14ac:dyDescent="0.2">
      <c r="B735" s="7"/>
    </row>
    <row r="736" spans="2:2" x14ac:dyDescent="0.2">
      <c r="B736" s="7"/>
    </row>
    <row r="737" spans="2:22" x14ac:dyDescent="0.2">
      <c r="B737" s="7"/>
    </row>
    <row r="738" spans="2:22" x14ac:dyDescent="0.2">
      <c r="B738" s="7"/>
    </row>
    <row r="739" spans="2:22" x14ac:dyDescent="0.2">
      <c r="B739" s="7"/>
    </row>
    <row r="740" spans="2:22" ht="15" x14ac:dyDescent="0.25">
      <c r="B740" s="7"/>
      <c r="L740" s="9"/>
      <c r="V740" s="7"/>
    </row>
    <row r="741" spans="2:22" x14ac:dyDescent="0.2">
      <c r="B741" s="7"/>
    </row>
    <row r="742" spans="2:22" x14ac:dyDescent="0.2">
      <c r="B742" s="7"/>
    </row>
    <row r="743" spans="2:22" x14ac:dyDescent="0.2">
      <c r="B743" s="7"/>
    </row>
    <row r="744" spans="2:22" x14ac:dyDescent="0.2">
      <c r="B744" s="7"/>
    </row>
    <row r="745" spans="2:22" x14ac:dyDescent="0.2">
      <c r="B745" s="7"/>
    </row>
    <row r="746" spans="2:22" x14ac:dyDescent="0.2">
      <c r="B746" s="7"/>
    </row>
    <row r="747" spans="2:22" x14ac:dyDescent="0.2">
      <c r="B747" s="7"/>
    </row>
    <row r="748" spans="2:22" x14ac:dyDescent="0.2">
      <c r="B748" s="7"/>
    </row>
    <row r="749" spans="2:22" x14ac:dyDescent="0.2">
      <c r="B749" s="7"/>
    </row>
    <row r="750" spans="2:22" x14ac:dyDescent="0.2">
      <c r="B750" s="7"/>
    </row>
    <row r="751" spans="2:22" x14ac:dyDescent="0.2">
      <c r="B751" s="7"/>
    </row>
    <row r="752" spans="2:22" x14ac:dyDescent="0.2">
      <c r="B752" s="7"/>
    </row>
    <row r="753" spans="2:22" x14ac:dyDescent="0.2">
      <c r="B753" s="7"/>
    </row>
    <row r="754" spans="2:22" x14ac:dyDescent="0.2">
      <c r="B754" s="7"/>
    </row>
    <row r="755" spans="2:22" x14ac:dyDescent="0.2">
      <c r="B755" s="7"/>
    </row>
    <row r="756" spans="2:22" x14ac:dyDescent="0.2">
      <c r="B756" s="7"/>
    </row>
    <row r="757" spans="2:22" x14ac:dyDescent="0.2">
      <c r="B757" s="7"/>
    </row>
    <row r="758" spans="2:22" x14ac:dyDescent="0.2">
      <c r="B758" s="7"/>
    </row>
    <row r="759" spans="2:22" x14ac:dyDescent="0.2">
      <c r="B759" s="7"/>
    </row>
    <row r="760" spans="2:22" x14ac:dyDescent="0.2">
      <c r="B760" s="7"/>
    </row>
    <row r="761" spans="2:22" x14ac:dyDescent="0.2">
      <c r="B761" s="7"/>
    </row>
    <row r="762" spans="2:22" x14ac:dyDescent="0.2">
      <c r="B762" s="7"/>
    </row>
    <row r="763" spans="2:22" ht="15" x14ac:dyDescent="0.25">
      <c r="B763" s="7"/>
      <c r="L763" s="9"/>
      <c r="V763" s="7"/>
    </row>
    <row r="764" spans="2:22" x14ac:dyDescent="0.2">
      <c r="B764" s="7"/>
    </row>
    <row r="765" spans="2:22" x14ac:dyDescent="0.2">
      <c r="B765" s="7"/>
    </row>
    <row r="766" spans="2:22" x14ac:dyDescent="0.2">
      <c r="B766" s="7"/>
    </row>
    <row r="767" spans="2:22" x14ac:dyDescent="0.2">
      <c r="B767" s="7"/>
    </row>
    <row r="768" spans="2:22" x14ac:dyDescent="0.2">
      <c r="B768" s="7"/>
    </row>
    <row r="769" spans="2:22" x14ac:dyDescent="0.2">
      <c r="B769" s="7"/>
    </row>
    <row r="770" spans="2:22" x14ac:dyDescent="0.2">
      <c r="B770" s="7"/>
    </row>
    <row r="771" spans="2:22" x14ac:dyDescent="0.2">
      <c r="B771" s="7"/>
    </row>
    <row r="772" spans="2:22" x14ac:dyDescent="0.2">
      <c r="B772" s="7"/>
    </row>
    <row r="773" spans="2:22" x14ac:dyDescent="0.2">
      <c r="B773" s="7"/>
    </row>
    <row r="774" spans="2:22" x14ac:dyDescent="0.2">
      <c r="B774" s="7"/>
    </row>
    <row r="775" spans="2:22" x14ac:dyDescent="0.2">
      <c r="B775" s="7"/>
    </row>
    <row r="776" spans="2:22" x14ac:dyDescent="0.2">
      <c r="B776" s="7"/>
    </row>
    <row r="777" spans="2:22" x14ac:dyDescent="0.2">
      <c r="B777" s="7"/>
    </row>
    <row r="778" spans="2:22" x14ac:dyDescent="0.2">
      <c r="B778" s="7"/>
    </row>
    <row r="779" spans="2:22" ht="15" x14ac:dyDescent="0.25">
      <c r="B779" s="7"/>
      <c r="L779" s="9"/>
      <c r="V779" s="7"/>
    </row>
    <row r="780" spans="2:22" x14ac:dyDescent="0.2">
      <c r="B780" s="7"/>
    </row>
    <row r="781" spans="2:22" x14ac:dyDescent="0.2">
      <c r="B781" s="7"/>
    </row>
    <row r="782" spans="2:22" x14ac:dyDescent="0.2">
      <c r="B782" s="7"/>
    </row>
    <row r="783" spans="2:22" x14ac:dyDescent="0.2">
      <c r="B783" s="7"/>
    </row>
    <row r="784" spans="2:22" x14ac:dyDescent="0.2">
      <c r="B784" s="7"/>
    </row>
    <row r="785" spans="2:22" x14ac:dyDescent="0.2">
      <c r="B785" s="7"/>
    </row>
    <row r="786" spans="2:22" x14ac:dyDescent="0.2">
      <c r="B786" s="7"/>
    </row>
    <row r="787" spans="2:22" x14ac:dyDescent="0.2">
      <c r="B787" s="7"/>
    </row>
    <row r="788" spans="2:22" x14ac:dyDescent="0.2">
      <c r="B788" s="7"/>
    </row>
    <row r="789" spans="2:22" x14ac:dyDescent="0.2">
      <c r="B789" s="7"/>
    </row>
    <row r="790" spans="2:22" x14ac:dyDescent="0.2">
      <c r="B790" s="7"/>
    </row>
    <row r="791" spans="2:22" x14ac:dyDescent="0.2">
      <c r="B791" s="7"/>
    </row>
    <row r="792" spans="2:22" x14ac:dyDescent="0.2">
      <c r="B792" s="7"/>
    </row>
    <row r="793" spans="2:22" x14ac:dyDescent="0.2">
      <c r="B793" s="7"/>
    </row>
    <row r="794" spans="2:22" ht="15" x14ac:dyDescent="0.25">
      <c r="B794" s="7"/>
      <c r="L794" s="9"/>
      <c r="V794" s="7"/>
    </row>
    <row r="795" spans="2:22" x14ac:dyDescent="0.2">
      <c r="B795" s="7"/>
    </row>
    <row r="796" spans="2:22" x14ac:dyDescent="0.2">
      <c r="B796" s="7"/>
    </row>
    <row r="797" spans="2:22" x14ac:dyDescent="0.2">
      <c r="B797" s="7"/>
    </row>
    <row r="798" spans="2:22" x14ac:dyDescent="0.2">
      <c r="B798" s="7"/>
    </row>
    <row r="799" spans="2:22" x14ac:dyDescent="0.2">
      <c r="B799" s="7"/>
    </row>
    <row r="800" spans="2:22" x14ac:dyDescent="0.2">
      <c r="B800" s="7"/>
    </row>
    <row r="801" spans="2:22" x14ac:dyDescent="0.2">
      <c r="B801" s="7"/>
    </row>
    <row r="802" spans="2:22" x14ac:dyDescent="0.2">
      <c r="B802" s="7"/>
    </row>
    <row r="803" spans="2:22" x14ac:dyDescent="0.2">
      <c r="B803" s="7"/>
    </row>
    <row r="804" spans="2:22" x14ac:dyDescent="0.2">
      <c r="B804" s="7"/>
    </row>
    <row r="805" spans="2:22" x14ac:dyDescent="0.2">
      <c r="B805" s="7"/>
    </row>
    <row r="806" spans="2:22" x14ac:dyDescent="0.2">
      <c r="B806" s="7"/>
    </row>
    <row r="807" spans="2:22" x14ac:dyDescent="0.2">
      <c r="B807" s="7"/>
    </row>
    <row r="808" spans="2:22" x14ac:dyDescent="0.2">
      <c r="B808" s="7"/>
    </row>
    <row r="809" spans="2:22" ht="15" x14ac:dyDescent="0.25">
      <c r="B809" s="7"/>
      <c r="L809" s="9"/>
      <c r="V809" s="7"/>
    </row>
    <row r="810" spans="2:22" x14ac:dyDescent="0.2">
      <c r="B810" s="7"/>
    </row>
    <row r="811" spans="2:22" x14ac:dyDescent="0.2">
      <c r="B811" s="7"/>
    </row>
    <row r="812" spans="2:22" x14ac:dyDescent="0.2">
      <c r="B812" s="7"/>
    </row>
    <row r="813" spans="2:22" x14ac:dyDescent="0.2">
      <c r="B813" s="7"/>
    </row>
    <row r="814" spans="2:22" x14ac:dyDescent="0.2">
      <c r="B814" s="7"/>
    </row>
    <row r="815" spans="2:22" x14ac:dyDescent="0.2">
      <c r="B815" s="7"/>
    </row>
    <row r="816" spans="2:22" x14ac:dyDescent="0.2">
      <c r="B816" s="7"/>
    </row>
    <row r="817" spans="2:2" x14ac:dyDescent="0.2">
      <c r="B817" s="7"/>
    </row>
    <row r="818" spans="2:2" x14ac:dyDescent="0.2">
      <c r="B818" s="7"/>
    </row>
    <row r="819" spans="2:2" x14ac:dyDescent="0.2">
      <c r="B819" s="7"/>
    </row>
    <row r="820" spans="2:2" x14ac:dyDescent="0.2">
      <c r="B820" s="7"/>
    </row>
    <row r="821" spans="2:2" x14ac:dyDescent="0.2">
      <c r="B821" s="7"/>
    </row>
    <row r="822" spans="2:2" x14ac:dyDescent="0.2">
      <c r="B822" s="7"/>
    </row>
    <row r="823" spans="2:2" x14ac:dyDescent="0.2">
      <c r="B823" s="7"/>
    </row>
    <row r="824" spans="2:2" x14ac:dyDescent="0.2">
      <c r="B824" s="7"/>
    </row>
    <row r="825" spans="2:2" x14ac:dyDescent="0.2">
      <c r="B825" s="7"/>
    </row>
    <row r="826" spans="2:2" x14ac:dyDescent="0.2">
      <c r="B826" s="7"/>
    </row>
    <row r="827" spans="2:2" x14ac:dyDescent="0.2">
      <c r="B827" s="7"/>
    </row>
    <row r="828" spans="2:2" x14ac:dyDescent="0.2">
      <c r="B828" s="7"/>
    </row>
    <row r="829" spans="2:2" x14ac:dyDescent="0.2">
      <c r="B829" s="7"/>
    </row>
    <row r="830" spans="2:2" x14ac:dyDescent="0.2">
      <c r="B830" s="7"/>
    </row>
    <row r="831" spans="2:2" x14ac:dyDescent="0.2">
      <c r="B831" s="7"/>
    </row>
    <row r="832" spans="2:2" x14ac:dyDescent="0.2">
      <c r="B832" s="7"/>
    </row>
    <row r="833" spans="2:22" x14ac:dyDescent="0.2">
      <c r="B833" s="7"/>
    </row>
    <row r="834" spans="2:22" x14ac:dyDescent="0.2">
      <c r="B834" s="7"/>
    </row>
    <row r="835" spans="2:22" x14ac:dyDescent="0.2">
      <c r="B835" s="7"/>
    </row>
    <row r="836" spans="2:22" x14ac:dyDescent="0.2">
      <c r="B836" s="7"/>
    </row>
    <row r="837" spans="2:22" x14ac:dyDescent="0.2">
      <c r="B837" s="7"/>
    </row>
    <row r="838" spans="2:22" x14ac:dyDescent="0.2">
      <c r="B838" s="7"/>
    </row>
    <row r="839" spans="2:22" x14ac:dyDescent="0.2">
      <c r="B839" s="7"/>
    </row>
    <row r="840" spans="2:22" x14ac:dyDescent="0.2">
      <c r="B840" s="7"/>
    </row>
    <row r="841" spans="2:22" x14ac:dyDescent="0.2">
      <c r="B841" s="7"/>
    </row>
    <row r="842" spans="2:22" ht="15" x14ac:dyDescent="0.25">
      <c r="B842" s="7"/>
      <c r="L842" s="9"/>
      <c r="V842" s="7"/>
    </row>
    <row r="843" spans="2:22" x14ac:dyDescent="0.2">
      <c r="B843" s="7"/>
    </row>
    <row r="844" spans="2:22" x14ac:dyDescent="0.2">
      <c r="B844" s="7"/>
    </row>
    <row r="845" spans="2:22" x14ac:dyDescent="0.2">
      <c r="B845" s="7"/>
    </row>
    <row r="846" spans="2:22" x14ac:dyDescent="0.2">
      <c r="B846" s="7"/>
    </row>
    <row r="847" spans="2:22" x14ac:dyDescent="0.2">
      <c r="B847" s="7"/>
    </row>
    <row r="848" spans="2:22" x14ac:dyDescent="0.2">
      <c r="B848" s="7"/>
    </row>
    <row r="849" spans="2:22" x14ac:dyDescent="0.2">
      <c r="B849" s="7"/>
    </row>
    <row r="850" spans="2:22" x14ac:dyDescent="0.2">
      <c r="B850" s="7"/>
    </row>
    <row r="851" spans="2:22" x14ac:dyDescent="0.2">
      <c r="B851" s="7"/>
    </row>
    <row r="852" spans="2:22" x14ac:dyDescent="0.2">
      <c r="B852" s="7"/>
    </row>
    <row r="853" spans="2:22" x14ac:dyDescent="0.2">
      <c r="B853" s="7"/>
    </row>
    <row r="854" spans="2:22" x14ac:dyDescent="0.2">
      <c r="B854" s="7"/>
    </row>
    <row r="855" spans="2:22" ht="15" x14ac:dyDescent="0.25">
      <c r="B855" s="7"/>
      <c r="L855" s="9"/>
      <c r="V855" s="7"/>
    </row>
    <row r="856" spans="2:22" x14ac:dyDescent="0.2">
      <c r="B856" s="7"/>
    </row>
    <row r="857" spans="2:22" x14ac:dyDescent="0.2">
      <c r="B857" s="7"/>
    </row>
    <row r="858" spans="2:22" x14ac:dyDescent="0.2">
      <c r="B858" s="7"/>
    </row>
    <row r="859" spans="2:22" x14ac:dyDescent="0.2">
      <c r="B859" s="7"/>
    </row>
    <row r="860" spans="2:22" x14ac:dyDescent="0.2">
      <c r="B860" s="7"/>
    </row>
    <row r="861" spans="2:22" x14ac:dyDescent="0.2">
      <c r="B861" s="7"/>
    </row>
    <row r="862" spans="2:22" x14ac:dyDescent="0.2">
      <c r="B862" s="7"/>
    </row>
    <row r="863" spans="2:22" x14ac:dyDescent="0.2">
      <c r="B863" s="7"/>
    </row>
    <row r="864" spans="2:22" x14ac:dyDescent="0.2">
      <c r="B864" s="7"/>
    </row>
    <row r="865" spans="2:22" x14ac:dyDescent="0.2">
      <c r="B865" s="7"/>
    </row>
    <row r="866" spans="2:22" x14ac:dyDescent="0.2">
      <c r="B866" s="7"/>
    </row>
    <row r="867" spans="2:22" x14ac:dyDescent="0.2">
      <c r="B867" s="7"/>
    </row>
    <row r="868" spans="2:22" ht="15" x14ac:dyDescent="0.25">
      <c r="B868" s="7"/>
      <c r="L868" s="9"/>
      <c r="V868" s="7"/>
    </row>
    <row r="869" spans="2:22" x14ac:dyDescent="0.2">
      <c r="B869" s="7"/>
    </row>
    <row r="870" spans="2:22" x14ac:dyDescent="0.2">
      <c r="B870" s="7"/>
    </row>
    <row r="871" spans="2:22" x14ac:dyDescent="0.2">
      <c r="B871" s="7"/>
    </row>
    <row r="872" spans="2:22" x14ac:dyDescent="0.2">
      <c r="B872" s="7"/>
    </row>
    <row r="873" spans="2:22" x14ac:dyDescent="0.2">
      <c r="B873" s="7"/>
    </row>
    <row r="874" spans="2:22" x14ac:dyDescent="0.2">
      <c r="B874" s="7"/>
    </row>
    <row r="875" spans="2:22" ht="13.5" customHeight="1" x14ac:dyDescent="0.2">
      <c r="B875" s="7"/>
    </row>
  </sheetData>
  <conditionalFormatting sqref="F2:F20 G21:G106 F107:F283 G284:G325 F326:F461">
    <cfRule type="cellIs" dxfId="1" priority="1" operator="equal">
      <formula>"AAAC-70"</formula>
    </cfRule>
  </conditionalFormatting>
  <conditionalFormatting sqref="K107:K283 L284:L325 K326:K461 K2:K20 L21:L106">
    <cfRule type="cellIs" priority="3" stopIfTrue="1" operator="greaterThanOrEqual">
      <formula>600</formula>
    </cfRule>
  </conditionalFormatting>
  <conditionalFormatting sqref="K118:K283 L284:L325 K326:K461">
    <cfRule type="cellIs" dxfId="0" priority="2" operator="greaterThanOrEqual">
      <formula>600</formula>
    </cfRule>
  </conditionalFormatting>
  <pageMargins left="0.70866141732283472" right="0.70866141732283472" top="0.74803149606299213" bottom="0.74803149606299213" header="0.31496062992125984" footer="0.31496062992125984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H1300"/>
  <sheetViews>
    <sheetView workbookViewId="0">
      <selection activeCell="G25" sqref="G25"/>
    </sheetView>
  </sheetViews>
  <sheetFormatPr defaultColWidth="11.25" defaultRowHeight="14.25" x14ac:dyDescent="0.2"/>
  <sheetData>
    <row r="1" spans="1:34" ht="44.45" customHeight="1" x14ac:dyDescent="0.2">
      <c r="A1" s="30" t="s">
        <v>46</v>
      </c>
      <c r="B1" s="32" t="s">
        <v>164</v>
      </c>
      <c r="C1" s="32" t="s">
        <v>52</v>
      </c>
      <c r="D1" s="33" t="s">
        <v>53</v>
      </c>
      <c r="E1" s="34" t="s">
        <v>54</v>
      </c>
      <c r="F1" s="35" t="s">
        <v>19</v>
      </c>
      <c r="G1" s="34" t="s">
        <v>3</v>
      </c>
      <c r="H1" s="32" t="s">
        <v>55</v>
      </c>
      <c r="I1" s="36" t="s">
        <v>56</v>
      </c>
      <c r="J1" s="36" t="s">
        <v>57</v>
      </c>
      <c r="K1" s="34" t="s">
        <v>5</v>
      </c>
      <c r="L1" s="36" t="s">
        <v>58</v>
      </c>
      <c r="M1" s="36" t="s">
        <v>59</v>
      </c>
      <c r="N1" s="37" t="s">
        <v>60</v>
      </c>
      <c r="O1" s="38" t="s">
        <v>61</v>
      </c>
      <c r="P1" s="39" t="s">
        <v>62</v>
      </c>
      <c r="Q1" s="40"/>
      <c r="R1" s="41"/>
      <c r="S1" s="29" t="s">
        <v>63</v>
      </c>
      <c r="T1" s="42" t="s">
        <v>64</v>
      </c>
      <c r="U1" s="42" t="s">
        <v>65</v>
      </c>
      <c r="V1" s="43" t="s">
        <v>66</v>
      </c>
      <c r="W1" s="29" t="s">
        <v>67</v>
      </c>
      <c r="X1" s="44" t="s">
        <v>68</v>
      </c>
      <c r="Y1" s="45" t="s">
        <v>69</v>
      </c>
      <c r="Z1" s="45" t="s">
        <v>70</v>
      </c>
      <c r="AA1" s="31" t="s">
        <v>71</v>
      </c>
      <c r="AB1" s="31" t="s">
        <v>47</v>
      </c>
      <c r="AC1" s="31" t="s">
        <v>48</v>
      </c>
      <c r="AD1" s="31" t="s">
        <v>49</v>
      </c>
      <c r="AE1" s="31" t="s">
        <v>22</v>
      </c>
      <c r="AF1" s="31" t="s">
        <v>50</v>
      </c>
      <c r="AG1" s="31" t="s">
        <v>51</v>
      </c>
      <c r="AH1" s="46" t="s">
        <v>27</v>
      </c>
    </row>
    <row r="2" spans="1:34" x14ac:dyDescent="0.2">
      <c r="A2">
        <f>+DB!C2</f>
        <v>0</v>
      </c>
      <c r="B2" t="str">
        <f>+DB!D2</f>
        <v>DT-0</v>
      </c>
      <c r="C2">
        <f>+DB!E2</f>
        <v>0</v>
      </c>
      <c r="D2">
        <f>+IF(B2="PSEC-0PA","K",0)</f>
        <v>0</v>
      </c>
      <c r="E2">
        <f>+DB!G2</f>
        <v>0</v>
      </c>
      <c r="F2">
        <f>+DB!H2</f>
        <v>252</v>
      </c>
      <c r="G2">
        <f>+DB!N2</f>
        <v>47.23</v>
      </c>
      <c r="H2">
        <f>+DB!O2</f>
        <v>43.19</v>
      </c>
      <c r="I2">
        <f>+DB!I2</f>
        <v>0</v>
      </c>
      <c r="J2" t="str">
        <f>+DB!J2</f>
        <v>0°</v>
      </c>
      <c r="K2">
        <f>+DB!L2</f>
        <v>0</v>
      </c>
      <c r="L2" t="str">
        <f>+LEFT(N2,2)</f>
        <v>13</v>
      </c>
      <c r="M2" t="str">
        <f>+IF(LEFT(DB!M2,3)="13/","CAC","MAD")</f>
        <v>CAC</v>
      </c>
      <c r="N2" t="str">
        <f>+RIGHT(DB!M2,6)</f>
        <v>13/200</v>
      </c>
      <c r="O2">
        <v>95</v>
      </c>
      <c r="P2">
        <v>5</v>
      </c>
      <c r="Q2">
        <f>+DB!AB2</f>
        <v>0</v>
      </c>
      <c r="R2">
        <f>+DB!K2</f>
        <v>86.38</v>
      </c>
      <c r="S2" t="str">
        <f>+DB!F2</f>
        <v>AAAC-35</v>
      </c>
      <c r="T2">
        <f>+IF(DB!F2="AAAC-35",1,3)</f>
        <v>1</v>
      </c>
      <c r="U2">
        <f>+DB!R2</f>
        <v>0</v>
      </c>
      <c r="V2">
        <f>+IF(DB!P2="1RI",1,0)+IF(DB!P2="2RI",2,0)</f>
        <v>0</v>
      </c>
      <c r="W2">
        <f>+IF(DB!P2="1RV",1,0)+IF(DB!P2="2RV",2,0)</f>
        <v>0</v>
      </c>
      <c r="X2">
        <f>+IF(DB!P2="RYI",1,0)</f>
        <v>0</v>
      </c>
      <c r="Y2">
        <f>+IF(DB!P2="RYV",1,0)</f>
        <v>0</v>
      </c>
      <c r="Z2">
        <f>+DB!U2</f>
        <v>0</v>
      </c>
      <c r="AA2">
        <f>+IF(DB!F2="AAAC-35",19.5,33)</f>
        <v>19.5</v>
      </c>
      <c r="AB2">
        <f>+DB!V2</f>
        <v>0</v>
      </c>
      <c r="AC2" t="str">
        <f>+IF(F2&gt;1675,"56-5","56-4")</f>
        <v>56-4</v>
      </c>
      <c r="AD2" s="21" t="s">
        <v>72</v>
      </c>
      <c r="AE2">
        <f>+DB!X2</f>
        <v>0</v>
      </c>
      <c r="AF2" s="22">
        <f>+DB!Y2</f>
        <v>0</v>
      </c>
      <c r="AG2">
        <f>+DB!AK2</f>
        <v>0</v>
      </c>
    </row>
    <row r="3" spans="1:34" x14ac:dyDescent="0.2">
      <c r="A3">
        <f>+DB!C3</f>
        <v>1</v>
      </c>
      <c r="B3" t="str">
        <f>+DB!D3</f>
        <v>PSEC-0P</v>
      </c>
      <c r="C3">
        <f>+DB!E3</f>
        <v>0</v>
      </c>
      <c r="D3">
        <f t="shared" ref="D3:D66" si="0">+IF(B3="PSEC-0PA","K",0)</f>
        <v>0</v>
      </c>
      <c r="E3">
        <f>+DB!G3</f>
        <v>86.38</v>
      </c>
      <c r="F3">
        <f>+DB!H3</f>
        <v>250</v>
      </c>
      <c r="G3">
        <f>+DB!N3</f>
        <v>125.33</v>
      </c>
      <c r="H3">
        <f>+DB!O3</f>
        <v>136.22</v>
      </c>
      <c r="I3" t="str">
        <f>+DB!I3</f>
        <v>P1</v>
      </c>
      <c r="J3" t="str">
        <f>+DB!J3</f>
        <v>-4°52'16.80"</v>
      </c>
      <c r="K3">
        <f>+DB!L3</f>
        <v>1</v>
      </c>
      <c r="L3" t="str">
        <f t="shared" ref="L3:L66" si="1">+LEFT(N3,2)</f>
        <v>13</v>
      </c>
      <c r="M3" t="str">
        <f>+IF(LEFT(DB!M3,3)="13/","CAC","MAD")</f>
        <v>CAC</v>
      </c>
      <c r="N3" t="str">
        <f>+RIGHT(DB!M3,6)</f>
        <v>13/300</v>
      </c>
      <c r="O3">
        <v>95</v>
      </c>
      <c r="P3">
        <v>5</v>
      </c>
      <c r="Q3">
        <f>+DB!AB3</f>
        <v>0</v>
      </c>
      <c r="R3">
        <f>+DB!K3</f>
        <v>186.07</v>
      </c>
      <c r="S3" t="str">
        <f>+DB!F3</f>
        <v>AAAC-35</v>
      </c>
      <c r="T3">
        <f>+IF(DB!F3="AAAC-35",1,3)</f>
        <v>1</v>
      </c>
      <c r="U3">
        <f>+DB!R3</f>
        <v>0</v>
      </c>
      <c r="V3">
        <f>+IF(DB!P3="1RI",1,0)+IF(DB!P3="2RI",2,0)</f>
        <v>1</v>
      </c>
      <c r="W3">
        <f>+IF(DB!P3="1RV",1,0)+IF(DB!P3="2RV",2,0)</f>
        <v>0</v>
      </c>
      <c r="X3">
        <f>+IF(DB!P3="RYI",1,0)</f>
        <v>0</v>
      </c>
      <c r="Y3">
        <f>+IF(DB!P3="RYV",1,0)</f>
        <v>0</v>
      </c>
      <c r="Z3" t="str">
        <f>+DB!U3</f>
        <v>PAT-1</v>
      </c>
      <c r="AA3">
        <f>+IF(DB!F3="AAAC-35",19.5,33)</f>
        <v>19.5</v>
      </c>
      <c r="AB3" t="str">
        <f>+DB!V3</f>
        <v>CIM3</v>
      </c>
      <c r="AC3" t="str">
        <f t="shared" ref="AC3:AC66" si="2">+IF(F3&gt;1675,"56-5","56-4")</f>
        <v>56-4</v>
      </c>
      <c r="AD3" s="21" t="s">
        <v>72</v>
      </c>
      <c r="AE3">
        <f>+DB!X3</f>
        <v>0</v>
      </c>
      <c r="AF3" s="22">
        <f>+DB!Y3</f>
        <v>0</v>
      </c>
      <c r="AG3">
        <f>+DB!AK3</f>
        <v>0</v>
      </c>
    </row>
    <row r="4" spans="1:34" x14ac:dyDescent="0.2">
      <c r="A4">
        <f>+DB!C4</f>
        <v>2</v>
      </c>
      <c r="B4" t="str">
        <f>+DB!D4</f>
        <v>PS1-0</v>
      </c>
      <c r="C4">
        <f>+DB!E4</f>
        <v>0</v>
      </c>
      <c r="D4">
        <f t="shared" si="0"/>
        <v>0</v>
      </c>
      <c r="E4">
        <f>+DB!G4</f>
        <v>272.45</v>
      </c>
      <c r="F4">
        <f>+DB!H4</f>
        <v>251</v>
      </c>
      <c r="G4">
        <f>+DB!N4</f>
        <v>189.24</v>
      </c>
      <c r="H4">
        <f>+DB!O4</f>
        <v>186.81</v>
      </c>
      <c r="I4">
        <f>+DB!I4</f>
        <v>0</v>
      </c>
      <c r="J4" t="str">
        <f>+DB!J4</f>
        <v>0°</v>
      </c>
      <c r="K4">
        <f>+DB!L4</f>
        <v>1</v>
      </c>
      <c r="L4" t="str">
        <f t="shared" si="1"/>
        <v>13</v>
      </c>
      <c r="M4" t="str">
        <f>+IF(LEFT(DB!M4,3)="13/","CAC","MAD")</f>
        <v>CAC</v>
      </c>
      <c r="N4" t="str">
        <f>+RIGHT(DB!M4,6)</f>
        <v>13/200</v>
      </c>
      <c r="O4">
        <v>95</v>
      </c>
      <c r="P4">
        <v>5</v>
      </c>
      <c r="Q4">
        <f>+DB!AB4</f>
        <v>0</v>
      </c>
      <c r="R4">
        <f>+DB!K4</f>
        <v>187.55</v>
      </c>
      <c r="S4" t="str">
        <f>+DB!F4</f>
        <v>AAAC-35</v>
      </c>
      <c r="T4">
        <f>+IF(DB!F4="AAAC-35",1,3)</f>
        <v>1</v>
      </c>
      <c r="U4">
        <f>+DB!R4</f>
        <v>0</v>
      </c>
      <c r="V4">
        <f>+IF(DB!P4="1RI",1,0)+IF(DB!P4="2RI",2,0)</f>
        <v>0</v>
      </c>
      <c r="W4">
        <f>+IF(DB!P4="1RV",1,0)+IF(DB!P4="2RV",2,0)</f>
        <v>0</v>
      </c>
      <c r="X4">
        <f>+IF(DB!P4="RYI",1,0)</f>
        <v>0</v>
      </c>
      <c r="Y4">
        <f>+IF(DB!P4="RYV",1,0)</f>
        <v>0</v>
      </c>
      <c r="Z4" t="str">
        <f>+DB!U4</f>
        <v>PAT-0</v>
      </c>
      <c r="AA4">
        <f>+IF(DB!F4="AAAC-35",19.5,33)</f>
        <v>19.5</v>
      </c>
      <c r="AB4" t="str">
        <f>+DB!V4</f>
        <v>CIM3</v>
      </c>
      <c r="AC4" t="str">
        <f t="shared" si="2"/>
        <v>56-4</v>
      </c>
      <c r="AD4" s="21" t="s">
        <v>72</v>
      </c>
      <c r="AE4">
        <f>+DB!X4</f>
        <v>0</v>
      </c>
      <c r="AF4" s="22">
        <f>+DB!Y4</f>
        <v>0</v>
      </c>
      <c r="AG4">
        <f>+DB!AK4</f>
        <v>0</v>
      </c>
    </row>
    <row r="5" spans="1:34" x14ac:dyDescent="0.2">
      <c r="A5">
        <f>+DB!C5</f>
        <v>3</v>
      </c>
      <c r="B5" t="str">
        <f>+DB!D5</f>
        <v>PS1-0</v>
      </c>
      <c r="C5">
        <f>+DB!E5</f>
        <v>0</v>
      </c>
      <c r="D5">
        <f t="shared" si="0"/>
        <v>0</v>
      </c>
      <c r="E5">
        <f>+DB!G5</f>
        <v>459.99</v>
      </c>
      <c r="F5">
        <f>+DB!H5</f>
        <v>252</v>
      </c>
      <c r="G5">
        <f>+DB!N5</f>
        <v>182.49</v>
      </c>
      <c r="H5">
        <f>+DB!O5</f>
        <v>187.21</v>
      </c>
      <c r="I5">
        <f>+DB!I5</f>
        <v>0</v>
      </c>
      <c r="J5" t="str">
        <f>+DB!J5</f>
        <v>0°</v>
      </c>
      <c r="K5">
        <f>+DB!L5</f>
        <v>1</v>
      </c>
      <c r="L5" t="str">
        <f t="shared" si="1"/>
        <v>13</v>
      </c>
      <c r="M5" t="str">
        <f>+IF(LEFT(DB!M5,3)="13/","CAC","MAD")</f>
        <v>CAC</v>
      </c>
      <c r="N5" t="str">
        <f>+RIGHT(DB!M5,6)</f>
        <v>13/200</v>
      </c>
      <c r="O5">
        <v>95</v>
      </c>
      <c r="P5">
        <v>5</v>
      </c>
      <c r="Q5">
        <f>+DB!AB5</f>
        <v>0</v>
      </c>
      <c r="R5">
        <f>+DB!K5</f>
        <v>186.87</v>
      </c>
      <c r="S5" t="str">
        <f>+DB!F5</f>
        <v>AAAC-35</v>
      </c>
      <c r="T5">
        <f>+IF(DB!F5="AAAC-35",1,3)</f>
        <v>1</v>
      </c>
      <c r="U5">
        <f>+DB!R5</f>
        <v>0</v>
      </c>
      <c r="V5">
        <f>+IF(DB!P5="1RI",1,0)+IF(DB!P5="2RI",2,0)</f>
        <v>0</v>
      </c>
      <c r="W5">
        <f>+IF(DB!P5="1RV",1,0)+IF(DB!P5="2RV",2,0)</f>
        <v>0</v>
      </c>
      <c r="X5">
        <f>+IF(DB!P5="RYI",1,0)</f>
        <v>0</v>
      </c>
      <c r="Y5">
        <f>+IF(DB!P5="RYV",1,0)</f>
        <v>0</v>
      </c>
      <c r="Z5" t="str">
        <f>+DB!U5</f>
        <v>PAT-0</v>
      </c>
      <c r="AA5">
        <f>+IF(DB!F5="AAAC-35",19.5,33)</f>
        <v>19.5</v>
      </c>
      <c r="AB5" t="str">
        <f>+DB!V5</f>
        <v>CIM3</v>
      </c>
      <c r="AC5" t="str">
        <f t="shared" si="2"/>
        <v>56-4</v>
      </c>
      <c r="AD5" s="21" t="s">
        <v>72</v>
      </c>
      <c r="AE5">
        <f>+DB!X5</f>
        <v>0</v>
      </c>
      <c r="AF5" s="22">
        <f>+DB!Y5</f>
        <v>0</v>
      </c>
      <c r="AG5">
        <f>+DB!AK5</f>
        <v>0</v>
      </c>
    </row>
    <row r="6" spans="1:34" x14ac:dyDescent="0.2">
      <c r="A6">
        <f>+DB!C6</f>
        <v>4</v>
      </c>
      <c r="B6" t="str">
        <f>+DB!D6</f>
        <v>PS1-0</v>
      </c>
      <c r="C6">
        <f>+DB!E6</f>
        <v>0</v>
      </c>
      <c r="D6">
        <f t="shared" si="0"/>
        <v>0</v>
      </c>
      <c r="E6">
        <f>+DB!G6</f>
        <v>646.86</v>
      </c>
      <c r="F6">
        <f>+DB!H6</f>
        <v>254</v>
      </c>
      <c r="G6">
        <f>+DB!N6</f>
        <v>203.31</v>
      </c>
      <c r="H6">
        <f>+DB!O6</f>
        <v>187.91</v>
      </c>
      <c r="I6">
        <f>+DB!I6</f>
        <v>0</v>
      </c>
      <c r="J6" t="str">
        <f>+DB!J6</f>
        <v>0°</v>
      </c>
      <c r="K6">
        <f>+DB!L6</f>
        <v>1</v>
      </c>
      <c r="L6" t="str">
        <f t="shared" si="1"/>
        <v>13</v>
      </c>
      <c r="M6" t="str">
        <f>+IF(LEFT(DB!M6,3)="13/","CAC","MAD")</f>
        <v>CAC</v>
      </c>
      <c r="N6" t="str">
        <f>+RIGHT(DB!M6,6)</f>
        <v>13/200</v>
      </c>
      <c r="O6">
        <v>95</v>
      </c>
      <c r="P6">
        <v>5</v>
      </c>
      <c r="Q6">
        <f>+DB!AB6</f>
        <v>0</v>
      </c>
      <c r="R6">
        <f>+DB!K6</f>
        <v>188.96</v>
      </c>
      <c r="S6" t="str">
        <f>+DB!F6</f>
        <v>AAAC-35</v>
      </c>
      <c r="T6">
        <f>+IF(DB!F6="AAAC-35",1,3)</f>
        <v>1</v>
      </c>
      <c r="U6">
        <f>+DB!R6</f>
        <v>0</v>
      </c>
      <c r="V6">
        <f>+IF(DB!P6="1RI",1,0)+IF(DB!P6="2RI",2,0)</f>
        <v>0</v>
      </c>
      <c r="W6">
        <f>+IF(DB!P6="1RV",1,0)+IF(DB!P6="2RV",2,0)</f>
        <v>0</v>
      </c>
      <c r="X6">
        <f>+IF(DB!P6="RYI",1,0)</f>
        <v>0</v>
      </c>
      <c r="Y6">
        <f>+IF(DB!P6="RYV",1,0)</f>
        <v>0</v>
      </c>
      <c r="Z6" t="str">
        <f>+DB!U6</f>
        <v>PAT-0</v>
      </c>
      <c r="AA6">
        <f>+IF(DB!F6="AAAC-35",19.5,33)</f>
        <v>19.5</v>
      </c>
      <c r="AB6" t="str">
        <f>+DB!V6</f>
        <v>CIM3</v>
      </c>
      <c r="AC6" t="str">
        <f t="shared" si="2"/>
        <v>56-4</v>
      </c>
      <c r="AD6" s="21" t="s">
        <v>72</v>
      </c>
      <c r="AE6">
        <f>+DB!X6</f>
        <v>0</v>
      </c>
      <c r="AF6" s="22">
        <f>+DB!Y6</f>
        <v>0</v>
      </c>
      <c r="AG6">
        <f>+DB!AK6</f>
        <v>0</v>
      </c>
    </row>
    <row r="7" spans="1:34" x14ac:dyDescent="0.2">
      <c r="A7">
        <f>+DB!C7</f>
        <v>5</v>
      </c>
      <c r="B7" t="str">
        <f>+DB!D7</f>
        <v>PS1-0</v>
      </c>
      <c r="C7">
        <f>+DB!E7</f>
        <v>0</v>
      </c>
      <c r="D7">
        <f t="shared" si="0"/>
        <v>0</v>
      </c>
      <c r="E7">
        <f>+DB!G7</f>
        <v>835.82</v>
      </c>
      <c r="F7">
        <f>+DB!H7</f>
        <v>253</v>
      </c>
      <c r="G7">
        <f>+DB!N7</f>
        <v>182.78</v>
      </c>
      <c r="H7">
        <f>+DB!O7</f>
        <v>184.65</v>
      </c>
      <c r="I7">
        <f>+DB!I7</f>
        <v>0</v>
      </c>
      <c r="J7" t="str">
        <f>+DB!J7</f>
        <v>0°</v>
      </c>
      <c r="K7">
        <f>+DB!L7</f>
        <v>1</v>
      </c>
      <c r="L7" t="str">
        <f t="shared" si="1"/>
        <v>13</v>
      </c>
      <c r="M7" t="str">
        <f>+IF(LEFT(DB!M7,3)="13/","CAC","MAD")</f>
        <v>CAC</v>
      </c>
      <c r="N7" t="str">
        <f>+RIGHT(DB!M7,6)</f>
        <v>13/200</v>
      </c>
      <c r="O7">
        <v>95</v>
      </c>
      <c r="P7">
        <v>5</v>
      </c>
      <c r="Q7">
        <f>+DB!AB7</f>
        <v>0</v>
      </c>
      <c r="R7">
        <f>+DB!K7</f>
        <v>180.34</v>
      </c>
      <c r="S7" t="str">
        <f>+DB!F7</f>
        <v>AAAC-35</v>
      </c>
      <c r="T7">
        <f>+IF(DB!F7="AAAC-35",1,3)</f>
        <v>1</v>
      </c>
      <c r="U7">
        <f>+DB!R7</f>
        <v>0</v>
      </c>
      <c r="V7">
        <f>+IF(DB!P7="1RI",1,0)+IF(DB!P7="2RI",2,0)</f>
        <v>0</v>
      </c>
      <c r="W7">
        <f>+IF(DB!P7="1RV",1,0)+IF(DB!P7="2RV",2,0)</f>
        <v>0</v>
      </c>
      <c r="X7">
        <f>+IF(DB!P7="RYI",1,0)</f>
        <v>0</v>
      </c>
      <c r="Y7">
        <f>+IF(DB!P7="RYV",1,0)</f>
        <v>0</v>
      </c>
      <c r="Z7" t="str">
        <f>+DB!U7</f>
        <v>PAT-0</v>
      </c>
      <c r="AA7">
        <f>+IF(DB!F7="AAAC-35",19.5,33)</f>
        <v>19.5</v>
      </c>
      <c r="AB7" t="str">
        <f>+DB!V7</f>
        <v>CIM3</v>
      </c>
      <c r="AC7" t="str">
        <f t="shared" si="2"/>
        <v>56-4</v>
      </c>
      <c r="AD7" s="21" t="s">
        <v>72</v>
      </c>
      <c r="AE7">
        <f>+DB!X7</f>
        <v>0</v>
      </c>
      <c r="AF7" s="22">
        <f>+DB!Y7</f>
        <v>0</v>
      </c>
      <c r="AG7">
        <f>+DB!AK7</f>
        <v>0</v>
      </c>
    </row>
    <row r="8" spans="1:34" x14ac:dyDescent="0.2">
      <c r="A8">
        <f>+DB!C8</f>
        <v>6</v>
      </c>
      <c r="B8" t="str">
        <f>+DB!D8</f>
        <v>PS1-0</v>
      </c>
      <c r="C8">
        <f>+DB!E8</f>
        <v>0</v>
      </c>
      <c r="D8">
        <f t="shared" si="0"/>
        <v>0</v>
      </c>
      <c r="E8">
        <f>+DB!G8</f>
        <v>1016.16</v>
      </c>
      <c r="F8">
        <f>+DB!H8</f>
        <v>252.44</v>
      </c>
      <c r="G8">
        <f>+DB!N8</f>
        <v>178.61</v>
      </c>
      <c r="H8">
        <f>+DB!O8</f>
        <v>188.9</v>
      </c>
      <c r="I8">
        <f>+DB!I8</f>
        <v>0</v>
      </c>
      <c r="J8" t="str">
        <f>+DB!J8</f>
        <v>0°</v>
      </c>
      <c r="K8">
        <f>+DB!L8</f>
        <v>1</v>
      </c>
      <c r="L8" t="str">
        <f t="shared" si="1"/>
        <v>13</v>
      </c>
      <c r="M8" t="str">
        <f>+IF(LEFT(DB!M8,3)="13/","CAC","MAD")</f>
        <v>CAC</v>
      </c>
      <c r="N8" t="str">
        <f>+RIGHT(DB!M8,6)</f>
        <v>13/200</v>
      </c>
      <c r="O8">
        <v>95</v>
      </c>
      <c r="P8">
        <v>5</v>
      </c>
      <c r="Q8">
        <f>+DB!AB8</f>
        <v>0</v>
      </c>
      <c r="R8">
        <f>+DB!K8</f>
        <v>197.47</v>
      </c>
      <c r="S8" t="str">
        <f>+DB!F8</f>
        <v>AAAC-35</v>
      </c>
      <c r="T8">
        <f>+IF(DB!F8="AAAC-35",1,3)</f>
        <v>1</v>
      </c>
      <c r="U8">
        <f>+DB!R8</f>
        <v>0</v>
      </c>
      <c r="V8">
        <f>+IF(DB!P8="1RI",1,0)+IF(DB!P8="2RI",2,0)</f>
        <v>0</v>
      </c>
      <c r="W8">
        <f>+IF(DB!P8="1RV",1,0)+IF(DB!P8="2RV",2,0)</f>
        <v>0</v>
      </c>
      <c r="X8">
        <f>+IF(DB!P8="RYI",1,0)</f>
        <v>0</v>
      </c>
      <c r="Y8">
        <f>+IF(DB!P8="RYV",1,0)</f>
        <v>0</v>
      </c>
      <c r="Z8" t="str">
        <f>+DB!U8</f>
        <v>PAT-0</v>
      </c>
      <c r="AA8">
        <f>+IF(DB!F8="AAAC-35",19.5,33)</f>
        <v>19.5</v>
      </c>
      <c r="AB8" t="str">
        <f>+DB!V8</f>
        <v>CIM3</v>
      </c>
      <c r="AC8" t="str">
        <f t="shared" si="2"/>
        <v>56-4</v>
      </c>
      <c r="AD8" s="21" t="s">
        <v>72</v>
      </c>
      <c r="AE8">
        <f>+DB!X8</f>
        <v>0</v>
      </c>
      <c r="AF8" s="22">
        <f>+DB!Y8</f>
        <v>0</v>
      </c>
      <c r="AG8">
        <f>+DB!AK8</f>
        <v>0</v>
      </c>
    </row>
    <row r="9" spans="1:34" x14ac:dyDescent="0.2">
      <c r="A9">
        <f>+DB!C9</f>
        <v>7</v>
      </c>
      <c r="B9" t="str">
        <f>+DB!D9</f>
        <v>PS1-0</v>
      </c>
      <c r="C9">
        <f>+DB!E9</f>
        <v>0</v>
      </c>
      <c r="D9">
        <f t="shared" si="0"/>
        <v>0</v>
      </c>
      <c r="E9">
        <f>+DB!G9</f>
        <v>1213.6300000000001</v>
      </c>
      <c r="F9">
        <f>+DB!H9</f>
        <v>254</v>
      </c>
      <c r="G9">
        <f>+DB!N9</f>
        <v>223.31</v>
      </c>
      <c r="H9">
        <f>+DB!O9</f>
        <v>189.94</v>
      </c>
      <c r="I9">
        <f>+DB!I9</f>
        <v>0</v>
      </c>
      <c r="J9" t="str">
        <f>+DB!J9</f>
        <v>0°</v>
      </c>
      <c r="K9">
        <f>+DB!L9</f>
        <v>1</v>
      </c>
      <c r="L9" t="str">
        <f t="shared" si="1"/>
        <v>13</v>
      </c>
      <c r="M9" t="str">
        <f>+IF(LEFT(DB!M9,3)="13/","CAC","MAD")</f>
        <v>CAC</v>
      </c>
      <c r="N9" t="str">
        <f>+RIGHT(DB!M9,6)</f>
        <v>13/200</v>
      </c>
      <c r="O9">
        <v>95</v>
      </c>
      <c r="P9">
        <v>5</v>
      </c>
      <c r="Q9">
        <f>+DB!AB9</f>
        <v>0</v>
      </c>
      <c r="R9">
        <f>+DB!K9</f>
        <v>182.42</v>
      </c>
      <c r="S9" t="str">
        <f>+DB!F9</f>
        <v>AAAC-35</v>
      </c>
      <c r="T9">
        <f>+IF(DB!F9="AAAC-35",1,3)</f>
        <v>1</v>
      </c>
      <c r="U9">
        <f>+DB!R9</f>
        <v>0</v>
      </c>
      <c r="V9">
        <f>+IF(DB!P9="1RI",1,0)+IF(DB!P9="2RI",2,0)</f>
        <v>0</v>
      </c>
      <c r="W9">
        <f>+IF(DB!P9="1RV",1,0)+IF(DB!P9="2RV",2,0)</f>
        <v>0</v>
      </c>
      <c r="X9">
        <f>+IF(DB!P9="RYI",1,0)</f>
        <v>0</v>
      </c>
      <c r="Y9">
        <f>+IF(DB!P9="RYV",1,0)</f>
        <v>0</v>
      </c>
      <c r="Z9" t="str">
        <f>+DB!U9</f>
        <v>PAT-0</v>
      </c>
      <c r="AA9">
        <f>+IF(DB!F9="AAAC-35",19.5,33)</f>
        <v>19.5</v>
      </c>
      <c r="AB9" t="str">
        <f>+DB!V9</f>
        <v>CIM3</v>
      </c>
      <c r="AC9" t="str">
        <f t="shared" si="2"/>
        <v>56-4</v>
      </c>
      <c r="AD9" s="21" t="s">
        <v>72</v>
      </c>
      <c r="AE9">
        <f>+DB!X9</f>
        <v>0</v>
      </c>
      <c r="AF9" s="22">
        <f>+DB!Y9</f>
        <v>0</v>
      </c>
      <c r="AG9">
        <f>+DB!AK9</f>
        <v>0</v>
      </c>
    </row>
    <row r="10" spans="1:34" x14ac:dyDescent="0.2">
      <c r="A10">
        <f>+DB!C10</f>
        <v>8</v>
      </c>
      <c r="B10" t="str">
        <f>+DB!D10</f>
        <v>PS1-0</v>
      </c>
      <c r="C10">
        <f>+DB!E10</f>
        <v>0</v>
      </c>
      <c r="D10">
        <f t="shared" si="0"/>
        <v>0</v>
      </c>
      <c r="E10">
        <f>+DB!G10</f>
        <v>1396.05</v>
      </c>
      <c r="F10">
        <f>+DB!H10</f>
        <v>249</v>
      </c>
      <c r="G10">
        <f>+DB!N10</f>
        <v>158</v>
      </c>
      <c r="H10">
        <f>+DB!O10</f>
        <v>182.91</v>
      </c>
      <c r="I10">
        <f>+DB!I10</f>
        <v>0</v>
      </c>
      <c r="J10" t="str">
        <f>+DB!J10</f>
        <v>0°</v>
      </c>
      <c r="K10">
        <f>+DB!L10</f>
        <v>1</v>
      </c>
      <c r="L10" t="str">
        <f t="shared" si="1"/>
        <v>13</v>
      </c>
      <c r="M10" t="str">
        <f>+IF(LEFT(DB!M10,3)="13/","CAC","MAD")</f>
        <v>CAC</v>
      </c>
      <c r="N10" t="str">
        <f>+RIGHT(DB!M10,6)</f>
        <v>13/200</v>
      </c>
      <c r="O10">
        <v>95</v>
      </c>
      <c r="P10">
        <v>5</v>
      </c>
      <c r="Q10">
        <f>+DB!AB10</f>
        <v>0</v>
      </c>
      <c r="R10">
        <f>+DB!K10</f>
        <v>183.39</v>
      </c>
      <c r="S10" t="str">
        <f>+DB!F10</f>
        <v>AAAC-35</v>
      </c>
      <c r="T10">
        <f>+IF(DB!F10="AAAC-35",1,3)</f>
        <v>1</v>
      </c>
      <c r="U10">
        <f>+DB!R10</f>
        <v>0</v>
      </c>
      <c r="V10">
        <f>+IF(DB!P10="1RI",1,0)+IF(DB!P10="2RI",2,0)</f>
        <v>0</v>
      </c>
      <c r="W10">
        <f>+IF(DB!P10="1RV",1,0)+IF(DB!P10="2RV",2,0)</f>
        <v>0</v>
      </c>
      <c r="X10">
        <f>+IF(DB!P10="RYI",1,0)</f>
        <v>0</v>
      </c>
      <c r="Y10">
        <f>+IF(DB!P10="RYV",1,0)</f>
        <v>0</v>
      </c>
      <c r="Z10" t="str">
        <f>+DB!U10</f>
        <v>PAT-0</v>
      </c>
      <c r="AA10">
        <f>+IF(DB!F10="AAAC-35",19.5,33)</f>
        <v>19.5</v>
      </c>
      <c r="AB10" t="str">
        <f>+DB!V10</f>
        <v>CIM3</v>
      </c>
      <c r="AC10" t="str">
        <f t="shared" si="2"/>
        <v>56-4</v>
      </c>
      <c r="AD10" s="21" t="s">
        <v>72</v>
      </c>
      <c r="AE10">
        <f>+DB!X10</f>
        <v>0</v>
      </c>
      <c r="AF10" s="22">
        <f>+DB!Y10</f>
        <v>0</v>
      </c>
      <c r="AG10">
        <f>+DB!AK10</f>
        <v>0</v>
      </c>
    </row>
    <row r="11" spans="1:34" x14ac:dyDescent="0.2">
      <c r="A11">
        <f>+DB!C11</f>
        <v>9</v>
      </c>
      <c r="B11" t="str">
        <f>+DB!D11</f>
        <v>PS1-0</v>
      </c>
      <c r="C11">
        <f>+DB!E11</f>
        <v>0</v>
      </c>
      <c r="D11">
        <f t="shared" si="0"/>
        <v>0</v>
      </c>
      <c r="E11">
        <f>+DB!G11</f>
        <v>1579.44</v>
      </c>
      <c r="F11">
        <f>+DB!H11</f>
        <v>249</v>
      </c>
      <c r="G11">
        <f>+DB!N11</f>
        <v>154.87</v>
      </c>
      <c r="H11">
        <f>+DB!O11</f>
        <v>177.74</v>
      </c>
      <c r="I11">
        <f>+DB!I11</f>
        <v>0</v>
      </c>
      <c r="J11" t="str">
        <f>+DB!J11</f>
        <v>0°</v>
      </c>
      <c r="K11">
        <f>+DB!L11</f>
        <v>1</v>
      </c>
      <c r="L11" t="str">
        <f t="shared" si="1"/>
        <v>13</v>
      </c>
      <c r="M11" t="str">
        <f>+IF(LEFT(DB!M11,3)="13/","CAC","MAD")</f>
        <v>CAC</v>
      </c>
      <c r="N11" t="str">
        <f>+RIGHT(DB!M11,6)</f>
        <v>13/200</v>
      </c>
      <c r="O11">
        <v>95</v>
      </c>
      <c r="P11">
        <v>5</v>
      </c>
      <c r="Q11">
        <f>+DB!AB11</f>
        <v>0</v>
      </c>
      <c r="R11">
        <f>+DB!K11</f>
        <v>172.09</v>
      </c>
      <c r="S11" t="str">
        <f>+DB!F11</f>
        <v>AAAC-35</v>
      </c>
      <c r="T11">
        <f>+IF(DB!F11="AAAC-35",1,3)</f>
        <v>1</v>
      </c>
      <c r="U11">
        <f>+DB!R11</f>
        <v>0</v>
      </c>
      <c r="V11">
        <f>+IF(DB!P11="1RI",1,0)+IF(DB!P11="2RI",2,0)</f>
        <v>0</v>
      </c>
      <c r="W11">
        <f>+IF(DB!P11="1RV",1,0)+IF(DB!P11="2RV",2,0)</f>
        <v>0</v>
      </c>
      <c r="X11">
        <f>+IF(DB!P11="RYI",1,0)</f>
        <v>0</v>
      </c>
      <c r="Y11">
        <f>+IF(DB!P11="RYV",1,0)</f>
        <v>0</v>
      </c>
      <c r="Z11" t="str">
        <f>+DB!U11</f>
        <v>PAT-0</v>
      </c>
      <c r="AA11">
        <f>+IF(DB!F11="AAAC-35",19.5,33)</f>
        <v>19.5</v>
      </c>
      <c r="AB11" t="str">
        <f>+DB!V11</f>
        <v>CIM3</v>
      </c>
      <c r="AC11" t="str">
        <f t="shared" si="2"/>
        <v>56-4</v>
      </c>
      <c r="AD11" s="21" t="s">
        <v>72</v>
      </c>
      <c r="AE11">
        <f>+DB!X11</f>
        <v>0</v>
      </c>
      <c r="AF11" s="22">
        <f>+DB!Y11</f>
        <v>0</v>
      </c>
      <c r="AG11">
        <f>+DB!AK11</f>
        <v>0</v>
      </c>
    </row>
    <row r="12" spans="1:34" x14ac:dyDescent="0.2">
      <c r="A12">
        <f>+DB!C12</f>
        <v>10</v>
      </c>
      <c r="B12" t="str">
        <f>+DB!D12</f>
        <v>PR3-0</v>
      </c>
      <c r="C12">
        <f>+DB!E12</f>
        <v>0</v>
      </c>
      <c r="D12">
        <f t="shared" si="0"/>
        <v>0</v>
      </c>
      <c r="E12">
        <f>+DB!G12</f>
        <v>1751.52</v>
      </c>
      <c r="F12">
        <f>+DB!H12</f>
        <v>254</v>
      </c>
      <c r="G12">
        <f>+DB!N12</f>
        <v>184.21</v>
      </c>
      <c r="H12">
        <f>+DB!O12</f>
        <v>162.44999999999999</v>
      </c>
      <c r="I12" t="str">
        <f>+DB!I12</f>
        <v>V</v>
      </c>
      <c r="J12" t="str">
        <f>+DB!J12</f>
        <v>-32°0'15.78"</v>
      </c>
      <c r="K12">
        <f>+DB!L12</f>
        <v>1</v>
      </c>
      <c r="L12" t="str">
        <f t="shared" si="1"/>
        <v>13</v>
      </c>
      <c r="M12" t="str">
        <f>+IF(LEFT(DB!M12,3)="13/","CAC","MAD")</f>
        <v>CAC</v>
      </c>
      <c r="N12" t="str">
        <f>+RIGHT(DB!M12,6)</f>
        <v>13/300</v>
      </c>
      <c r="O12">
        <v>95</v>
      </c>
      <c r="P12">
        <v>5</v>
      </c>
      <c r="Q12">
        <f>+DB!AB12</f>
        <v>0</v>
      </c>
      <c r="R12">
        <f>+DB!K12</f>
        <v>152.80000000000001</v>
      </c>
      <c r="S12" t="str">
        <f>+DB!F12</f>
        <v>AAAC-35</v>
      </c>
      <c r="T12">
        <f>+IF(DB!F12="AAAC-35",1,3)</f>
        <v>1</v>
      </c>
      <c r="U12">
        <f>+DB!R12</f>
        <v>0</v>
      </c>
      <c r="V12">
        <f>+IF(DB!P12="1RI",1,0)+IF(DB!P12="2RI",2,0)</f>
        <v>2</v>
      </c>
      <c r="W12">
        <f>+IF(DB!P12="1RV",1,0)+IF(DB!P12="2RV",2,0)</f>
        <v>0</v>
      </c>
      <c r="X12">
        <f>+IF(DB!P12="RYI",1,0)</f>
        <v>0</v>
      </c>
      <c r="Y12">
        <f>+IF(DB!P12="RYV",1,0)</f>
        <v>0</v>
      </c>
      <c r="Z12" t="str">
        <f>+DB!U12</f>
        <v>PAT-0</v>
      </c>
      <c r="AA12">
        <f>+IF(DB!F12="AAAC-35",19.5,33)</f>
        <v>19.5</v>
      </c>
      <c r="AB12" t="str">
        <f>+DB!V12</f>
        <v>CIM3</v>
      </c>
      <c r="AC12" t="str">
        <f t="shared" si="2"/>
        <v>56-4</v>
      </c>
      <c r="AD12" s="21" t="s">
        <v>72</v>
      </c>
      <c r="AE12">
        <f>+DB!X12</f>
        <v>0</v>
      </c>
      <c r="AF12" s="22">
        <f>+DB!Y12</f>
        <v>0</v>
      </c>
      <c r="AG12">
        <f>+DB!AK12</f>
        <v>0</v>
      </c>
    </row>
    <row r="13" spans="1:34" x14ac:dyDescent="0.2">
      <c r="A13">
        <f>+DB!C13</f>
        <v>11</v>
      </c>
      <c r="B13" t="str">
        <f>+DB!D13</f>
        <v>PS1-0</v>
      </c>
      <c r="C13">
        <f>+DB!E13</f>
        <v>0</v>
      </c>
      <c r="D13">
        <f t="shared" si="0"/>
        <v>0</v>
      </c>
      <c r="E13">
        <f>+DB!G13</f>
        <v>1904.33</v>
      </c>
      <c r="F13">
        <f>+DB!H13</f>
        <v>253.88</v>
      </c>
      <c r="G13">
        <f>+DB!N13</f>
        <v>151.44999999999999</v>
      </c>
      <c r="H13">
        <f>+DB!O13</f>
        <v>164.82</v>
      </c>
      <c r="I13">
        <f>+DB!I13</f>
        <v>0</v>
      </c>
      <c r="J13" t="str">
        <f>+DB!J13</f>
        <v>0°</v>
      </c>
      <c r="K13">
        <f>+DB!L13</f>
        <v>1</v>
      </c>
      <c r="L13" t="str">
        <f t="shared" si="1"/>
        <v>13</v>
      </c>
      <c r="M13" t="str">
        <f>+IF(LEFT(DB!M13,3)="13/","CAC","MAD")</f>
        <v>CAC</v>
      </c>
      <c r="N13" t="str">
        <f>+RIGHT(DB!M13,6)</f>
        <v>13/200</v>
      </c>
      <c r="O13">
        <v>95</v>
      </c>
      <c r="P13">
        <v>5</v>
      </c>
      <c r="Q13">
        <f>+DB!AB13</f>
        <v>0</v>
      </c>
      <c r="R13">
        <f>+DB!K13</f>
        <v>176.84</v>
      </c>
      <c r="S13" t="str">
        <f>+DB!F13</f>
        <v>AAAC-35</v>
      </c>
      <c r="T13">
        <f>+IF(DB!F13="AAAC-35",1,3)</f>
        <v>1</v>
      </c>
      <c r="U13">
        <f>+DB!R13</f>
        <v>0</v>
      </c>
      <c r="V13">
        <f>+IF(DB!P13="1RI",1,0)+IF(DB!P13="2RI",2,0)</f>
        <v>0</v>
      </c>
      <c r="W13">
        <f>+IF(DB!P13="1RV",1,0)+IF(DB!P13="2RV",2,0)</f>
        <v>0</v>
      </c>
      <c r="X13">
        <f>+IF(DB!P13="RYI",1,0)</f>
        <v>0</v>
      </c>
      <c r="Y13">
        <f>+IF(DB!P13="RYV",1,0)</f>
        <v>0</v>
      </c>
      <c r="Z13" t="str">
        <f>+DB!U13</f>
        <v>PAT-0</v>
      </c>
      <c r="AA13">
        <f>+IF(DB!F13="AAAC-35",19.5,33)</f>
        <v>19.5</v>
      </c>
      <c r="AB13" t="str">
        <f>+DB!V13</f>
        <v>CIM3</v>
      </c>
      <c r="AC13" t="str">
        <f t="shared" si="2"/>
        <v>56-4</v>
      </c>
      <c r="AD13" s="21" t="s">
        <v>72</v>
      </c>
      <c r="AE13">
        <f>+DB!X13</f>
        <v>0</v>
      </c>
      <c r="AF13" s="22">
        <f>+DB!Y13</f>
        <v>0</v>
      </c>
      <c r="AG13">
        <f>+DB!AK13</f>
        <v>0</v>
      </c>
    </row>
    <row r="14" spans="1:34" x14ac:dyDescent="0.2">
      <c r="A14">
        <f>+DB!C14</f>
        <v>12</v>
      </c>
      <c r="B14" t="str">
        <f>+DB!D14</f>
        <v>PS1-0</v>
      </c>
      <c r="C14">
        <f>+DB!E14</f>
        <v>0</v>
      </c>
      <c r="D14">
        <f t="shared" si="0"/>
        <v>0</v>
      </c>
      <c r="E14">
        <f>+DB!G14</f>
        <v>2081.16</v>
      </c>
      <c r="F14">
        <f>+DB!H14</f>
        <v>256.91000000000003</v>
      </c>
      <c r="G14">
        <f>+DB!N14</f>
        <v>178.17</v>
      </c>
      <c r="H14">
        <f>+DB!O14</f>
        <v>187.76</v>
      </c>
      <c r="I14">
        <f>+DB!I14</f>
        <v>0</v>
      </c>
      <c r="J14" t="str">
        <f>+DB!J14</f>
        <v>0°</v>
      </c>
      <c r="K14">
        <f>+DB!L14</f>
        <v>1</v>
      </c>
      <c r="L14" t="str">
        <f t="shared" si="1"/>
        <v>13</v>
      </c>
      <c r="M14" t="str">
        <f>+IF(LEFT(DB!M14,3)="13/","CAC","MAD")</f>
        <v>CAC</v>
      </c>
      <c r="N14" t="str">
        <f>+RIGHT(DB!M14,6)</f>
        <v>13/200</v>
      </c>
      <c r="O14">
        <v>95</v>
      </c>
      <c r="P14">
        <v>5</v>
      </c>
      <c r="Q14">
        <f>+DB!AB14</f>
        <v>0</v>
      </c>
      <c r="R14">
        <f>+DB!K14</f>
        <v>198.69</v>
      </c>
      <c r="S14" t="str">
        <f>+DB!F14</f>
        <v>AAAC-35</v>
      </c>
      <c r="T14">
        <f>+IF(DB!F14="AAAC-35",1,3)</f>
        <v>1</v>
      </c>
      <c r="U14">
        <f>+DB!R14</f>
        <v>0</v>
      </c>
      <c r="V14">
        <f>+IF(DB!P14="1RI",1,0)+IF(DB!P14="2RI",2,0)</f>
        <v>0</v>
      </c>
      <c r="W14">
        <f>+IF(DB!P14="1RV",1,0)+IF(DB!P14="2RV",2,0)</f>
        <v>0</v>
      </c>
      <c r="X14">
        <f>+IF(DB!P14="RYI",1,0)</f>
        <v>0</v>
      </c>
      <c r="Y14">
        <f>+IF(DB!P14="RYV",1,0)</f>
        <v>0</v>
      </c>
      <c r="Z14" t="str">
        <f>+DB!U14</f>
        <v>PAT-0</v>
      </c>
      <c r="AA14">
        <f>+IF(DB!F14="AAAC-35",19.5,33)</f>
        <v>19.5</v>
      </c>
      <c r="AB14" t="str">
        <f>+DB!V14</f>
        <v>CIM3</v>
      </c>
      <c r="AC14" t="str">
        <f t="shared" si="2"/>
        <v>56-4</v>
      </c>
      <c r="AD14" s="21" t="s">
        <v>72</v>
      </c>
      <c r="AE14">
        <f>+DB!X14</f>
        <v>0</v>
      </c>
      <c r="AF14" s="22">
        <f>+DB!Y14</f>
        <v>0</v>
      </c>
      <c r="AG14">
        <f>+DB!AK14</f>
        <v>0</v>
      </c>
    </row>
    <row r="15" spans="1:34" x14ac:dyDescent="0.2">
      <c r="A15">
        <f>+DB!C15</f>
        <v>13</v>
      </c>
      <c r="B15" t="str">
        <f>+DB!D15</f>
        <v>PS1-0</v>
      </c>
      <c r="C15">
        <f>+DB!E15</f>
        <v>0</v>
      </c>
      <c r="D15">
        <f t="shared" si="0"/>
        <v>0</v>
      </c>
      <c r="E15">
        <f>+DB!G15</f>
        <v>2279.85</v>
      </c>
      <c r="F15">
        <f>+DB!H15</f>
        <v>262</v>
      </c>
      <c r="G15">
        <f>+DB!N15</f>
        <v>150.74</v>
      </c>
      <c r="H15">
        <f>+DB!O15</f>
        <v>149.19</v>
      </c>
      <c r="I15">
        <f>+DB!I15</f>
        <v>0</v>
      </c>
      <c r="J15" t="str">
        <f>+DB!J15</f>
        <v>0°</v>
      </c>
      <c r="K15">
        <f>+DB!L15</f>
        <v>1</v>
      </c>
      <c r="L15" t="str">
        <f t="shared" si="1"/>
        <v>13</v>
      </c>
      <c r="M15" t="str">
        <f>+IF(LEFT(DB!M15,3)="13/","CAC","MAD")</f>
        <v>CAC</v>
      </c>
      <c r="N15" t="str">
        <f>+RIGHT(DB!M15,6)</f>
        <v>13/200</v>
      </c>
      <c r="O15">
        <v>95</v>
      </c>
      <c r="P15">
        <v>5</v>
      </c>
      <c r="Q15">
        <f>+DB!AB15</f>
        <v>0</v>
      </c>
      <c r="R15">
        <f>+DB!K15</f>
        <v>99.7</v>
      </c>
      <c r="S15" t="str">
        <f>+DB!F15</f>
        <v>AAAC-35</v>
      </c>
      <c r="T15">
        <f>+IF(DB!F15="AAAC-35",1,3)</f>
        <v>1</v>
      </c>
      <c r="U15">
        <f>+DB!R15</f>
        <v>0</v>
      </c>
      <c r="V15">
        <f>+IF(DB!P15="1RI",1,0)+IF(DB!P15="2RI",2,0)</f>
        <v>0</v>
      </c>
      <c r="W15">
        <f>+IF(DB!P15="1RV",1,0)+IF(DB!P15="2RV",2,0)</f>
        <v>0</v>
      </c>
      <c r="X15">
        <f>+IF(DB!P15="RYI",1,0)</f>
        <v>0</v>
      </c>
      <c r="Y15">
        <f>+IF(DB!P15="RYV",1,0)</f>
        <v>0</v>
      </c>
      <c r="Z15" t="str">
        <f>+DB!U15</f>
        <v>PAT-0</v>
      </c>
      <c r="AA15">
        <f>+IF(DB!F15="AAAC-35",19.5,33)</f>
        <v>19.5</v>
      </c>
      <c r="AB15" t="str">
        <f>+DB!V15</f>
        <v>CIM3</v>
      </c>
      <c r="AC15" t="str">
        <f t="shared" si="2"/>
        <v>56-4</v>
      </c>
      <c r="AD15" s="21" t="s">
        <v>72</v>
      </c>
      <c r="AE15">
        <f>+DB!X15</f>
        <v>0</v>
      </c>
      <c r="AF15" s="22">
        <f>+DB!Y15</f>
        <v>0</v>
      </c>
      <c r="AG15">
        <f>+DB!AK15</f>
        <v>0</v>
      </c>
    </row>
    <row r="16" spans="1:34" x14ac:dyDescent="0.2">
      <c r="A16">
        <f>+DB!C16</f>
        <v>14</v>
      </c>
      <c r="B16" t="str">
        <f>+DB!D16</f>
        <v>PR3-0</v>
      </c>
      <c r="C16">
        <f>+DB!E16</f>
        <v>0</v>
      </c>
      <c r="D16">
        <f t="shared" si="0"/>
        <v>0</v>
      </c>
      <c r="E16">
        <f>+DB!G16</f>
        <v>2379.5500000000002</v>
      </c>
      <c r="F16">
        <f>+DB!H16</f>
        <v>267</v>
      </c>
      <c r="G16">
        <f>+DB!N16</f>
        <v>163.15</v>
      </c>
      <c r="H16">
        <f>+DB!O16</f>
        <v>130.66999999999999</v>
      </c>
      <c r="I16" t="str">
        <f>+DB!I16</f>
        <v>V</v>
      </c>
      <c r="J16" t="str">
        <f>+DB!J16</f>
        <v>-38°39'35.31"</v>
      </c>
      <c r="K16">
        <f>+DB!L16</f>
        <v>1</v>
      </c>
      <c r="L16" t="str">
        <f t="shared" si="1"/>
        <v>13</v>
      </c>
      <c r="M16" t="str">
        <f>+IF(LEFT(DB!M16,3)="13/","CAC","MAD")</f>
        <v>CAC</v>
      </c>
      <c r="N16" t="str">
        <f>+RIGHT(DB!M16,6)</f>
        <v>13/300</v>
      </c>
      <c r="O16">
        <v>95</v>
      </c>
      <c r="P16">
        <v>5</v>
      </c>
      <c r="Q16">
        <f>+DB!AB16</f>
        <v>0</v>
      </c>
      <c r="R16">
        <f>+DB!K16</f>
        <v>161.63999999999999</v>
      </c>
      <c r="S16" t="str">
        <f>+DB!F16</f>
        <v>AAAC-35</v>
      </c>
      <c r="T16">
        <f>+IF(DB!F16="AAAC-35",1,3)</f>
        <v>1</v>
      </c>
      <c r="U16">
        <f>+DB!R16</f>
        <v>0</v>
      </c>
      <c r="V16">
        <f>+IF(DB!P16="1RI",1,0)+IF(DB!P16="2RI",2,0)</f>
        <v>2</v>
      </c>
      <c r="W16">
        <f>+IF(DB!P16="1RV",1,0)+IF(DB!P16="2RV",2,0)</f>
        <v>0</v>
      </c>
      <c r="X16">
        <f>+IF(DB!P16="RYI",1,0)</f>
        <v>0</v>
      </c>
      <c r="Y16">
        <f>+IF(DB!P16="RYV",1,0)</f>
        <v>0</v>
      </c>
      <c r="Z16" t="str">
        <f>+DB!U16</f>
        <v>PAT-0</v>
      </c>
      <c r="AA16">
        <f>+IF(DB!F16="AAAC-35",19.5,33)</f>
        <v>19.5</v>
      </c>
      <c r="AB16" t="str">
        <f>+DB!V16</f>
        <v>CIM3</v>
      </c>
      <c r="AC16" t="str">
        <f t="shared" si="2"/>
        <v>56-4</v>
      </c>
      <c r="AD16" s="21" t="s">
        <v>72</v>
      </c>
      <c r="AE16">
        <f>+DB!X16</f>
        <v>0</v>
      </c>
      <c r="AF16" s="22">
        <f>+DB!Y16</f>
        <v>0</v>
      </c>
      <c r="AG16">
        <f>+DB!AK16</f>
        <v>0</v>
      </c>
    </row>
    <row r="17" spans="1:33" x14ac:dyDescent="0.2">
      <c r="A17">
        <f>+DB!C17</f>
        <v>15</v>
      </c>
      <c r="B17" t="str">
        <f>+DB!D17</f>
        <v>PS1-0</v>
      </c>
      <c r="C17">
        <f>+DB!E17</f>
        <v>0</v>
      </c>
      <c r="D17">
        <f t="shared" si="0"/>
        <v>0</v>
      </c>
      <c r="E17">
        <f>+DB!G17</f>
        <v>2541.19</v>
      </c>
      <c r="F17">
        <f>+DB!H17</f>
        <v>264.97000000000003</v>
      </c>
      <c r="G17">
        <f>+DB!N17</f>
        <v>192.32</v>
      </c>
      <c r="H17">
        <f>+DB!O17</f>
        <v>180.5</v>
      </c>
      <c r="I17">
        <f>+DB!I17</f>
        <v>0</v>
      </c>
      <c r="J17" t="str">
        <f>+DB!J17</f>
        <v>0°</v>
      </c>
      <c r="K17">
        <f>+DB!L17</f>
        <v>1</v>
      </c>
      <c r="L17" t="str">
        <f t="shared" si="1"/>
        <v>13</v>
      </c>
      <c r="M17" t="str">
        <f>+IF(LEFT(DB!M17,3)="13/","CAC","MAD")</f>
        <v>CAC</v>
      </c>
      <c r="N17" t="str">
        <f>+RIGHT(DB!M17,6)</f>
        <v>13/200</v>
      </c>
      <c r="O17">
        <v>95</v>
      </c>
      <c r="P17">
        <v>5</v>
      </c>
      <c r="Q17">
        <f>+DB!AB17</f>
        <v>0</v>
      </c>
      <c r="R17">
        <f>+DB!K17</f>
        <v>199.36</v>
      </c>
      <c r="S17" t="str">
        <f>+DB!F17</f>
        <v>AAAC-35</v>
      </c>
      <c r="T17">
        <f>+IF(DB!F17="AAAC-35",1,3)</f>
        <v>1</v>
      </c>
      <c r="U17">
        <f>+DB!R17</f>
        <v>0</v>
      </c>
      <c r="V17">
        <f>+IF(DB!P17="1RI",1,0)+IF(DB!P17="2RI",2,0)</f>
        <v>0</v>
      </c>
      <c r="W17">
        <f>+IF(DB!P17="1RV",1,0)+IF(DB!P17="2RV",2,0)</f>
        <v>0</v>
      </c>
      <c r="X17">
        <f>+IF(DB!P17="RYI",1,0)</f>
        <v>0</v>
      </c>
      <c r="Y17">
        <f>+IF(DB!P17="RYV",1,0)</f>
        <v>0</v>
      </c>
      <c r="Z17" t="str">
        <f>+DB!U17</f>
        <v>PAT-0</v>
      </c>
      <c r="AA17">
        <f>+IF(DB!F17="AAAC-35",19.5,33)</f>
        <v>19.5</v>
      </c>
      <c r="AB17" t="str">
        <f>+DB!V17</f>
        <v>CIM3</v>
      </c>
      <c r="AC17" t="str">
        <f t="shared" si="2"/>
        <v>56-4</v>
      </c>
      <c r="AD17" s="21" t="s">
        <v>72</v>
      </c>
      <c r="AE17">
        <f>+DB!X17</f>
        <v>0</v>
      </c>
      <c r="AF17" s="22">
        <f>+DB!Y17</f>
        <v>0</v>
      </c>
      <c r="AG17">
        <f>+DB!AK17</f>
        <v>0</v>
      </c>
    </row>
    <row r="18" spans="1:33" x14ac:dyDescent="0.2">
      <c r="A18">
        <f>+DB!C18</f>
        <v>16</v>
      </c>
      <c r="B18" t="str">
        <f>+DB!D18</f>
        <v>PS1-0</v>
      </c>
      <c r="C18">
        <f>+DB!E18</f>
        <v>0</v>
      </c>
      <c r="D18">
        <f t="shared" si="0"/>
        <v>0</v>
      </c>
      <c r="E18">
        <f>+DB!G18</f>
        <v>2740.55</v>
      </c>
      <c r="F18">
        <f>+DB!H18</f>
        <v>261.01</v>
      </c>
      <c r="G18">
        <f>+DB!N18</f>
        <v>198.25</v>
      </c>
      <c r="H18">
        <f>+DB!O18</f>
        <v>217.06</v>
      </c>
      <c r="I18">
        <f>+DB!I18</f>
        <v>0</v>
      </c>
      <c r="J18" t="str">
        <f>+DB!J18</f>
        <v>0°</v>
      </c>
      <c r="K18">
        <f>+DB!L18</f>
        <v>1</v>
      </c>
      <c r="L18" t="str">
        <f t="shared" si="1"/>
        <v>13</v>
      </c>
      <c r="M18" t="str">
        <f>+IF(LEFT(DB!M18,3)="13/","CAC","MAD")</f>
        <v>CAC</v>
      </c>
      <c r="N18" t="str">
        <f>+RIGHT(DB!M18,6)</f>
        <v>13/200</v>
      </c>
      <c r="O18">
        <v>95</v>
      </c>
      <c r="P18">
        <v>5</v>
      </c>
      <c r="Q18">
        <f>+DB!AB18</f>
        <v>0</v>
      </c>
      <c r="R18">
        <f>+DB!K18</f>
        <v>234.76</v>
      </c>
      <c r="S18" t="str">
        <f>+DB!F18</f>
        <v>AAAC-35</v>
      </c>
      <c r="T18">
        <f>+IF(DB!F18="AAAC-35",1,3)</f>
        <v>1</v>
      </c>
      <c r="U18">
        <f>+DB!R18</f>
        <v>0</v>
      </c>
      <c r="V18">
        <f>+IF(DB!P18="1RI",1,0)+IF(DB!P18="2RI",2,0)</f>
        <v>0</v>
      </c>
      <c r="W18">
        <f>+IF(DB!P18="1RV",1,0)+IF(DB!P18="2RV",2,0)</f>
        <v>0</v>
      </c>
      <c r="X18">
        <f>+IF(DB!P18="RYI",1,0)</f>
        <v>0</v>
      </c>
      <c r="Y18">
        <f>+IF(DB!P18="RYV",1,0)</f>
        <v>0</v>
      </c>
      <c r="Z18" t="str">
        <f>+DB!U18</f>
        <v>PAT-0</v>
      </c>
      <c r="AA18">
        <f>+IF(DB!F18="AAAC-35",19.5,33)</f>
        <v>19.5</v>
      </c>
      <c r="AB18" t="str">
        <f>+DB!V18</f>
        <v>CIM3</v>
      </c>
      <c r="AC18" t="str">
        <f t="shared" si="2"/>
        <v>56-4</v>
      </c>
      <c r="AD18" s="21" t="s">
        <v>72</v>
      </c>
      <c r="AE18">
        <f>+DB!X18</f>
        <v>0</v>
      </c>
      <c r="AF18" s="22">
        <f>+DB!Y18</f>
        <v>0</v>
      </c>
      <c r="AG18">
        <f>+DB!AK18</f>
        <v>0</v>
      </c>
    </row>
    <row r="19" spans="1:33" x14ac:dyDescent="0.2">
      <c r="A19">
        <f>+DB!C19</f>
        <v>17</v>
      </c>
      <c r="B19" t="str">
        <f>+DB!D19</f>
        <v>PS1-0</v>
      </c>
      <c r="C19">
        <f>+DB!E19</f>
        <v>0</v>
      </c>
      <c r="D19">
        <f t="shared" si="0"/>
        <v>0</v>
      </c>
      <c r="E19">
        <f>+DB!G19</f>
        <v>2975.31</v>
      </c>
      <c r="F19">
        <f>+DB!H19</f>
        <v>260.93</v>
      </c>
      <c r="G19">
        <f>+DB!N19</f>
        <v>196.38</v>
      </c>
      <c r="H19">
        <f>+DB!O19</f>
        <v>211.83</v>
      </c>
      <c r="I19">
        <f>+DB!I19</f>
        <v>0</v>
      </c>
      <c r="J19" t="str">
        <f>+DB!J19</f>
        <v>0°</v>
      </c>
      <c r="K19">
        <f>+DB!L19</f>
        <v>1</v>
      </c>
      <c r="L19" t="str">
        <f t="shared" si="1"/>
        <v>13</v>
      </c>
      <c r="M19" t="str">
        <f>+IF(LEFT(DB!M19,3)="13/","CAC","MAD")</f>
        <v>CAC</v>
      </c>
      <c r="N19" t="str">
        <f>+RIGHT(DB!M19,6)</f>
        <v>13/200</v>
      </c>
      <c r="O19">
        <v>95</v>
      </c>
      <c r="P19">
        <v>5</v>
      </c>
      <c r="Q19">
        <f>+DB!AB19</f>
        <v>0</v>
      </c>
      <c r="R19">
        <f>+DB!K19</f>
        <v>188.9</v>
      </c>
      <c r="S19" t="str">
        <f>+DB!F19</f>
        <v>AAAC-35</v>
      </c>
      <c r="T19">
        <f>+IF(DB!F19="AAAC-35",1,3)</f>
        <v>1</v>
      </c>
      <c r="U19">
        <f>+DB!R19</f>
        <v>0</v>
      </c>
      <c r="V19">
        <f>+IF(DB!P19="1RI",1,0)+IF(DB!P19="2RI",2,0)</f>
        <v>0</v>
      </c>
      <c r="W19">
        <f>+IF(DB!P19="1RV",1,0)+IF(DB!P19="2RV",2,0)</f>
        <v>0</v>
      </c>
      <c r="X19">
        <f>+IF(DB!P19="RYI",1,0)</f>
        <v>0</v>
      </c>
      <c r="Y19">
        <f>+IF(DB!P19="RYV",1,0)</f>
        <v>0</v>
      </c>
      <c r="Z19" t="str">
        <f>+DB!U19</f>
        <v>PAT-0</v>
      </c>
      <c r="AA19">
        <f>+IF(DB!F19="AAAC-35",19.5,33)</f>
        <v>19.5</v>
      </c>
      <c r="AB19" t="str">
        <f>+DB!V19</f>
        <v>CIM3</v>
      </c>
      <c r="AC19" t="str">
        <f t="shared" si="2"/>
        <v>56-4</v>
      </c>
      <c r="AD19" s="21" t="s">
        <v>72</v>
      </c>
      <c r="AE19">
        <f>+DB!X19</f>
        <v>0</v>
      </c>
      <c r="AF19" s="22">
        <f>+DB!Y19</f>
        <v>0</v>
      </c>
      <c r="AG19">
        <f>+DB!AK19</f>
        <v>0</v>
      </c>
    </row>
    <row r="20" spans="1:33" x14ac:dyDescent="0.2">
      <c r="A20">
        <f>+DB!C20</f>
        <v>18</v>
      </c>
      <c r="B20" t="str">
        <f>+DB!D20</f>
        <v>PA1-0</v>
      </c>
      <c r="C20">
        <f>+DB!E20</f>
        <v>0</v>
      </c>
      <c r="D20">
        <f t="shared" si="0"/>
        <v>0</v>
      </c>
      <c r="E20">
        <f>+DB!G20</f>
        <v>3164.21</v>
      </c>
      <c r="F20">
        <f>+DB!H20</f>
        <v>264</v>
      </c>
      <c r="G20">
        <f>+DB!N20</f>
        <v>295.98</v>
      </c>
      <c r="H20">
        <f>+DB!O20</f>
        <v>219.11</v>
      </c>
      <c r="I20" t="str">
        <f>+DB!I20</f>
        <v>V</v>
      </c>
      <c r="J20" t="str">
        <f>+DB!J20</f>
        <v>-8°26'40.14"</v>
      </c>
      <c r="K20">
        <f>+DB!L20</f>
        <v>1</v>
      </c>
      <c r="L20" t="str">
        <f t="shared" si="1"/>
        <v>13</v>
      </c>
      <c r="M20" t="str">
        <f>+IF(LEFT(DB!M20,3)="13/","CAC","MAD")</f>
        <v>CAC</v>
      </c>
      <c r="N20" t="str">
        <f>+RIGHT(DB!M20,6)</f>
        <v>13/200</v>
      </c>
      <c r="O20">
        <v>95</v>
      </c>
      <c r="P20">
        <v>5</v>
      </c>
      <c r="Q20">
        <f>+DB!AB20</f>
        <v>0</v>
      </c>
      <c r="R20">
        <f>+DB!K20</f>
        <v>249.33</v>
      </c>
      <c r="S20" t="str">
        <f>+DB!F20</f>
        <v>AAAC-35</v>
      </c>
      <c r="T20">
        <f>+IF(DB!F20="AAAC-35",1,3)</f>
        <v>1</v>
      </c>
      <c r="U20">
        <f>+DB!R20</f>
        <v>0</v>
      </c>
      <c r="V20">
        <f>+IF(DB!P20="1RI",1,0)+IF(DB!P20="2RI",2,0)</f>
        <v>1</v>
      </c>
      <c r="W20">
        <f>+IF(DB!P20="1RV",1,0)+IF(DB!P20="2RV",2,0)</f>
        <v>0</v>
      </c>
      <c r="X20">
        <f>+IF(DB!P20="RYI",1,0)</f>
        <v>0</v>
      </c>
      <c r="Y20">
        <f>+IF(DB!P20="RYV",1,0)</f>
        <v>0</v>
      </c>
      <c r="Z20" t="str">
        <f>+DB!U20</f>
        <v>PAT-0</v>
      </c>
      <c r="AA20">
        <f>+IF(DB!F20="AAAC-35",19.5,33)</f>
        <v>19.5</v>
      </c>
      <c r="AB20" t="str">
        <f>+DB!V20</f>
        <v>CIM3</v>
      </c>
      <c r="AC20" t="str">
        <f t="shared" si="2"/>
        <v>56-4</v>
      </c>
      <c r="AD20" s="21" t="s">
        <v>72</v>
      </c>
      <c r="AE20">
        <f>+DB!X20</f>
        <v>0</v>
      </c>
      <c r="AF20" s="22">
        <f>+DB!Y20</f>
        <v>0</v>
      </c>
      <c r="AG20">
        <f>+DB!AK20</f>
        <v>0</v>
      </c>
    </row>
    <row r="21" spans="1:33" x14ac:dyDescent="0.2">
      <c r="A21">
        <f>+DB!C21</f>
        <v>19</v>
      </c>
      <c r="B21" t="str">
        <f>+DB!D21</f>
        <v>PS1-0</v>
      </c>
      <c r="C21">
        <f>+DB!E21</f>
        <v>0</v>
      </c>
      <c r="D21">
        <f t="shared" si="0"/>
        <v>0</v>
      </c>
      <c r="E21">
        <f>+DB!G21</f>
        <v>3413.54</v>
      </c>
      <c r="F21">
        <f>+DB!H21</f>
        <v>251.01</v>
      </c>
      <c r="G21">
        <f>+DB!N21</f>
        <v>174.26</v>
      </c>
      <c r="H21">
        <f>+DB!O21</f>
        <v>219.95</v>
      </c>
      <c r="I21">
        <f>+DB!I21</f>
        <v>0</v>
      </c>
      <c r="J21" t="str">
        <f>+DB!J21</f>
        <v>0°</v>
      </c>
      <c r="K21">
        <f>+DB!L21</f>
        <v>1</v>
      </c>
      <c r="L21" t="str">
        <f t="shared" si="1"/>
        <v>13</v>
      </c>
      <c r="M21" t="str">
        <f>+IF(LEFT(DB!M21,3)="13/","CAC","MAD")</f>
        <v>CAC</v>
      </c>
      <c r="N21" t="str">
        <f>+RIGHT(DB!M21,6)</f>
        <v>13/200</v>
      </c>
      <c r="O21">
        <v>95</v>
      </c>
      <c r="P21">
        <v>5</v>
      </c>
      <c r="Q21">
        <f>+DB!AB21</f>
        <v>0</v>
      </c>
      <c r="R21">
        <f>+DB!K21</f>
        <v>190.57</v>
      </c>
      <c r="S21" t="str">
        <f>+DB!F21</f>
        <v>AAAC-35</v>
      </c>
      <c r="T21">
        <f>+IF(DB!F21="AAAC-35",1,3)</f>
        <v>1</v>
      </c>
      <c r="U21">
        <f>+DB!R21</f>
        <v>0</v>
      </c>
      <c r="V21">
        <f>+IF(DB!P21="1RI",1,0)+IF(DB!P21="2RI",2,0)</f>
        <v>0</v>
      </c>
      <c r="W21">
        <f>+IF(DB!P21="1RV",1,0)+IF(DB!P21="2RV",2,0)</f>
        <v>0</v>
      </c>
      <c r="X21">
        <f>+IF(DB!P21="RYI",1,0)</f>
        <v>0</v>
      </c>
      <c r="Y21">
        <f>+IF(DB!P21="RYV",1,0)</f>
        <v>0</v>
      </c>
      <c r="Z21" t="str">
        <f>+DB!U21</f>
        <v>PAT-0</v>
      </c>
      <c r="AA21">
        <f>+IF(DB!F21="AAAC-35",19.5,33)</f>
        <v>19.5</v>
      </c>
      <c r="AB21" t="str">
        <f>+DB!V21</f>
        <v>CIM3</v>
      </c>
      <c r="AC21" t="str">
        <f t="shared" si="2"/>
        <v>56-4</v>
      </c>
      <c r="AD21" s="21" t="s">
        <v>72</v>
      </c>
      <c r="AE21">
        <f>+DB!X21</f>
        <v>0</v>
      </c>
      <c r="AF21" s="22">
        <f>+DB!Y21</f>
        <v>0</v>
      </c>
      <c r="AG21">
        <f>+DB!AK21</f>
        <v>0</v>
      </c>
    </row>
    <row r="22" spans="1:33" x14ac:dyDescent="0.2">
      <c r="A22">
        <f>+DB!C22</f>
        <v>20</v>
      </c>
      <c r="B22" t="str">
        <f>+DB!D22</f>
        <v>PA1-0</v>
      </c>
      <c r="C22">
        <f>+DB!E22</f>
        <v>0</v>
      </c>
      <c r="D22">
        <f t="shared" si="0"/>
        <v>0</v>
      </c>
      <c r="E22">
        <f>+DB!G22</f>
        <v>3604.1</v>
      </c>
      <c r="F22">
        <f>+DB!H22</f>
        <v>248</v>
      </c>
      <c r="G22">
        <f>+DB!N22</f>
        <v>155.86000000000001</v>
      </c>
      <c r="H22">
        <f>+DB!O22</f>
        <v>185.31</v>
      </c>
      <c r="I22" t="str">
        <f>+DB!I22</f>
        <v>FLP</v>
      </c>
      <c r="J22" t="str">
        <f>+DB!J22</f>
        <v>-25°20'11.83"</v>
      </c>
      <c r="K22">
        <f>+DB!L22</f>
        <v>1</v>
      </c>
      <c r="L22" t="str">
        <f t="shared" si="1"/>
        <v>13</v>
      </c>
      <c r="M22" t="str">
        <f>+IF(LEFT(DB!M22,3)="13/","CAC","MAD")</f>
        <v>CAC</v>
      </c>
      <c r="N22" t="str">
        <f>+RIGHT(DB!M22,6)</f>
        <v>13/200</v>
      </c>
      <c r="O22">
        <v>95</v>
      </c>
      <c r="P22">
        <v>5</v>
      </c>
      <c r="Q22">
        <f>+DB!AB22</f>
        <v>0</v>
      </c>
      <c r="R22">
        <f>+DB!K22</f>
        <v>180.05</v>
      </c>
      <c r="S22" t="str">
        <f>+DB!F22</f>
        <v>AAAC-35</v>
      </c>
      <c r="T22">
        <f>+IF(DB!F22="AAAC-35",1,3)</f>
        <v>1</v>
      </c>
      <c r="U22">
        <f>+DB!R22</f>
        <v>0</v>
      </c>
      <c r="V22">
        <f>+IF(DB!P22="1RI",1,0)+IF(DB!P22="2RI",2,0)</f>
        <v>1</v>
      </c>
      <c r="W22">
        <f>+IF(DB!P22="1RV",1,0)+IF(DB!P22="2RV",2,0)</f>
        <v>0</v>
      </c>
      <c r="X22">
        <f>+IF(DB!P22="RYI",1,0)</f>
        <v>0</v>
      </c>
      <c r="Y22">
        <f>+IF(DB!P22="RYV",1,0)</f>
        <v>0</v>
      </c>
      <c r="Z22" t="str">
        <f>+DB!U22</f>
        <v>PAT-0</v>
      </c>
      <c r="AA22">
        <f>+IF(DB!F22="AAAC-35",19.5,33)</f>
        <v>19.5</v>
      </c>
      <c r="AB22" t="str">
        <f>+DB!V22</f>
        <v>CIM3</v>
      </c>
      <c r="AC22" t="str">
        <f t="shared" si="2"/>
        <v>56-4</v>
      </c>
      <c r="AD22" s="21" t="s">
        <v>72</v>
      </c>
      <c r="AE22">
        <f>+DB!X22</f>
        <v>0</v>
      </c>
      <c r="AF22" s="22">
        <f>+DB!Y22</f>
        <v>0</v>
      </c>
      <c r="AG22">
        <f>+DB!AK22</f>
        <v>0</v>
      </c>
    </row>
    <row r="23" spans="1:33" x14ac:dyDescent="0.2">
      <c r="A23">
        <f>+DB!C23</f>
        <v>21</v>
      </c>
      <c r="B23" t="str">
        <f>+DB!D23</f>
        <v>PS1-0</v>
      </c>
      <c r="C23">
        <f>+DB!E23</f>
        <v>0</v>
      </c>
      <c r="D23">
        <f t="shared" si="0"/>
        <v>0</v>
      </c>
      <c r="E23">
        <f>+DB!G23</f>
        <v>3784.16</v>
      </c>
      <c r="F23">
        <f>+DB!H23</f>
        <v>251</v>
      </c>
      <c r="G23">
        <f>+DB!N23</f>
        <v>175.98</v>
      </c>
      <c r="H23">
        <f>+DB!O23</f>
        <v>157.66</v>
      </c>
      <c r="I23">
        <f>+DB!I23</f>
        <v>0</v>
      </c>
      <c r="J23" t="str">
        <f>+DB!J23</f>
        <v>0°</v>
      </c>
      <c r="K23">
        <f>+DB!L23</f>
        <v>1</v>
      </c>
      <c r="L23" t="str">
        <f t="shared" si="1"/>
        <v>13</v>
      </c>
      <c r="M23" t="str">
        <f>+IF(LEFT(DB!M23,3)="13/","CAC","MAD")</f>
        <v>CAC</v>
      </c>
      <c r="N23" t="str">
        <f>+RIGHT(DB!M23,6)</f>
        <v>13/200</v>
      </c>
      <c r="O23">
        <v>95</v>
      </c>
      <c r="P23">
        <v>5</v>
      </c>
      <c r="Q23">
        <f>+DB!AB23</f>
        <v>0</v>
      </c>
      <c r="R23">
        <f>+DB!K23</f>
        <v>135.27000000000001</v>
      </c>
      <c r="S23" t="str">
        <f>+DB!F23</f>
        <v>AAAC-35</v>
      </c>
      <c r="T23">
        <f>+IF(DB!F23="AAAC-35",1,3)</f>
        <v>1</v>
      </c>
      <c r="U23">
        <f>+DB!R23</f>
        <v>0</v>
      </c>
      <c r="V23">
        <f>+IF(DB!P23="1RI",1,0)+IF(DB!P23="2RI",2,0)</f>
        <v>0</v>
      </c>
      <c r="W23">
        <f>+IF(DB!P23="1RV",1,0)+IF(DB!P23="2RV",2,0)</f>
        <v>0</v>
      </c>
      <c r="X23">
        <f>+IF(DB!P23="RYI",1,0)</f>
        <v>0</v>
      </c>
      <c r="Y23">
        <f>+IF(DB!P23="RYV",1,0)</f>
        <v>0</v>
      </c>
      <c r="Z23" t="str">
        <f>+DB!U23</f>
        <v>PAT-0</v>
      </c>
      <c r="AA23">
        <f>+IF(DB!F23="AAAC-35",19.5,33)</f>
        <v>19.5</v>
      </c>
      <c r="AB23" t="str">
        <f>+DB!V23</f>
        <v>CIM3</v>
      </c>
      <c r="AC23" t="str">
        <f t="shared" si="2"/>
        <v>56-4</v>
      </c>
      <c r="AD23" s="21" t="s">
        <v>72</v>
      </c>
      <c r="AE23">
        <f>+DB!X23</f>
        <v>0</v>
      </c>
      <c r="AF23" s="22">
        <f>+DB!Y23</f>
        <v>0</v>
      </c>
      <c r="AG23">
        <f>+DB!AK23</f>
        <v>0</v>
      </c>
    </row>
    <row r="24" spans="1:33" x14ac:dyDescent="0.2">
      <c r="A24">
        <f>+DB!C24</f>
        <v>22</v>
      </c>
      <c r="B24" t="str">
        <f>+DB!D24</f>
        <v>PTV-0</v>
      </c>
      <c r="C24">
        <f>+DB!E24</f>
        <v>0</v>
      </c>
      <c r="D24">
        <f t="shared" si="0"/>
        <v>0</v>
      </c>
      <c r="E24">
        <f>+DB!G24</f>
        <v>3919.43</v>
      </c>
      <c r="F24">
        <f>+DB!H24</f>
        <v>251</v>
      </c>
      <c r="G24">
        <f>+DB!N24</f>
        <v>64.86</v>
      </c>
      <c r="H24">
        <f>+DB!O24</f>
        <v>67.64</v>
      </c>
      <c r="I24" t="str">
        <f>+DB!I24</f>
        <v>E22</v>
      </c>
      <c r="J24" t="str">
        <f>+DB!J24</f>
        <v>0°</v>
      </c>
      <c r="K24">
        <f>+DB!L24</f>
        <v>1</v>
      </c>
      <c r="L24" t="str">
        <f t="shared" si="1"/>
        <v>13</v>
      </c>
      <c r="M24" t="str">
        <f>+IF(LEFT(DB!M24,3)="13/","CAC","MAD")</f>
        <v>CAC</v>
      </c>
      <c r="N24" t="str">
        <f>+RIGHT(DB!M24,6)</f>
        <v>13/300</v>
      </c>
      <c r="O24">
        <v>95</v>
      </c>
      <c r="P24">
        <v>5</v>
      </c>
      <c r="Q24">
        <f>+DB!AB24</f>
        <v>0</v>
      </c>
      <c r="R24">
        <f>+DB!K24</f>
        <v>0</v>
      </c>
      <c r="S24" t="str">
        <f>+DB!F24</f>
        <v>AAAC-35</v>
      </c>
      <c r="T24">
        <f>+IF(DB!F24="AAAC-35",1,3)</f>
        <v>1</v>
      </c>
      <c r="U24">
        <f>+DB!R24</f>
        <v>0</v>
      </c>
      <c r="V24">
        <f>+IF(DB!P24="1RI",1,0)+IF(DB!P24="2RI",2,0)</f>
        <v>1</v>
      </c>
      <c r="W24">
        <f>+IF(DB!P24="1RV",1,0)+IF(DB!P24="2RV",2,0)</f>
        <v>0</v>
      </c>
      <c r="X24">
        <f>+IF(DB!P24="RYI",1,0)</f>
        <v>0</v>
      </c>
      <c r="Y24">
        <f>+IF(DB!P24="RYV",1,0)</f>
        <v>0</v>
      </c>
      <c r="Z24" t="str">
        <f>+DB!U24</f>
        <v>PAT-0</v>
      </c>
      <c r="AA24">
        <f>+IF(DB!F24="AAAC-35",19.5,33)</f>
        <v>19.5</v>
      </c>
      <c r="AB24" t="str">
        <f>+DB!V24</f>
        <v>CIM3</v>
      </c>
      <c r="AC24" t="str">
        <f t="shared" si="2"/>
        <v>56-4</v>
      </c>
      <c r="AD24" s="21" t="s">
        <v>72</v>
      </c>
      <c r="AE24">
        <f>+DB!X24</f>
        <v>0</v>
      </c>
      <c r="AF24" s="22">
        <f>+DB!Y24</f>
        <v>0</v>
      </c>
      <c r="AG24">
        <f>+DB!AK24</f>
        <v>0</v>
      </c>
    </row>
    <row r="25" spans="1:33" x14ac:dyDescent="0.2">
      <c r="A25">
        <f>+DB!C25</f>
        <v>0</v>
      </c>
      <c r="B25" t="str">
        <f>+DB!D25</f>
        <v>DT-0</v>
      </c>
      <c r="C25">
        <f>+DB!E25</f>
        <v>0</v>
      </c>
      <c r="D25">
        <f t="shared" si="0"/>
        <v>0</v>
      </c>
      <c r="E25">
        <f>+DB!G25</f>
        <v>0</v>
      </c>
      <c r="F25">
        <f>+DB!H25</f>
        <v>267</v>
      </c>
      <c r="G25">
        <f>+DB!N25</f>
        <v>25.58</v>
      </c>
      <c r="H25">
        <f>+DB!O25</f>
        <v>26.32</v>
      </c>
      <c r="I25" t="str">
        <f>+DB!I25</f>
        <v>Po</v>
      </c>
      <c r="J25" t="str">
        <f>+DB!J25</f>
        <v>0°</v>
      </c>
      <c r="K25">
        <f>+DB!L25</f>
        <v>1</v>
      </c>
      <c r="L25" t="str">
        <f t="shared" si="1"/>
        <v>13</v>
      </c>
      <c r="M25" t="str">
        <f>+IF(LEFT(DB!M25,3)="13/","CAC","MAD")</f>
        <v>CAC</v>
      </c>
      <c r="N25" t="str">
        <f>+RIGHT(DB!M25,6)</f>
        <v>13/200</v>
      </c>
      <c r="O25">
        <v>95</v>
      </c>
      <c r="P25">
        <v>5</v>
      </c>
      <c r="Q25">
        <f>+DB!AB25</f>
        <v>0</v>
      </c>
      <c r="R25">
        <f>+DB!K25</f>
        <v>52.64</v>
      </c>
      <c r="S25" t="str">
        <f>+DB!F25</f>
        <v>AAAC-35</v>
      </c>
      <c r="T25">
        <f>+IF(DB!F25="AAAC-35",1,3)</f>
        <v>1</v>
      </c>
      <c r="U25">
        <f>+DB!R25</f>
        <v>0</v>
      </c>
      <c r="V25">
        <f>+IF(DB!P25="1RI",1,0)+IF(DB!P25="2RI",2,0)</f>
        <v>0</v>
      </c>
      <c r="W25">
        <f>+IF(DB!P25="1RV",1,0)+IF(DB!P25="2RV",2,0)</f>
        <v>0</v>
      </c>
      <c r="X25">
        <f>+IF(DB!P25="RYI",1,0)</f>
        <v>0</v>
      </c>
      <c r="Y25">
        <f>+IF(DB!P25="RYV",1,0)</f>
        <v>0</v>
      </c>
      <c r="Z25">
        <f>+DB!U25</f>
        <v>0</v>
      </c>
      <c r="AA25">
        <f>+IF(DB!F25="AAAC-35",19.5,33)</f>
        <v>19.5</v>
      </c>
      <c r="AB25">
        <f>+DB!V25</f>
        <v>0</v>
      </c>
      <c r="AC25" t="str">
        <f t="shared" si="2"/>
        <v>56-4</v>
      </c>
      <c r="AD25" s="21" t="s">
        <v>72</v>
      </c>
      <c r="AE25">
        <f>+DB!X25</f>
        <v>0</v>
      </c>
      <c r="AF25" s="22">
        <f>+DB!Y25</f>
        <v>0</v>
      </c>
      <c r="AG25">
        <f>+DB!AK25</f>
        <v>0</v>
      </c>
    </row>
    <row r="26" spans="1:33" x14ac:dyDescent="0.2">
      <c r="A26">
        <f>+DB!C26</f>
        <v>1</v>
      </c>
      <c r="B26" t="str">
        <f>+DB!D26</f>
        <v>PSEC-0P</v>
      </c>
      <c r="C26">
        <f>+DB!E26</f>
        <v>0</v>
      </c>
      <c r="D26">
        <f t="shared" si="0"/>
        <v>0</v>
      </c>
      <c r="E26">
        <f>+DB!G26</f>
        <v>52.64</v>
      </c>
      <c r="F26">
        <f>+DB!H26</f>
        <v>266</v>
      </c>
      <c r="G26">
        <f>+DB!N26</f>
        <v>96.94</v>
      </c>
      <c r="H26">
        <f>+DB!O26</f>
        <v>85.31</v>
      </c>
      <c r="I26" t="str">
        <f>+DB!I26</f>
        <v>V1</v>
      </c>
      <c r="J26" t="str">
        <f>+DB!J26</f>
        <v>34°55'37.99"</v>
      </c>
      <c r="K26">
        <f>+DB!L26</f>
        <v>1</v>
      </c>
      <c r="L26" t="str">
        <f t="shared" si="1"/>
        <v>13</v>
      </c>
      <c r="M26" t="str">
        <f>+IF(LEFT(DB!M26,3)="13/","CAC","MAD")</f>
        <v>CAC</v>
      </c>
      <c r="N26" t="str">
        <f>+RIGHT(DB!M26,6)</f>
        <v>13/300</v>
      </c>
      <c r="O26">
        <v>95</v>
      </c>
      <c r="P26">
        <v>5</v>
      </c>
      <c r="Q26">
        <f>+DB!AB26</f>
        <v>0</v>
      </c>
      <c r="R26">
        <f>+DB!K26</f>
        <v>117.97</v>
      </c>
      <c r="S26" t="str">
        <f>+DB!F26</f>
        <v>AAAC-35</v>
      </c>
      <c r="T26">
        <f>+IF(DB!F26="AAAC-35",1,3)</f>
        <v>1</v>
      </c>
      <c r="U26">
        <f>+DB!R26</f>
        <v>0</v>
      </c>
      <c r="V26">
        <f>+IF(DB!P26="1RI",1,0)+IF(DB!P26="2RI",2,0)</f>
        <v>1</v>
      </c>
      <c r="W26">
        <f>+IF(DB!P26="1RV",1,0)+IF(DB!P26="2RV",2,0)</f>
        <v>0</v>
      </c>
      <c r="X26">
        <f>+IF(DB!P26="RYI",1,0)</f>
        <v>0</v>
      </c>
      <c r="Y26">
        <f>+IF(DB!P26="RYV",1,0)</f>
        <v>0</v>
      </c>
      <c r="Z26" t="str">
        <f>+DB!U26</f>
        <v>PAT-1</v>
      </c>
      <c r="AA26">
        <f>+IF(DB!F26="AAAC-35",19.5,33)</f>
        <v>19.5</v>
      </c>
      <c r="AB26" t="str">
        <f>+DB!V26</f>
        <v>CIM3</v>
      </c>
      <c r="AC26" t="str">
        <f t="shared" si="2"/>
        <v>56-4</v>
      </c>
      <c r="AD26" s="21" t="s">
        <v>72</v>
      </c>
      <c r="AE26">
        <f>+DB!X26</f>
        <v>0</v>
      </c>
      <c r="AF26" s="22">
        <f>+DB!Y26</f>
        <v>0</v>
      </c>
      <c r="AG26">
        <f>+DB!AK26</f>
        <v>0</v>
      </c>
    </row>
    <row r="27" spans="1:33" x14ac:dyDescent="0.2">
      <c r="A27">
        <f>+DB!C27</f>
        <v>2</v>
      </c>
      <c r="B27" t="str">
        <f>+DB!D27</f>
        <v>PR3-0</v>
      </c>
      <c r="C27">
        <f>+DB!E27</f>
        <v>0</v>
      </c>
      <c r="D27">
        <f t="shared" si="0"/>
        <v>0</v>
      </c>
      <c r="E27">
        <f>+DB!G27</f>
        <v>170.62</v>
      </c>
      <c r="F27">
        <f>+DB!H27</f>
        <v>264</v>
      </c>
      <c r="G27">
        <f>+DB!N27</f>
        <v>396.81</v>
      </c>
      <c r="H27">
        <f>+DB!O27</f>
        <v>287.01</v>
      </c>
      <c r="I27" t="str">
        <f>+DB!I27</f>
        <v>P2</v>
      </c>
      <c r="J27" t="str">
        <f>+DB!J27</f>
        <v>0°0'0.46"</v>
      </c>
      <c r="K27">
        <f>+DB!L27</f>
        <v>1</v>
      </c>
      <c r="L27" t="str">
        <f t="shared" si="1"/>
        <v>13</v>
      </c>
      <c r="M27" t="str">
        <f>+IF(LEFT(DB!M27,3)="13/","CAC","MAD")</f>
        <v>CAC</v>
      </c>
      <c r="N27" t="str">
        <f>+RIGHT(DB!M27,6)</f>
        <v>13/300</v>
      </c>
      <c r="O27">
        <v>95</v>
      </c>
      <c r="P27">
        <v>5</v>
      </c>
      <c r="Q27">
        <f>+DB!AB27</f>
        <v>0</v>
      </c>
      <c r="R27">
        <f>+DB!K27</f>
        <v>456.04</v>
      </c>
      <c r="S27" t="str">
        <f>+DB!F27</f>
        <v>AAAC-35</v>
      </c>
      <c r="T27">
        <f>+IF(DB!F27="AAAC-35",1,3)</f>
        <v>1</v>
      </c>
      <c r="U27">
        <f>+DB!R27</f>
        <v>2</v>
      </c>
      <c r="V27">
        <f>+IF(DB!P27="1RI",1,0)+IF(DB!P27="2RI",2,0)</f>
        <v>2</v>
      </c>
      <c r="W27">
        <f>+IF(DB!P27="1RV",1,0)+IF(DB!P27="2RV",2,0)</f>
        <v>0</v>
      </c>
      <c r="X27">
        <f>+IF(DB!P27="RYI",1,0)</f>
        <v>0</v>
      </c>
      <c r="Y27">
        <f>+IF(DB!P27="RYV",1,0)</f>
        <v>0</v>
      </c>
      <c r="Z27" t="str">
        <f>+DB!U27</f>
        <v>PAT-0</v>
      </c>
      <c r="AA27">
        <f>+IF(DB!F27="AAAC-35",19.5,33)</f>
        <v>19.5</v>
      </c>
      <c r="AB27" t="str">
        <f>+DB!V27</f>
        <v>CIM3</v>
      </c>
      <c r="AC27" t="str">
        <f t="shared" si="2"/>
        <v>56-4</v>
      </c>
      <c r="AD27" s="21" t="s">
        <v>72</v>
      </c>
      <c r="AE27">
        <f>+DB!X27</f>
        <v>0</v>
      </c>
      <c r="AF27" s="22">
        <f>+DB!Y27</f>
        <v>0</v>
      </c>
      <c r="AG27">
        <f>+DB!AK27</f>
        <v>0</v>
      </c>
    </row>
    <row r="28" spans="1:33" x14ac:dyDescent="0.2">
      <c r="A28">
        <f>+DB!C28</f>
        <v>3</v>
      </c>
      <c r="B28" t="str">
        <f>+DB!D28</f>
        <v>PR3-0</v>
      </c>
      <c r="C28">
        <f>+DB!E28</f>
        <v>0</v>
      </c>
      <c r="D28">
        <f t="shared" si="0"/>
        <v>0</v>
      </c>
      <c r="E28">
        <f>+DB!G28</f>
        <v>626.66</v>
      </c>
      <c r="F28">
        <f>+DB!H28</f>
        <v>231</v>
      </c>
      <c r="G28">
        <f>+DB!N28</f>
        <v>193.42</v>
      </c>
      <c r="H28">
        <f>+DB!O28</f>
        <v>328.28</v>
      </c>
      <c r="I28" t="str">
        <f>+DB!I28</f>
        <v>V2</v>
      </c>
      <c r="J28" t="str">
        <f>+DB!J28</f>
        <v>-5°20'28.34"</v>
      </c>
      <c r="K28">
        <f>+DB!L28</f>
        <v>1</v>
      </c>
      <c r="L28" t="str">
        <f t="shared" si="1"/>
        <v>13</v>
      </c>
      <c r="M28" t="str">
        <f>+IF(LEFT(DB!M28,3)="13/","CAC","MAD")</f>
        <v>MAD</v>
      </c>
      <c r="N28" t="str">
        <f>+RIGHT(DB!M28,6)</f>
        <v>13m/C6</v>
      </c>
      <c r="O28">
        <v>95</v>
      </c>
      <c r="P28">
        <v>5</v>
      </c>
      <c r="Q28">
        <f>+DB!AB28</f>
        <v>0</v>
      </c>
      <c r="R28">
        <f>+DB!K28</f>
        <v>200.53</v>
      </c>
      <c r="S28" t="str">
        <f>+DB!F28</f>
        <v>AAAC-35</v>
      </c>
      <c r="T28">
        <f>+IF(DB!F28="AAAC-35",1,3)</f>
        <v>1</v>
      </c>
      <c r="U28">
        <f>+DB!R28</f>
        <v>0</v>
      </c>
      <c r="V28">
        <f>+IF(DB!P28="1RI",1,0)+IF(DB!P28="2RI",2,0)</f>
        <v>2</v>
      </c>
      <c r="W28">
        <f>+IF(DB!P28="1RV",1,0)+IF(DB!P28="2RV",2,0)</f>
        <v>0</v>
      </c>
      <c r="X28">
        <f>+IF(DB!P28="RYI",1,0)</f>
        <v>0</v>
      </c>
      <c r="Y28">
        <f>+IF(DB!P28="RYV",1,0)</f>
        <v>0</v>
      </c>
      <c r="Z28" t="str">
        <f>+DB!U28</f>
        <v>PAT-0</v>
      </c>
      <c r="AA28">
        <f>+IF(DB!F28="AAAC-35",19.5,33)</f>
        <v>19.5</v>
      </c>
      <c r="AB28" t="str">
        <f>+DB!V28</f>
        <v>CIM1</v>
      </c>
      <c r="AC28" t="str">
        <f t="shared" si="2"/>
        <v>56-4</v>
      </c>
      <c r="AD28" s="21" t="s">
        <v>72</v>
      </c>
      <c r="AE28">
        <f>+DB!X28</f>
        <v>0</v>
      </c>
      <c r="AF28" s="22">
        <f>+DB!Y28</f>
        <v>0</v>
      </c>
      <c r="AG28">
        <f>+DB!AK28</f>
        <v>0</v>
      </c>
    </row>
    <row r="29" spans="1:33" x14ac:dyDescent="0.2">
      <c r="A29">
        <f>+DB!C29</f>
        <v>4</v>
      </c>
      <c r="B29" t="str">
        <f>+DB!D29</f>
        <v>PTV-0</v>
      </c>
      <c r="C29">
        <f>+DB!E29</f>
        <v>0</v>
      </c>
      <c r="D29">
        <f t="shared" si="0"/>
        <v>0</v>
      </c>
      <c r="E29">
        <f>+DB!G29</f>
        <v>827.19</v>
      </c>
      <c r="F29">
        <f>+DB!H29</f>
        <v>234.5</v>
      </c>
      <c r="G29">
        <f>+DB!N29</f>
        <v>117.81</v>
      </c>
      <c r="H29">
        <f>+DB!O29</f>
        <v>100.27</v>
      </c>
      <c r="I29" t="str">
        <f>+DB!I29</f>
        <v>FLP</v>
      </c>
      <c r="J29" t="str">
        <f>+DB!J29</f>
        <v>0°</v>
      </c>
      <c r="K29">
        <f>+DB!L29</f>
        <v>1</v>
      </c>
      <c r="L29" t="str">
        <f t="shared" si="1"/>
        <v>13</v>
      </c>
      <c r="M29" t="str">
        <f>+IF(LEFT(DB!M29,3)="13/","CAC","MAD")</f>
        <v>MAD</v>
      </c>
      <c r="N29" t="str">
        <f>+RIGHT(DB!M29,6)</f>
        <v>13m/C6</v>
      </c>
      <c r="O29">
        <v>95</v>
      </c>
      <c r="P29">
        <v>5</v>
      </c>
      <c r="Q29">
        <f>+DB!AB29</f>
        <v>0</v>
      </c>
      <c r="R29">
        <f>+DB!K29</f>
        <v>0</v>
      </c>
      <c r="S29" t="str">
        <f>+DB!F29</f>
        <v>AAAC-35</v>
      </c>
      <c r="T29">
        <f>+IF(DB!F29="AAAC-35",1,3)</f>
        <v>1</v>
      </c>
      <c r="U29">
        <f>+DB!R29</f>
        <v>0</v>
      </c>
      <c r="V29">
        <f>+IF(DB!P29="1RI",1,0)+IF(DB!P29="2RI",2,0)</f>
        <v>1</v>
      </c>
      <c r="W29">
        <f>+IF(DB!P29="1RV",1,0)+IF(DB!P29="2RV",2,0)</f>
        <v>0</v>
      </c>
      <c r="X29">
        <f>+IF(DB!P29="RYI",1,0)</f>
        <v>0</v>
      </c>
      <c r="Y29">
        <f>+IF(DB!P29="RYV",1,0)</f>
        <v>0</v>
      </c>
      <c r="Z29" t="str">
        <f>+DB!U29</f>
        <v>PAT-0</v>
      </c>
      <c r="AA29">
        <f>+IF(DB!F29="AAAC-35",19.5,33)</f>
        <v>19.5</v>
      </c>
      <c r="AB29" t="str">
        <f>+DB!V29</f>
        <v>CIM1</v>
      </c>
      <c r="AC29" t="str">
        <f t="shared" si="2"/>
        <v>56-4</v>
      </c>
      <c r="AD29" s="21" t="s">
        <v>72</v>
      </c>
      <c r="AE29">
        <f>+DB!X29</f>
        <v>0</v>
      </c>
      <c r="AF29" s="22">
        <f>+DB!Y29</f>
        <v>0</v>
      </c>
      <c r="AG29">
        <f>+DB!AK29</f>
        <v>0</v>
      </c>
    </row>
    <row r="30" spans="1:33" x14ac:dyDescent="0.2">
      <c r="A30">
        <f>+DB!C30</f>
        <v>0</v>
      </c>
      <c r="B30" t="str">
        <f>+DB!D30</f>
        <v>DS-0A</v>
      </c>
      <c r="C30">
        <f>+DB!E30</f>
        <v>0</v>
      </c>
      <c r="D30">
        <f t="shared" si="0"/>
        <v>0</v>
      </c>
      <c r="E30">
        <f>+DB!G30</f>
        <v>0</v>
      </c>
      <c r="F30">
        <f>+DB!H30</f>
        <v>267</v>
      </c>
      <c r="G30">
        <f>+DB!N30</f>
        <v>13.8</v>
      </c>
      <c r="H30">
        <f>+DB!O30</f>
        <v>26.23</v>
      </c>
      <c r="I30">
        <f>+DB!I30</f>
        <v>0</v>
      </c>
      <c r="J30" t="str">
        <f>+DB!J30</f>
        <v>0°</v>
      </c>
      <c r="K30">
        <f>+DB!L30</f>
        <v>0</v>
      </c>
      <c r="L30" t="str">
        <f t="shared" si="1"/>
        <v>13</v>
      </c>
      <c r="M30" t="str">
        <f>+IF(LEFT(DB!M30,3)="13/","CAC","MAD")</f>
        <v>CAC</v>
      </c>
      <c r="N30" t="str">
        <f>+RIGHT(DB!M30,6)</f>
        <v>13/200</v>
      </c>
      <c r="O30">
        <v>95</v>
      </c>
      <c r="P30">
        <v>5</v>
      </c>
      <c r="Q30">
        <f>+DB!AB30</f>
        <v>0</v>
      </c>
      <c r="R30">
        <f>+DB!K30</f>
        <v>52.47</v>
      </c>
      <c r="S30" t="str">
        <f>+DB!F30</f>
        <v>AAAC-35</v>
      </c>
      <c r="T30">
        <f>+IF(DB!F30="AAAC-35",1,3)</f>
        <v>1</v>
      </c>
      <c r="U30">
        <f>+DB!R30</f>
        <v>0</v>
      </c>
      <c r="V30">
        <f>+IF(DB!P30="1RI",1,0)+IF(DB!P30="2RI",2,0)</f>
        <v>0</v>
      </c>
      <c r="W30">
        <f>+IF(DB!P30="1RV",1,0)+IF(DB!P30="2RV",2,0)</f>
        <v>0</v>
      </c>
      <c r="X30">
        <f>+IF(DB!P30="RYI",1,0)</f>
        <v>0</v>
      </c>
      <c r="Y30">
        <f>+IF(DB!P30="RYV",1,0)</f>
        <v>0</v>
      </c>
      <c r="Z30">
        <f>+DB!U30</f>
        <v>0</v>
      </c>
      <c r="AA30">
        <f>+IF(DB!F30="AAAC-35",19.5,33)</f>
        <v>19.5</v>
      </c>
      <c r="AB30">
        <f>+DB!V30</f>
        <v>0</v>
      </c>
      <c r="AC30" t="str">
        <f t="shared" si="2"/>
        <v>56-4</v>
      </c>
      <c r="AD30" s="21" t="s">
        <v>72</v>
      </c>
      <c r="AE30">
        <f>+DB!X30</f>
        <v>0</v>
      </c>
      <c r="AF30" s="22">
        <f>+DB!Y30</f>
        <v>0</v>
      </c>
      <c r="AG30">
        <f>+DB!AK30</f>
        <v>0</v>
      </c>
    </row>
    <row r="31" spans="1:33" x14ac:dyDescent="0.2">
      <c r="A31">
        <f>+DB!C31</f>
        <v>1</v>
      </c>
      <c r="B31" t="str">
        <f>+DB!D31</f>
        <v>PSEC-0PA</v>
      </c>
      <c r="C31">
        <f>+DB!E31</f>
        <v>0</v>
      </c>
      <c r="D31" t="str">
        <f t="shared" si="0"/>
        <v>K</v>
      </c>
      <c r="E31">
        <f>+DB!G31</f>
        <v>52.47</v>
      </c>
      <c r="F31">
        <f>+DB!H31</f>
        <v>268</v>
      </c>
      <c r="G31">
        <f>+DB!N31</f>
        <v>140.07</v>
      </c>
      <c r="H31">
        <f>+DB!O31</f>
        <v>118.83</v>
      </c>
      <c r="I31" t="str">
        <f>+DB!I31</f>
        <v>V</v>
      </c>
      <c r="J31" t="str">
        <f>+DB!J31</f>
        <v>19°17'10.30"</v>
      </c>
      <c r="K31">
        <f>+DB!L31</f>
        <v>1</v>
      </c>
      <c r="L31" t="str">
        <f t="shared" si="1"/>
        <v>13</v>
      </c>
      <c r="M31" t="str">
        <f>+IF(LEFT(DB!M31,3)="13/","CAC","MAD")</f>
        <v>CAC</v>
      </c>
      <c r="N31" t="str">
        <f>+RIGHT(DB!M31,6)</f>
        <v>13/300</v>
      </c>
      <c r="O31">
        <v>95</v>
      </c>
      <c r="P31">
        <v>5</v>
      </c>
      <c r="Q31">
        <f>+DB!AB31</f>
        <v>0</v>
      </c>
      <c r="R31">
        <f>+DB!K31</f>
        <v>185.19</v>
      </c>
      <c r="S31" t="str">
        <f>+DB!F31</f>
        <v>AAAC-35</v>
      </c>
      <c r="T31">
        <f>+IF(DB!F31="AAAC-35",1,3)</f>
        <v>1</v>
      </c>
      <c r="U31">
        <f>+DB!R31</f>
        <v>0</v>
      </c>
      <c r="V31">
        <f>+IF(DB!P31="1RI",1,0)+IF(DB!P31="2RI",2,0)</f>
        <v>1</v>
      </c>
      <c r="W31">
        <f>+IF(DB!P31="1RV",1,0)+IF(DB!P31="2RV",2,0)</f>
        <v>0</v>
      </c>
      <c r="X31">
        <f>+IF(DB!P31="RYI",1,0)</f>
        <v>0</v>
      </c>
      <c r="Y31">
        <f>+IF(DB!P31="RYV",1,0)</f>
        <v>0</v>
      </c>
      <c r="Z31" t="str">
        <f>+DB!U31</f>
        <v>PAT-1</v>
      </c>
      <c r="AA31">
        <f>+IF(DB!F31="AAAC-35",19.5,33)</f>
        <v>19.5</v>
      </c>
      <c r="AB31" t="str">
        <f>+DB!V31</f>
        <v>CIM3</v>
      </c>
      <c r="AC31" t="str">
        <f t="shared" si="2"/>
        <v>56-4</v>
      </c>
      <c r="AD31" s="21" t="s">
        <v>72</v>
      </c>
      <c r="AE31">
        <f>+DB!X31</f>
        <v>0</v>
      </c>
      <c r="AF31" s="22">
        <f>+DB!Y31</f>
        <v>0</v>
      </c>
      <c r="AG31">
        <f>+DB!AK31</f>
        <v>0</v>
      </c>
    </row>
    <row r="32" spans="1:33" x14ac:dyDescent="0.2">
      <c r="A32">
        <f>+DB!C32</f>
        <v>2</v>
      </c>
      <c r="B32" t="str">
        <f>+DB!D32</f>
        <v>PS1-0</v>
      </c>
      <c r="C32">
        <f>+DB!E32</f>
        <v>0</v>
      </c>
      <c r="D32">
        <f t="shared" si="0"/>
        <v>0</v>
      </c>
      <c r="E32">
        <f>+DB!G32</f>
        <v>237.66</v>
      </c>
      <c r="F32">
        <f>+DB!H32</f>
        <v>265.97000000000003</v>
      </c>
      <c r="G32">
        <f>+DB!N32</f>
        <v>114.67</v>
      </c>
      <c r="H32">
        <f>+DB!O32</f>
        <v>148.02000000000001</v>
      </c>
      <c r="I32">
        <f>+DB!I32</f>
        <v>0</v>
      </c>
      <c r="J32" t="str">
        <f>+DB!J32</f>
        <v>0°</v>
      </c>
      <c r="K32">
        <f>+DB!L32</f>
        <v>1</v>
      </c>
      <c r="L32" t="str">
        <f t="shared" si="1"/>
        <v>13</v>
      </c>
      <c r="M32" t="str">
        <f>+IF(LEFT(DB!M32,3)="13/","CAC","MAD")</f>
        <v>CAC</v>
      </c>
      <c r="N32" t="str">
        <f>+RIGHT(DB!M32,6)</f>
        <v>13/200</v>
      </c>
      <c r="O32">
        <v>95</v>
      </c>
      <c r="P32">
        <v>5</v>
      </c>
      <c r="Q32">
        <f>+DB!AB32</f>
        <v>0</v>
      </c>
      <c r="R32">
        <f>+DB!K32</f>
        <v>110.85</v>
      </c>
      <c r="S32" t="str">
        <f>+DB!F32</f>
        <v>AAAC-35</v>
      </c>
      <c r="T32">
        <f>+IF(DB!F32="AAAC-35",1,3)</f>
        <v>1</v>
      </c>
      <c r="U32">
        <f>+DB!R32</f>
        <v>0</v>
      </c>
      <c r="V32">
        <f>+IF(DB!P32="1RI",1,0)+IF(DB!P32="2RI",2,0)</f>
        <v>0</v>
      </c>
      <c r="W32">
        <f>+IF(DB!P32="1RV",1,0)+IF(DB!P32="2RV",2,0)</f>
        <v>0</v>
      </c>
      <c r="X32">
        <f>+IF(DB!P32="RYI",1,0)</f>
        <v>0</v>
      </c>
      <c r="Y32">
        <f>+IF(DB!P32="RYV",1,0)</f>
        <v>0</v>
      </c>
      <c r="Z32" t="str">
        <f>+DB!U32</f>
        <v>PAT-0</v>
      </c>
      <c r="AA32">
        <f>+IF(DB!F32="AAAC-35",19.5,33)</f>
        <v>19.5</v>
      </c>
      <c r="AB32" t="str">
        <f>+DB!V32</f>
        <v>CIM3</v>
      </c>
      <c r="AC32" t="str">
        <f t="shared" si="2"/>
        <v>56-4</v>
      </c>
      <c r="AD32" s="21" t="s">
        <v>72</v>
      </c>
      <c r="AE32">
        <f>+DB!X32</f>
        <v>0</v>
      </c>
      <c r="AF32" s="22">
        <f>+DB!Y32</f>
        <v>0</v>
      </c>
      <c r="AG32">
        <f>+DB!AK32</f>
        <v>0</v>
      </c>
    </row>
    <row r="33" spans="1:33" x14ac:dyDescent="0.2">
      <c r="A33">
        <f>+DB!C33</f>
        <v>3</v>
      </c>
      <c r="B33" t="str">
        <f>+DB!D33</f>
        <v>PS1-0</v>
      </c>
      <c r="C33">
        <f>+DB!E33</f>
        <v>0</v>
      </c>
      <c r="D33">
        <f t="shared" si="0"/>
        <v>0</v>
      </c>
      <c r="E33">
        <f>+DB!G33</f>
        <v>348.52</v>
      </c>
      <c r="F33">
        <f>+DB!H33</f>
        <v>269.99</v>
      </c>
      <c r="G33">
        <f>+DB!N33</f>
        <v>198.31</v>
      </c>
      <c r="H33">
        <f>+DB!O33</f>
        <v>140.44999999999999</v>
      </c>
      <c r="I33">
        <f>+DB!I33</f>
        <v>0</v>
      </c>
      <c r="J33" t="str">
        <f>+DB!J33</f>
        <v>0°</v>
      </c>
      <c r="K33">
        <f>+DB!L33</f>
        <v>1</v>
      </c>
      <c r="L33" t="str">
        <f t="shared" si="1"/>
        <v>13</v>
      </c>
      <c r="M33" t="str">
        <f>+IF(LEFT(DB!M33,3)="13/","CAC","MAD")</f>
        <v>CAC</v>
      </c>
      <c r="N33" t="str">
        <f>+RIGHT(DB!M33,6)</f>
        <v>13/200</v>
      </c>
      <c r="O33">
        <v>95</v>
      </c>
      <c r="P33">
        <v>5</v>
      </c>
      <c r="Q33">
        <f>+DB!AB33</f>
        <v>0</v>
      </c>
      <c r="R33">
        <f>+DB!K33</f>
        <v>170.04</v>
      </c>
      <c r="S33" t="str">
        <f>+DB!F33</f>
        <v>AAAC-35</v>
      </c>
      <c r="T33">
        <f>+IF(DB!F33="AAAC-35",1,3)</f>
        <v>1</v>
      </c>
      <c r="U33">
        <f>+DB!R33</f>
        <v>0</v>
      </c>
      <c r="V33">
        <f>+IF(DB!P33="1RI",1,0)+IF(DB!P33="2RI",2,0)</f>
        <v>0</v>
      </c>
      <c r="W33">
        <f>+IF(DB!P33="1RV",1,0)+IF(DB!P33="2RV",2,0)</f>
        <v>0</v>
      </c>
      <c r="X33">
        <f>+IF(DB!P33="RYI",1,0)</f>
        <v>0</v>
      </c>
      <c r="Y33">
        <f>+IF(DB!P33="RYV",1,0)</f>
        <v>0</v>
      </c>
      <c r="Z33" t="str">
        <f>+DB!U33</f>
        <v>PAT-0</v>
      </c>
      <c r="AA33">
        <f>+IF(DB!F33="AAAC-35",19.5,33)</f>
        <v>19.5</v>
      </c>
      <c r="AB33" t="str">
        <f>+DB!V33</f>
        <v>CIM3</v>
      </c>
      <c r="AC33" t="str">
        <f t="shared" si="2"/>
        <v>56-4</v>
      </c>
      <c r="AD33" s="21" t="s">
        <v>72</v>
      </c>
      <c r="AE33">
        <f>+DB!X33</f>
        <v>0</v>
      </c>
      <c r="AF33" s="22">
        <f>+DB!Y33</f>
        <v>0</v>
      </c>
      <c r="AG33">
        <f>+DB!AK33</f>
        <v>0</v>
      </c>
    </row>
    <row r="34" spans="1:33" x14ac:dyDescent="0.2">
      <c r="A34">
        <f>+DB!C34</f>
        <v>4</v>
      </c>
      <c r="B34" t="str">
        <f>+DB!D34</f>
        <v>PR3-0</v>
      </c>
      <c r="C34">
        <f>+DB!E34</f>
        <v>0</v>
      </c>
      <c r="D34">
        <f t="shared" si="0"/>
        <v>0</v>
      </c>
      <c r="E34">
        <f>+DB!G34</f>
        <v>518.55999999999995</v>
      </c>
      <c r="F34">
        <f>+DB!H34</f>
        <v>265</v>
      </c>
      <c r="G34">
        <f>+DB!N34</f>
        <v>343.77</v>
      </c>
      <c r="H34">
        <f>+DB!O34</f>
        <v>380.37</v>
      </c>
      <c r="I34">
        <f>+DB!I34</f>
        <v>0</v>
      </c>
      <c r="J34" t="str">
        <f>+DB!J34</f>
        <v>0°</v>
      </c>
      <c r="K34">
        <f>+DB!L34</f>
        <v>1</v>
      </c>
      <c r="L34" t="str">
        <f t="shared" si="1"/>
        <v>13</v>
      </c>
      <c r="M34" t="str">
        <f>+IF(LEFT(DB!M34,3)="13/","CAC","MAD")</f>
        <v>CAC</v>
      </c>
      <c r="N34" t="str">
        <f>+RIGHT(DB!M34,6)</f>
        <v>13/300</v>
      </c>
      <c r="O34">
        <v>95</v>
      </c>
      <c r="P34">
        <v>5</v>
      </c>
      <c r="Q34">
        <f>+DB!AB34</f>
        <v>0</v>
      </c>
      <c r="R34">
        <f>+DB!K34</f>
        <v>590.70000000000005</v>
      </c>
      <c r="S34" t="str">
        <f>+DB!F34</f>
        <v>AAAC-35</v>
      </c>
      <c r="T34">
        <f>+IF(DB!F34="AAAC-35",1,3)</f>
        <v>1</v>
      </c>
      <c r="U34">
        <f>+DB!R34</f>
        <v>2</v>
      </c>
      <c r="V34">
        <f>+IF(DB!P34="1RI",1,0)+IF(DB!P34="2RI",2,0)</f>
        <v>2</v>
      </c>
      <c r="W34">
        <f>+IF(DB!P34="1RV",1,0)+IF(DB!P34="2RV",2,0)</f>
        <v>0</v>
      </c>
      <c r="X34">
        <f>+IF(DB!P34="RYI",1,0)</f>
        <v>0</v>
      </c>
      <c r="Y34">
        <f>+IF(DB!P34="RYV",1,0)</f>
        <v>0</v>
      </c>
      <c r="Z34" t="str">
        <f>+DB!U34</f>
        <v>PAT-0</v>
      </c>
      <c r="AA34">
        <f>+IF(DB!F34="AAAC-35",19.5,33)</f>
        <v>19.5</v>
      </c>
      <c r="AB34" t="str">
        <f>+DB!V34</f>
        <v>CIM3</v>
      </c>
      <c r="AC34" t="str">
        <f t="shared" si="2"/>
        <v>56-4</v>
      </c>
      <c r="AD34" s="21" t="s">
        <v>72</v>
      </c>
      <c r="AE34">
        <f>+DB!X34</f>
        <v>0</v>
      </c>
      <c r="AF34" s="22">
        <f>+DB!Y34</f>
        <v>0</v>
      </c>
      <c r="AG34">
        <f>+DB!AK34</f>
        <v>0</v>
      </c>
    </row>
    <row r="35" spans="1:33" x14ac:dyDescent="0.2">
      <c r="A35">
        <f>+DB!C35</f>
        <v>5</v>
      </c>
      <c r="B35" t="str">
        <f>+DB!D35</f>
        <v>PTV-0</v>
      </c>
      <c r="C35">
        <f>+DB!E35</f>
        <v>0</v>
      </c>
      <c r="D35">
        <f t="shared" si="0"/>
        <v>0</v>
      </c>
      <c r="E35">
        <f>+DB!G35</f>
        <v>1109.26</v>
      </c>
      <c r="F35">
        <f>+DB!H35</f>
        <v>267</v>
      </c>
      <c r="G35">
        <f>+DB!N35</f>
        <v>301.98</v>
      </c>
      <c r="H35">
        <f>+DB!O35</f>
        <v>295.35000000000002</v>
      </c>
      <c r="I35" t="str">
        <f>+DB!I35</f>
        <v>FLP</v>
      </c>
      <c r="J35" t="str">
        <f>+DB!J35</f>
        <v>0°</v>
      </c>
      <c r="K35">
        <f>+DB!L35</f>
        <v>1</v>
      </c>
      <c r="L35" t="str">
        <f t="shared" si="1"/>
        <v>13</v>
      </c>
      <c r="M35" t="str">
        <f>+IF(LEFT(DB!M35,3)="13/","CAC","MAD")</f>
        <v>MAD</v>
      </c>
      <c r="N35" t="str">
        <f>+RIGHT(DB!M35,6)</f>
        <v>13m/C6</v>
      </c>
      <c r="O35">
        <v>95</v>
      </c>
      <c r="P35">
        <v>5</v>
      </c>
      <c r="Q35">
        <f>+DB!AB35</f>
        <v>0</v>
      </c>
      <c r="R35">
        <f>+DB!K35</f>
        <v>0</v>
      </c>
      <c r="S35" t="str">
        <f>+DB!F35</f>
        <v>AAAC-35</v>
      </c>
      <c r="T35">
        <f>+IF(DB!F35="AAAC-35",1,3)</f>
        <v>1</v>
      </c>
      <c r="U35">
        <f>+DB!R35</f>
        <v>0</v>
      </c>
      <c r="V35">
        <f>+IF(DB!P35="1RI",1,0)+IF(DB!P35="2RI",2,0)</f>
        <v>1</v>
      </c>
      <c r="W35">
        <f>+IF(DB!P35="1RV",1,0)+IF(DB!P35="2RV",2,0)</f>
        <v>0</v>
      </c>
      <c r="X35">
        <f>+IF(DB!P35="RYI",1,0)</f>
        <v>0</v>
      </c>
      <c r="Y35">
        <f>+IF(DB!P35="RYV",1,0)</f>
        <v>0</v>
      </c>
      <c r="Z35" t="str">
        <f>+DB!U35</f>
        <v>PAT-0</v>
      </c>
      <c r="AA35">
        <f>+IF(DB!F35="AAAC-35",19.5,33)</f>
        <v>19.5</v>
      </c>
      <c r="AB35" t="str">
        <f>+DB!V35</f>
        <v>CIM1</v>
      </c>
      <c r="AC35" t="str">
        <f t="shared" si="2"/>
        <v>56-4</v>
      </c>
      <c r="AD35" s="21" t="s">
        <v>72</v>
      </c>
      <c r="AE35">
        <f>+DB!X35</f>
        <v>0</v>
      </c>
      <c r="AF35" s="22">
        <f>+DB!Y35</f>
        <v>0</v>
      </c>
      <c r="AG35">
        <f>+DB!AK35</f>
        <v>0</v>
      </c>
    </row>
    <row r="36" spans="1:33" x14ac:dyDescent="0.2">
      <c r="A36">
        <f>+DB!C36</f>
        <v>0</v>
      </c>
      <c r="B36" t="str">
        <f>+DB!D36</f>
        <v>DS-0A</v>
      </c>
      <c r="C36">
        <f>+DB!E36</f>
        <v>0</v>
      </c>
      <c r="D36">
        <f t="shared" si="0"/>
        <v>0</v>
      </c>
      <c r="E36">
        <f>+DB!G36</f>
        <v>0</v>
      </c>
      <c r="F36">
        <f>+DB!H36</f>
        <v>256</v>
      </c>
      <c r="G36">
        <f>+DB!N36</f>
        <v>29.52</v>
      </c>
      <c r="H36">
        <f>+DB!O36</f>
        <v>24.36</v>
      </c>
      <c r="I36">
        <f>+DB!I36</f>
        <v>0</v>
      </c>
      <c r="J36" t="str">
        <f>+DB!J36</f>
        <v>0°</v>
      </c>
      <c r="K36">
        <f>+DB!L36</f>
        <v>0</v>
      </c>
      <c r="L36" t="str">
        <f t="shared" si="1"/>
        <v>13</v>
      </c>
      <c r="M36" t="str">
        <f>+IF(LEFT(DB!M36,3)="13/","CAC","MAD")</f>
        <v>CAC</v>
      </c>
      <c r="N36" t="str">
        <f>+RIGHT(DB!M36,6)</f>
        <v>13/300</v>
      </c>
      <c r="O36">
        <v>95</v>
      </c>
      <c r="P36">
        <v>5</v>
      </c>
      <c r="Q36">
        <f>+DB!AB36</f>
        <v>0</v>
      </c>
      <c r="R36">
        <f>+DB!K36</f>
        <v>48.73</v>
      </c>
      <c r="S36" t="str">
        <f>+DB!F36</f>
        <v>AAAC-35</v>
      </c>
      <c r="T36">
        <f>+IF(DB!F36="AAAC-35",1,3)</f>
        <v>1</v>
      </c>
      <c r="U36">
        <f>+DB!R36</f>
        <v>0</v>
      </c>
      <c r="V36">
        <f>+IF(DB!P36="1RI",1,0)+IF(DB!P36="2RI",2,0)</f>
        <v>0</v>
      </c>
      <c r="W36">
        <f>+IF(DB!P36="1RV",1,0)+IF(DB!P36="2RV",2,0)</f>
        <v>0</v>
      </c>
      <c r="X36">
        <f>+IF(DB!P36="RYI",1,0)</f>
        <v>0</v>
      </c>
      <c r="Y36">
        <f>+IF(DB!P36="RYV",1,0)</f>
        <v>0</v>
      </c>
      <c r="Z36">
        <f>+DB!U36</f>
        <v>0</v>
      </c>
      <c r="AA36">
        <f>+IF(DB!F36="AAAC-35",19.5,33)</f>
        <v>19.5</v>
      </c>
      <c r="AB36">
        <f>+DB!V36</f>
        <v>0</v>
      </c>
      <c r="AC36" t="str">
        <f t="shared" si="2"/>
        <v>56-4</v>
      </c>
      <c r="AD36" s="21" t="s">
        <v>72</v>
      </c>
      <c r="AE36">
        <f>+DB!X36</f>
        <v>0</v>
      </c>
      <c r="AF36" s="22">
        <f>+DB!Y36</f>
        <v>0</v>
      </c>
      <c r="AG36">
        <f>+DB!AK36</f>
        <v>0</v>
      </c>
    </row>
    <row r="37" spans="1:33" x14ac:dyDescent="0.2">
      <c r="A37">
        <f>+DB!C37</f>
        <v>1</v>
      </c>
      <c r="B37" t="str">
        <f>+DB!D37</f>
        <v>TS-0</v>
      </c>
      <c r="C37">
        <f>+DB!E37</f>
        <v>0</v>
      </c>
      <c r="D37">
        <f t="shared" si="0"/>
        <v>0</v>
      </c>
      <c r="E37">
        <f>+DB!G37</f>
        <v>48.73</v>
      </c>
      <c r="F37">
        <f>+DB!H37</f>
        <v>254</v>
      </c>
      <c r="G37">
        <f>+DB!N37</f>
        <v>50.91</v>
      </c>
      <c r="H37">
        <f>+DB!O37</f>
        <v>87.59</v>
      </c>
      <c r="I37" t="str">
        <f>+DB!I37</f>
        <v>P1</v>
      </c>
      <c r="J37" t="str">
        <f>+DB!J37</f>
        <v>73°40'13.91"</v>
      </c>
      <c r="K37">
        <f>+DB!L37</f>
        <v>1</v>
      </c>
      <c r="L37" t="str">
        <f t="shared" si="1"/>
        <v>13</v>
      </c>
      <c r="M37" t="str">
        <f>+IF(LEFT(DB!M37,3)="13/","CAC","MAD")</f>
        <v>CAC</v>
      </c>
      <c r="N37" t="str">
        <f>+RIGHT(DB!M37,6)</f>
        <v>13/300</v>
      </c>
      <c r="O37">
        <v>95</v>
      </c>
      <c r="P37">
        <v>5</v>
      </c>
      <c r="Q37">
        <f>+DB!AB37</f>
        <v>0</v>
      </c>
      <c r="R37">
        <f>+DB!K37</f>
        <v>126.44</v>
      </c>
      <c r="S37" t="str">
        <f>+DB!F37</f>
        <v>AAAC-35</v>
      </c>
      <c r="T37">
        <f>+IF(DB!F37="AAAC-35",1,3)</f>
        <v>1</v>
      </c>
      <c r="U37">
        <f>+DB!R37</f>
        <v>0</v>
      </c>
      <c r="V37">
        <f>+IF(DB!P37="1RI",1,0)+IF(DB!P37="2RI",2,0)</f>
        <v>1</v>
      </c>
      <c r="W37">
        <f>+IF(DB!P37="1RV",1,0)+IF(DB!P37="2RV",2,0)</f>
        <v>0</v>
      </c>
      <c r="X37">
        <f>+IF(DB!P37="RYI",1,0)</f>
        <v>0</v>
      </c>
      <c r="Y37">
        <f>+IF(DB!P37="RYV",1,0)</f>
        <v>0</v>
      </c>
      <c r="Z37" t="str">
        <f>+DB!U37</f>
        <v>PAT-0</v>
      </c>
      <c r="AA37">
        <f>+IF(DB!F37="AAAC-35",19.5,33)</f>
        <v>19.5</v>
      </c>
      <c r="AB37" t="str">
        <f>+DB!V37</f>
        <v>CIM3</v>
      </c>
      <c r="AC37" t="str">
        <f t="shared" si="2"/>
        <v>56-4</v>
      </c>
      <c r="AD37" s="21" t="s">
        <v>72</v>
      </c>
      <c r="AE37">
        <f>+DB!X37</f>
        <v>0</v>
      </c>
      <c r="AF37" s="22">
        <f>+DB!Y37</f>
        <v>0</v>
      </c>
      <c r="AG37">
        <f>+DB!AK37</f>
        <v>0</v>
      </c>
    </row>
    <row r="38" spans="1:33" x14ac:dyDescent="0.2">
      <c r="A38">
        <f>+DB!C38</f>
        <v>2</v>
      </c>
      <c r="B38" t="str">
        <f>+DB!D38</f>
        <v>PS1-0</v>
      </c>
      <c r="C38">
        <f>+DB!E38</f>
        <v>0</v>
      </c>
      <c r="D38">
        <f t="shared" si="0"/>
        <v>0</v>
      </c>
      <c r="E38">
        <f>+DB!G38</f>
        <v>175.17</v>
      </c>
      <c r="F38">
        <f>+DB!H38</f>
        <v>260</v>
      </c>
      <c r="G38">
        <f>+DB!N38</f>
        <v>178.47</v>
      </c>
      <c r="H38">
        <f>+DB!O38</f>
        <v>161.30000000000001</v>
      </c>
      <c r="I38">
        <f>+DB!I38</f>
        <v>0</v>
      </c>
      <c r="J38" t="str">
        <f>+DB!J38</f>
        <v>0°</v>
      </c>
      <c r="K38">
        <f>+DB!L38</f>
        <v>1</v>
      </c>
      <c r="L38" t="str">
        <f t="shared" si="1"/>
        <v>13</v>
      </c>
      <c r="M38" t="str">
        <f>+IF(LEFT(DB!M38,3)="13/","CAC","MAD")</f>
        <v>MAD</v>
      </c>
      <c r="N38" t="str">
        <f>+RIGHT(DB!M38,6)</f>
        <v>13m/C6</v>
      </c>
      <c r="O38">
        <v>95</v>
      </c>
      <c r="P38">
        <v>5</v>
      </c>
      <c r="Q38">
        <f>+DB!AB38</f>
        <v>0</v>
      </c>
      <c r="R38">
        <f>+DB!K38</f>
        <v>196.15</v>
      </c>
      <c r="S38" t="str">
        <f>+DB!F38</f>
        <v>AAAC-35</v>
      </c>
      <c r="T38">
        <f>+IF(DB!F38="AAAC-35",1,3)</f>
        <v>1</v>
      </c>
      <c r="U38">
        <f>+DB!R38</f>
        <v>0</v>
      </c>
      <c r="V38">
        <f>+IF(DB!P38="1RI",1,0)+IF(DB!P38="2RI",2,0)</f>
        <v>0</v>
      </c>
      <c r="W38">
        <f>+IF(DB!P38="1RV",1,0)+IF(DB!P38="2RV",2,0)</f>
        <v>0</v>
      </c>
      <c r="X38">
        <f>+IF(DB!P38="RYI",1,0)</f>
        <v>0</v>
      </c>
      <c r="Y38">
        <f>+IF(DB!P38="RYV",1,0)</f>
        <v>0</v>
      </c>
      <c r="Z38" t="str">
        <f>+DB!U38</f>
        <v>PAT-0</v>
      </c>
      <c r="AA38">
        <f>+IF(DB!F38="AAAC-35",19.5,33)</f>
        <v>19.5</v>
      </c>
      <c r="AB38" t="str">
        <f>+DB!V38</f>
        <v>CIM1</v>
      </c>
      <c r="AC38" t="str">
        <f t="shared" si="2"/>
        <v>56-4</v>
      </c>
      <c r="AD38" s="21" t="s">
        <v>72</v>
      </c>
      <c r="AE38">
        <f>+DB!X38</f>
        <v>0</v>
      </c>
      <c r="AF38" s="22">
        <f>+DB!Y38</f>
        <v>0</v>
      </c>
      <c r="AG38">
        <f>+DB!AK38</f>
        <v>0</v>
      </c>
    </row>
    <row r="39" spans="1:33" x14ac:dyDescent="0.2">
      <c r="A39">
        <f>+DB!C39</f>
        <v>3</v>
      </c>
      <c r="B39" t="str">
        <f>+DB!D39</f>
        <v>PA1-0</v>
      </c>
      <c r="C39">
        <f>+DB!E39</f>
        <v>0</v>
      </c>
      <c r="D39">
        <f t="shared" si="0"/>
        <v>0</v>
      </c>
      <c r="E39">
        <f>+DB!G39</f>
        <v>371.32</v>
      </c>
      <c r="F39">
        <f>+DB!H39</f>
        <v>263</v>
      </c>
      <c r="G39">
        <f>+DB!N39</f>
        <v>192.94</v>
      </c>
      <c r="H39">
        <f>+DB!O39</f>
        <v>161.77000000000001</v>
      </c>
      <c r="I39" t="str">
        <f>+DB!I39</f>
        <v>V1</v>
      </c>
      <c r="J39" t="str">
        <f>+DB!J39</f>
        <v>22°9'44.64"</v>
      </c>
      <c r="K39">
        <f>+DB!L39</f>
        <v>1</v>
      </c>
      <c r="L39" t="str">
        <f t="shared" si="1"/>
        <v>13</v>
      </c>
      <c r="M39" t="str">
        <f>+IF(LEFT(DB!M39,3)="13/","CAC","MAD")</f>
        <v>MAD</v>
      </c>
      <c r="N39" t="str">
        <f>+RIGHT(DB!M39,6)</f>
        <v>13m/C6</v>
      </c>
      <c r="O39">
        <v>95</v>
      </c>
      <c r="P39">
        <v>5</v>
      </c>
      <c r="Q39">
        <f>+DB!AB39</f>
        <v>0</v>
      </c>
      <c r="R39">
        <f>+DB!K39</f>
        <v>127.39</v>
      </c>
      <c r="S39" t="str">
        <f>+DB!F39</f>
        <v>AAAC-35</v>
      </c>
      <c r="T39">
        <f>+IF(DB!F39="AAAC-35",1,3)</f>
        <v>1</v>
      </c>
      <c r="U39">
        <f>+DB!R39</f>
        <v>0</v>
      </c>
      <c r="V39">
        <f>+IF(DB!P39="1RI",1,0)+IF(DB!P39="2RI",2,0)</f>
        <v>1</v>
      </c>
      <c r="W39">
        <f>+IF(DB!P39="1RV",1,0)+IF(DB!P39="2RV",2,0)</f>
        <v>0</v>
      </c>
      <c r="X39">
        <f>+IF(DB!P39="RYI",1,0)</f>
        <v>0</v>
      </c>
      <c r="Y39">
        <f>+IF(DB!P39="RYV",1,0)</f>
        <v>0</v>
      </c>
      <c r="Z39" t="str">
        <f>+DB!U39</f>
        <v>PAT-0</v>
      </c>
      <c r="AA39">
        <f>+IF(DB!F39="AAAC-35",19.5,33)</f>
        <v>19.5</v>
      </c>
      <c r="AB39" t="str">
        <f>+DB!V39</f>
        <v>CIM1</v>
      </c>
      <c r="AC39" t="str">
        <f t="shared" si="2"/>
        <v>56-4</v>
      </c>
      <c r="AD39" s="21" t="s">
        <v>72</v>
      </c>
      <c r="AE39">
        <f>+DB!X39</f>
        <v>0</v>
      </c>
      <c r="AF39" s="22">
        <f>+DB!Y39</f>
        <v>0</v>
      </c>
      <c r="AG39">
        <f>+DB!AK39</f>
        <v>0</v>
      </c>
    </row>
    <row r="40" spans="1:33" x14ac:dyDescent="0.2">
      <c r="A40">
        <f>+DB!C40</f>
        <v>4</v>
      </c>
      <c r="B40" t="str">
        <f>+DB!D40</f>
        <v>PS1-0</v>
      </c>
      <c r="C40">
        <f>+DB!E40</f>
        <v>0</v>
      </c>
      <c r="D40">
        <f t="shared" si="0"/>
        <v>0</v>
      </c>
      <c r="E40">
        <f>+DB!G40</f>
        <v>498.71</v>
      </c>
      <c r="F40">
        <f>+DB!H40</f>
        <v>259.97000000000003</v>
      </c>
      <c r="G40">
        <f>+DB!N40</f>
        <v>124.28</v>
      </c>
      <c r="H40">
        <f>+DB!O40</f>
        <v>148.87</v>
      </c>
      <c r="I40">
        <f>+DB!I40</f>
        <v>0</v>
      </c>
      <c r="J40" t="str">
        <f>+DB!J40</f>
        <v>0°</v>
      </c>
      <c r="K40">
        <f>+DB!L40</f>
        <v>1</v>
      </c>
      <c r="L40" t="str">
        <f t="shared" si="1"/>
        <v>13</v>
      </c>
      <c r="M40" t="str">
        <f>+IF(LEFT(DB!M40,3)="13/","CAC","MAD")</f>
        <v>MAD</v>
      </c>
      <c r="N40" t="str">
        <f>+RIGHT(DB!M40,6)</f>
        <v>13m/C6</v>
      </c>
      <c r="O40">
        <v>95</v>
      </c>
      <c r="P40">
        <v>5</v>
      </c>
      <c r="Q40">
        <f>+DB!AB40</f>
        <v>0</v>
      </c>
      <c r="R40">
        <f>+DB!K40</f>
        <v>170.35</v>
      </c>
      <c r="S40" t="str">
        <f>+DB!F40</f>
        <v>AAAC-35</v>
      </c>
      <c r="T40">
        <f>+IF(DB!F40="AAAC-35",1,3)</f>
        <v>1</v>
      </c>
      <c r="U40">
        <f>+DB!R40</f>
        <v>0</v>
      </c>
      <c r="V40">
        <f>+IF(DB!P40="1RI",1,0)+IF(DB!P40="2RI",2,0)</f>
        <v>0</v>
      </c>
      <c r="W40">
        <f>+IF(DB!P40="1RV",1,0)+IF(DB!P40="2RV",2,0)</f>
        <v>0</v>
      </c>
      <c r="X40">
        <f>+IF(DB!P40="RYI",1,0)</f>
        <v>0</v>
      </c>
      <c r="Y40">
        <f>+IF(DB!P40="RYV",1,0)</f>
        <v>0</v>
      </c>
      <c r="Z40" t="str">
        <f>+DB!U40</f>
        <v>PAT-0</v>
      </c>
      <c r="AA40">
        <f>+IF(DB!F40="AAAC-35",19.5,33)</f>
        <v>19.5</v>
      </c>
      <c r="AB40" t="str">
        <f>+DB!V40</f>
        <v>CIM1</v>
      </c>
      <c r="AC40" t="str">
        <f t="shared" si="2"/>
        <v>56-4</v>
      </c>
      <c r="AD40" s="21" t="s">
        <v>72</v>
      </c>
      <c r="AE40">
        <f>+DB!X40</f>
        <v>0</v>
      </c>
      <c r="AF40" s="22">
        <f>+DB!Y40</f>
        <v>0</v>
      </c>
      <c r="AG40">
        <f>+DB!AK40</f>
        <v>0</v>
      </c>
    </row>
    <row r="41" spans="1:33" x14ac:dyDescent="0.2">
      <c r="A41">
        <f>+DB!C41</f>
        <v>5</v>
      </c>
      <c r="B41" t="str">
        <f>+DB!D41</f>
        <v>PS1-0</v>
      </c>
      <c r="C41">
        <f>+DB!E41</f>
        <v>0</v>
      </c>
      <c r="D41">
        <f t="shared" si="0"/>
        <v>0</v>
      </c>
      <c r="E41">
        <f>+DB!G41</f>
        <v>669.06</v>
      </c>
      <c r="F41">
        <f>+DB!H41</f>
        <v>261.70999999999998</v>
      </c>
      <c r="G41">
        <f>+DB!N41</f>
        <v>230.12</v>
      </c>
      <c r="H41">
        <f>+DB!O41</f>
        <v>165.71</v>
      </c>
      <c r="I41">
        <f>+DB!I41</f>
        <v>0</v>
      </c>
      <c r="J41" t="str">
        <f>+DB!J41</f>
        <v>0°</v>
      </c>
      <c r="K41">
        <f>+DB!L41</f>
        <v>1</v>
      </c>
      <c r="L41" t="str">
        <f t="shared" si="1"/>
        <v>13</v>
      </c>
      <c r="M41" t="str">
        <f>+IF(LEFT(DB!M41,3)="13/","CAC","MAD")</f>
        <v>MAD</v>
      </c>
      <c r="N41" t="str">
        <f>+RIGHT(DB!M41,6)</f>
        <v>13m/C6</v>
      </c>
      <c r="O41">
        <v>95</v>
      </c>
      <c r="P41">
        <v>5</v>
      </c>
      <c r="Q41">
        <f>+DB!AB41</f>
        <v>0</v>
      </c>
      <c r="R41">
        <f>+DB!K41</f>
        <v>161.06</v>
      </c>
      <c r="S41" t="str">
        <f>+DB!F41</f>
        <v>AAAC-35</v>
      </c>
      <c r="T41">
        <f>+IF(DB!F41="AAAC-35",1,3)</f>
        <v>1</v>
      </c>
      <c r="U41">
        <f>+DB!R41</f>
        <v>0</v>
      </c>
      <c r="V41">
        <f>+IF(DB!P41="1RI",1,0)+IF(DB!P41="2RI",2,0)</f>
        <v>0</v>
      </c>
      <c r="W41">
        <f>+IF(DB!P41="1RV",1,0)+IF(DB!P41="2RV",2,0)</f>
        <v>0</v>
      </c>
      <c r="X41">
        <f>+IF(DB!P41="RYI",1,0)</f>
        <v>0</v>
      </c>
      <c r="Y41">
        <f>+IF(DB!P41="RYV",1,0)</f>
        <v>0</v>
      </c>
      <c r="Z41" t="str">
        <f>+DB!U41</f>
        <v>PAT-0</v>
      </c>
      <c r="AA41">
        <f>+IF(DB!F41="AAAC-35",19.5,33)</f>
        <v>19.5</v>
      </c>
      <c r="AB41" t="str">
        <f>+DB!V41</f>
        <v>CIM1</v>
      </c>
      <c r="AC41" t="str">
        <f t="shared" si="2"/>
        <v>56-4</v>
      </c>
      <c r="AD41" s="21" t="s">
        <v>72</v>
      </c>
      <c r="AE41">
        <f>+DB!X41</f>
        <v>0</v>
      </c>
      <c r="AF41" s="22">
        <f>+DB!Y41</f>
        <v>0</v>
      </c>
      <c r="AG41">
        <f>+DB!AK41</f>
        <v>0</v>
      </c>
    </row>
    <row r="42" spans="1:33" x14ac:dyDescent="0.2">
      <c r="A42">
        <f>+DB!C42</f>
        <v>6</v>
      </c>
      <c r="B42" t="str">
        <f>+DB!D42</f>
        <v>PS1-0</v>
      </c>
      <c r="C42">
        <f>+DB!E42</f>
        <v>0</v>
      </c>
      <c r="D42">
        <f t="shared" si="0"/>
        <v>0</v>
      </c>
      <c r="E42">
        <f>+DB!G42</f>
        <v>830.12</v>
      </c>
      <c r="F42">
        <f>+DB!H42</f>
        <v>250.99</v>
      </c>
      <c r="G42">
        <f>+DB!N42</f>
        <v>159.30000000000001</v>
      </c>
      <c r="H42">
        <f>+DB!O42</f>
        <v>218.28</v>
      </c>
      <c r="I42">
        <f>+DB!I42</f>
        <v>0</v>
      </c>
      <c r="J42" t="str">
        <f>+DB!J42</f>
        <v>0°</v>
      </c>
      <c r="K42">
        <f>+DB!L42</f>
        <v>1</v>
      </c>
      <c r="L42" t="str">
        <f t="shared" si="1"/>
        <v>13</v>
      </c>
      <c r="M42" t="str">
        <f>+IF(LEFT(DB!M42,3)="13/","CAC","MAD")</f>
        <v>MAD</v>
      </c>
      <c r="N42" t="str">
        <f>+RIGHT(DB!M42,6)</f>
        <v>13m/C6</v>
      </c>
      <c r="O42">
        <v>95</v>
      </c>
      <c r="P42">
        <v>5</v>
      </c>
      <c r="Q42">
        <f>+DB!AB42</f>
        <v>0</v>
      </c>
      <c r="R42">
        <f>+DB!K42</f>
        <v>275.51</v>
      </c>
      <c r="S42" t="str">
        <f>+DB!F42</f>
        <v>AAAC-35</v>
      </c>
      <c r="T42">
        <f>+IF(DB!F42="AAAC-35",1,3)</f>
        <v>1</v>
      </c>
      <c r="U42">
        <f>+DB!R42</f>
        <v>0</v>
      </c>
      <c r="V42">
        <f>+IF(DB!P42="1RI",1,0)+IF(DB!P42="2RI",2,0)</f>
        <v>0</v>
      </c>
      <c r="W42">
        <f>+IF(DB!P42="1RV",1,0)+IF(DB!P42="2RV",2,0)</f>
        <v>0</v>
      </c>
      <c r="X42">
        <f>+IF(DB!P42="RYI",1,0)</f>
        <v>0</v>
      </c>
      <c r="Y42">
        <f>+IF(DB!P42="RYV",1,0)</f>
        <v>0</v>
      </c>
      <c r="Z42" t="str">
        <f>+DB!U42</f>
        <v>PAT-0</v>
      </c>
      <c r="AA42">
        <f>+IF(DB!F42="AAAC-35",19.5,33)</f>
        <v>19.5</v>
      </c>
      <c r="AB42" t="str">
        <f>+DB!V42</f>
        <v>CIM1</v>
      </c>
      <c r="AC42" t="str">
        <f t="shared" si="2"/>
        <v>56-4</v>
      </c>
      <c r="AD42" s="21" t="s">
        <v>72</v>
      </c>
      <c r="AE42">
        <f>+DB!X42</f>
        <v>0</v>
      </c>
      <c r="AF42" s="22">
        <f>+DB!Y42</f>
        <v>0</v>
      </c>
      <c r="AG42">
        <f>+DB!AK42</f>
        <v>0</v>
      </c>
    </row>
    <row r="43" spans="1:33" x14ac:dyDescent="0.2">
      <c r="A43">
        <f>+DB!C43</f>
        <v>7</v>
      </c>
      <c r="B43" t="str">
        <f>+DB!D43</f>
        <v>PS1-0</v>
      </c>
      <c r="C43">
        <f>+DB!E43</f>
        <v>0</v>
      </c>
      <c r="D43">
        <f t="shared" si="0"/>
        <v>0</v>
      </c>
      <c r="E43">
        <f>+DB!G43</f>
        <v>1105.6300000000001</v>
      </c>
      <c r="F43">
        <f>+DB!H43</f>
        <v>251.99</v>
      </c>
      <c r="G43">
        <f>+DB!N43</f>
        <v>153.56</v>
      </c>
      <c r="H43">
        <f>+DB!O43</f>
        <v>284.75</v>
      </c>
      <c r="I43">
        <f>+DB!I43</f>
        <v>0</v>
      </c>
      <c r="J43" t="str">
        <f>+DB!J43</f>
        <v>0°</v>
      </c>
      <c r="K43">
        <f>+DB!L43</f>
        <v>1</v>
      </c>
      <c r="L43" t="str">
        <f t="shared" si="1"/>
        <v>13</v>
      </c>
      <c r="M43" t="str">
        <f>+IF(LEFT(DB!M43,3)="13/","CAC","MAD")</f>
        <v>MAD</v>
      </c>
      <c r="N43" t="str">
        <f>+RIGHT(DB!M43,6)</f>
        <v>13m/C6</v>
      </c>
      <c r="O43">
        <v>95</v>
      </c>
      <c r="P43">
        <v>5</v>
      </c>
      <c r="Q43">
        <f>+DB!AB43</f>
        <v>0</v>
      </c>
      <c r="R43">
        <f>+DB!K43</f>
        <v>293.99</v>
      </c>
      <c r="S43" t="str">
        <f>+DB!F43</f>
        <v>AAAC-35</v>
      </c>
      <c r="T43">
        <f>+IF(DB!F43="AAAC-35",1,3)</f>
        <v>1</v>
      </c>
      <c r="U43">
        <f>+DB!R43</f>
        <v>0</v>
      </c>
      <c r="V43">
        <f>+IF(DB!P43="1RI",1,0)+IF(DB!P43="2RI",2,0)</f>
        <v>0</v>
      </c>
      <c r="W43">
        <f>+IF(DB!P43="1RV",1,0)+IF(DB!P43="2RV",2,0)</f>
        <v>0</v>
      </c>
      <c r="X43">
        <f>+IF(DB!P43="RYI",1,0)</f>
        <v>0</v>
      </c>
      <c r="Y43">
        <f>+IF(DB!P43="RYV",1,0)</f>
        <v>0</v>
      </c>
      <c r="Z43" t="str">
        <f>+DB!U43</f>
        <v>PAT-0</v>
      </c>
      <c r="AA43">
        <f>+IF(DB!F43="AAAC-35",19.5,33)</f>
        <v>19.5</v>
      </c>
      <c r="AB43" t="str">
        <f>+DB!V43</f>
        <v>CIM1</v>
      </c>
      <c r="AC43" t="str">
        <f t="shared" si="2"/>
        <v>56-4</v>
      </c>
      <c r="AD43" s="21" t="s">
        <v>72</v>
      </c>
      <c r="AE43">
        <f>+DB!X43</f>
        <v>0</v>
      </c>
      <c r="AF43" s="22">
        <f>+DB!Y43</f>
        <v>0</v>
      </c>
      <c r="AG43">
        <f>+DB!AK43</f>
        <v>0</v>
      </c>
    </row>
    <row r="44" spans="1:33" x14ac:dyDescent="0.2">
      <c r="A44">
        <f>+DB!C44</f>
        <v>8</v>
      </c>
      <c r="B44" t="str">
        <f>+DB!D44</f>
        <v>PA1-0</v>
      </c>
      <c r="C44">
        <f>+DB!E44</f>
        <v>0</v>
      </c>
      <c r="D44">
        <f t="shared" si="0"/>
        <v>0</v>
      </c>
      <c r="E44">
        <f>+DB!G44</f>
        <v>1399.62</v>
      </c>
      <c r="F44">
        <f>+DB!H44</f>
        <v>283</v>
      </c>
      <c r="G44">
        <f>+DB!N44</f>
        <v>377.11</v>
      </c>
      <c r="H44">
        <f>+DB!O44</f>
        <v>306.83</v>
      </c>
      <c r="I44" t="str">
        <f>+DB!I44</f>
        <v>V3</v>
      </c>
      <c r="J44" t="str">
        <f>+DB!J44</f>
        <v>12°51'51.82"</v>
      </c>
      <c r="K44">
        <f>+DB!L44</f>
        <v>1</v>
      </c>
      <c r="L44" t="str">
        <f t="shared" si="1"/>
        <v>13</v>
      </c>
      <c r="M44" t="str">
        <f>+IF(LEFT(DB!M44,3)="13/","CAC","MAD")</f>
        <v>MAD</v>
      </c>
      <c r="N44" t="str">
        <f>+RIGHT(DB!M44,6)</f>
        <v>13m/C6</v>
      </c>
      <c r="O44">
        <v>95</v>
      </c>
      <c r="P44">
        <v>5</v>
      </c>
      <c r="Q44">
        <f>+DB!AB44</f>
        <v>0</v>
      </c>
      <c r="R44">
        <f>+DB!K44</f>
        <v>319.68</v>
      </c>
      <c r="S44" t="str">
        <f>+DB!F44</f>
        <v>AAAC-35</v>
      </c>
      <c r="T44">
        <f>+IF(DB!F44="AAAC-35",1,3)</f>
        <v>1</v>
      </c>
      <c r="U44">
        <f>+DB!R44</f>
        <v>2</v>
      </c>
      <c r="V44">
        <f>+IF(DB!P44="1RI",1,0)+IF(DB!P44="2RI",2,0)</f>
        <v>1</v>
      </c>
      <c r="W44">
        <f>+IF(DB!P44="1RV",1,0)+IF(DB!P44="2RV",2,0)</f>
        <v>0</v>
      </c>
      <c r="X44">
        <f>+IF(DB!P44="RYI",1,0)</f>
        <v>0</v>
      </c>
      <c r="Y44">
        <f>+IF(DB!P44="RYV",1,0)</f>
        <v>0</v>
      </c>
      <c r="Z44" t="str">
        <f>+DB!U44</f>
        <v>PAT-0</v>
      </c>
      <c r="AA44">
        <f>+IF(DB!F44="AAAC-35",19.5,33)</f>
        <v>19.5</v>
      </c>
      <c r="AB44" t="str">
        <f>+DB!V44</f>
        <v>CIM1</v>
      </c>
      <c r="AC44" t="str">
        <f t="shared" si="2"/>
        <v>56-4</v>
      </c>
      <c r="AD44" s="21" t="s">
        <v>72</v>
      </c>
      <c r="AE44">
        <f>+DB!X44</f>
        <v>0</v>
      </c>
      <c r="AF44" s="22">
        <f>+DB!Y44</f>
        <v>0</v>
      </c>
      <c r="AG44">
        <f>+DB!AK44</f>
        <v>0</v>
      </c>
    </row>
    <row r="45" spans="1:33" x14ac:dyDescent="0.2">
      <c r="A45">
        <f>+DB!C45</f>
        <v>9</v>
      </c>
      <c r="B45" t="str">
        <f>+DB!D45</f>
        <v>PA1-0</v>
      </c>
      <c r="C45">
        <f>+DB!E45</f>
        <v>0</v>
      </c>
      <c r="D45">
        <f t="shared" si="0"/>
        <v>0</v>
      </c>
      <c r="E45">
        <f>+DB!G45</f>
        <v>1719.3</v>
      </c>
      <c r="F45">
        <f>+DB!H45</f>
        <v>299</v>
      </c>
      <c r="G45">
        <f>+DB!N45</f>
        <v>416.42</v>
      </c>
      <c r="H45">
        <f>+DB!O45</f>
        <v>307.06</v>
      </c>
      <c r="I45" t="str">
        <f>+DB!I45</f>
        <v>V4</v>
      </c>
      <c r="J45" t="str">
        <f>+DB!J45</f>
        <v>-21°3'57.24"</v>
      </c>
      <c r="K45">
        <f>+DB!L45</f>
        <v>1</v>
      </c>
      <c r="L45" t="str">
        <f t="shared" si="1"/>
        <v>13</v>
      </c>
      <c r="M45" t="str">
        <f>+IF(LEFT(DB!M45,3)="13/","CAC","MAD")</f>
        <v>MAD</v>
      </c>
      <c r="N45" t="str">
        <f>+RIGHT(DB!M45,6)</f>
        <v>13m/C6</v>
      </c>
      <c r="O45">
        <v>95</v>
      </c>
      <c r="P45">
        <v>5</v>
      </c>
      <c r="Q45">
        <f>+DB!AB45</f>
        <v>0</v>
      </c>
      <c r="R45">
        <f>+DB!K45</f>
        <v>294.44</v>
      </c>
      <c r="S45" t="str">
        <f>+DB!F45</f>
        <v>AAAC-35</v>
      </c>
      <c r="T45">
        <f>+IF(DB!F45="AAAC-35",1,3)</f>
        <v>1</v>
      </c>
      <c r="U45">
        <f>+DB!R45</f>
        <v>0</v>
      </c>
      <c r="V45">
        <f>+IF(DB!P45="1RI",1,0)+IF(DB!P45="2RI",2,0)</f>
        <v>1</v>
      </c>
      <c r="W45">
        <f>+IF(DB!P45="1RV",1,0)+IF(DB!P45="2RV",2,0)</f>
        <v>0</v>
      </c>
      <c r="X45">
        <f>+IF(DB!P45="RYI",1,0)</f>
        <v>0</v>
      </c>
      <c r="Y45">
        <f>+IF(DB!P45="RYV",1,0)</f>
        <v>0</v>
      </c>
      <c r="Z45" t="str">
        <f>+DB!U45</f>
        <v>PAT-0</v>
      </c>
      <c r="AA45">
        <f>+IF(DB!F45="AAAC-35",19.5,33)</f>
        <v>19.5</v>
      </c>
      <c r="AB45" t="str">
        <f>+DB!V45</f>
        <v>CIM1</v>
      </c>
      <c r="AC45" t="str">
        <f t="shared" si="2"/>
        <v>56-4</v>
      </c>
      <c r="AD45" s="21" t="s">
        <v>72</v>
      </c>
      <c r="AE45">
        <f>+DB!X45</f>
        <v>0</v>
      </c>
      <c r="AF45" s="22">
        <f>+DB!Y45</f>
        <v>0</v>
      </c>
      <c r="AG45">
        <f>+DB!AK45</f>
        <v>0</v>
      </c>
    </row>
    <row r="46" spans="1:33" x14ac:dyDescent="0.2">
      <c r="A46">
        <f>+DB!C46</f>
        <v>10</v>
      </c>
      <c r="B46" t="str">
        <f>+DB!D46</f>
        <v>PA1-0</v>
      </c>
      <c r="C46">
        <f>+DB!E46</f>
        <v>0</v>
      </c>
      <c r="D46">
        <f t="shared" si="0"/>
        <v>0</v>
      </c>
      <c r="E46">
        <f>+DB!G46</f>
        <v>2013.74</v>
      </c>
      <c r="F46">
        <f>+DB!H46</f>
        <v>290</v>
      </c>
      <c r="G46">
        <f>+DB!N46</f>
        <v>413.94</v>
      </c>
      <c r="H46">
        <f>+DB!O46</f>
        <v>388.73</v>
      </c>
      <c r="I46" t="str">
        <f>+DB!I46</f>
        <v>P10</v>
      </c>
      <c r="J46" t="str">
        <f>+DB!J46</f>
        <v>16°52'31.28"</v>
      </c>
      <c r="K46">
        <f>+DB!L46</f>
        <v>1</v>
      </c>
      <c r="L46" t="str">
        <f t="shared" si="1"/>
        <v>13</v>
      </c>
      <c r="M46" t="str">
        <f>+IF(LEFT(DB!M46,3)="13/","CAC","MAD")</f>
        <v>MAD</v>
      </c>
      <c r="N46" t="str">
        <f>+RIGHT(DB!M46,6)</f>
        <v>13m/C6</v>
      </c>
      <c r="O46">
        <v>95</v>
      </c>
      <c r="P46">
        <v>5</v>
      </c>
      <c r="Q46">
        <f>+DB!AB46</f>
        <v>0</v>
      </c>
      <c r="R46">
        <f>+DB!K46</f>
        <v>483.03</v>
      </c>
      <c r="S46" t="str">
        <f>+DB!F46</f>
        <v>AAAC-35</v>
      </c>
      <c r="T46">
        <f>+IF(DB!F46="AAAC-35",1,3)</f>
        <v>1</v>
      </c>
      <c r="U46">
        <f>+DB!R46</f>
        <v>2</v>
      </c>
      <c r="V46">
        <f>+IF(DB!P46="1RI",1,0)+IF(DB!P46="2RI",2,0)</f>
        <v>1</v>
      </c>
      <c r="W46">
        <f>+IF(DB!P46="1RV",1,0)+IF(DB!P46="2RV",2,0)</f>
        <v>0</v>
      </c>
      <c r="X46">
        <f>+IF(DB!P46="RYI",1,0)</f>
        <v>0</v>
      </c>
      <c r="Y46">
        <f>+IF(DB!P46="RYV",1,0)</f>
        <v>0</v>
      </c>
      <c r="Z46" t="str">
        <f>+DB!U46</f>
        <v>PAT-0</v>
      </c>
      <c r="AA46">
        <f>+IF(DB!F46="AAAC-35",19.5,33)</f>
        <v>19.5</v>
      </c>
      <c r="AB46" t="str">
        <f>+DB!V46</f>
        <v>CIM1</v>
      </c>
      <c r="AC46" t="str">
        <f t="shared" si="2"/>
        <v>56-4</v>
      </c>
      <c r="AD46" s="21" t="s">
        <v>72</v>
      </c>
      <c r="AE46">
        <f>+DB!X46</f>
        <v>0</v>
      </c>
      <c r="AF46" s="22">
        <f>+DB!Y46</f>
        <v>0</v>
      </c>
      <c r="AG46">
        <f>+DB!AK46</f>
        <v>0</v>
      </c>
    </row>
    <row r="47" spans="1:33" x14ac:dyDescent="0.2">
      <c r="A47">
        <f>+DB!C47</f>
        <v>11</v>
      </c>
      <c r="B47" t="str">
        <f>+DB!D47</f>
        <v>PR3-0</v>
      </c>
      <c r="C47">
        <f>+DB!E47</f>
        <v>0</v>
      </c>
      <c r="D47">
        <f t="shared" si="0"/>
        <v>0</v>
      </c>
      <c r="E47">
        <f>+DB!G47</f>
        <v>2496.77</v>
      </c>
      <c r="F47">
        <f>+DB!H47</f>
        <v>272</v>
      </c>
      <c r="G47">
        <f>+DB!N47</f>
        <v>502.13</v>
      </c>
      <c r="H47">
        <f>+DB!O47</f>
        <v>488.85</v>
      </c>
      <c r="I47" t="str">
        <f>+DB!I47</f>
        <v>V6</v>
      </c>
      <c r="J47" t="str">
        <f>+DB!J47</f>
        <v>6°29'52.94"</v>
      </c>
      <c r="K47">
        <f>+DB!L47</f>
        <v>1</v>
      </c>
      <c r="L47" t="str">
        <f t="shared" si="1"/>
        <v>13</v>
      </c>
      <c r="M47" t="str">
        <f>+IF(LEFT(DB!M47,3)="13/","CAC","MAD")</f>
        <v>MAD</v>
      </c>
      <c r="N47" t="str">
        <f>+RIGHT(DB!M47,6)</f>
        <v>13m/C6</v>
      </c>
      <c r="O47">
        <v>95</v>
      </c>
      <c r="P47">
        <v>5</v>
      </c>
      <c r="Q47">
        <f>+DB!AB47</f>
        <v>0</v>
      </c>
      <c r="R47">
        <f>+DB!K47</f>
        <v>494.68</v>
      </c>
      <c r="S47" t="str">
        <f>+DB!F47</f>
        <v>AAAC-35</v>
      </c>
      <c r="T47">
        <f>+IF(DB!F47="AAAC-35",1,3)</f>
        <v>1</v>
      </c>
      <c r="U47">
        <f>+DB!R47</f>
        <v>2</v>
      </c>
      <c r="V47">
        <f>+IF(DB!P47="1RI",1,0)+IF(DB!P47="2RI",2,0)</f>
        <v>2</v>
      </c>
      <c r="W47">
        <f>+IF(DB!P47="1RV",1,0)+IF(DB!P47="2RV",2,0)</f>
        <v>0</v>
      </c>
      <c r="X47">
        <f>+IF(DB!P47="RYI",1,0)</f>
        <v>0</v>
      </c>
      <c r="Y47">
        <f>+IF(DB!P47="RYV",1,0)</f>
        <v>0</v>
      </c>
      <c r="Z47" t="str">
        <f>+DB!U47</f>
        <v>PAT-0</v>
      </c>
      <c r="AA47">
        <f>+IF(DB!F47="AAAC-35",19.5,33)</f>
        <v>19.5</v>
      </c>
      <c r="AB47" t="str">
        <f>+DB!V47</f>
        <v>CIM1</v>
      </c>
      <c r="AC47" t="str">
        <f t="shared" si="2"/>
        <v>56-4</v>
      </c>
      <c r="AD47" s="21" t="s">
        <v>72</v>
      </c>
      <c r="AE47">
        <f>+DB!X47</f>
        <v>0</v>
      </c>
      <c r="AF47" s="22">
        <f>+DB!Y47</f>
        <v>0</v>
      </c>
      <c r="AG47">
        <f>+DB!AK47</f>
        <v>0</v>
      </c>
    </row>
    <row r="48" spans="1:33" x14ac:dyDescent="0.2">
      <c r="A48">
        <f>+DB!C48</f>
        <v>12</v>
      </c>
      <c r="B48" t="str">
        <f>+DB!D48</f>
        <v>PTV-0</v>
      </c>
      <c r="C48">
        <f>+DB!E48</f>
        <v>0</v>
      </c>
      <c r="D48">
        <f t="shared" si="0"/>
        <v>0</v>
      </c>
      <c r="E48">
        <f>+DB!G48</f>
        <v>2991.45</v>
      </c>
      <c r="F48">
        <f>+DB!H48</f>
        <v>250</v>
      </c>
      <c r="G48">
        <f>+DB!N48</f>
        <v>173.74</v>
      </c>
      <c r="H48">
        <f>+DB!O48</f>
        <v>247.34</v>
      </c>
      <c r="I48" t="str">
        <f>+DB!I48</f>
        <v>FLP</v>
      </c>
      <c r="J48" t="str">
        <f>+DB!J48</f>
        <v>0°</v>
      </c>
      <c r="K48">
        <f>+DB!L48</f>
        <v>1</v>
      </c>
      <c r="L48" t="str">
        <f t="shared" si="1"/>
        <v>13</v>
      </c>
      <c r="M48" t="str">
        <f>+IF(LEFT(DB!M48,3)="13/","CAC","MAD")</f>
        <v>MAD</v>
      </c>
      <c r="N48" t="str">
        <f>+RIGHT(DB!M48,6)</f>
        <v>13m/C6</v>
      </c>
      <c r="O48">
        <v>95</v>
      </c>
      <c r="P48">
        <v>5</v>
      </c>
      <c r="Q48">
        <f>+DB!AB48</f>
        <v>0</v>
      </c>
      <c r="R48">
        <f>+DB!K48</f>
        <v>0</v>
      </c>
      <c r="S48" t="str">
        <f>+DB!F48</f>
        <v>AAAC-35</v>
      </c>
      <c r="T48">
        <f>+IF(DB!F48="AAAC-35",1,3)</f>
        <v>1</v>
      </c>
      <c r="U48">
        <f>+DB!R48</f>
        <v>0</v>
      </c>
      <c r="V48">
        <f>+IF(DB!P48="1RI",1,0)+IF(DB!P48="2RI",2,0)</f>
        <v>1</v>
      </c>
      <c r="W48">
        <f>+IF(DB!P48="1RV",1,0)+IF(DB!P48="2RV",2,0)</f>
        <v>0</v>
      </c>
      <c r="X48">
        <f>+IF(DB!P48="RYI",1,0)</f>
        <v>0</v>
      </c>
      <c r="Y48">
        <f>+IF(DB!P48="RYV",1,0)</f>
        <v>0</v>
      </c>
      <c r="Z48" t="str">
        <f>+DB!U48</f>
        <v>PAT-0</v>
      </c>
      <c r="AA48">
        <f>+IF(DB!F48="AAAC-35",19.5,33)</f>
        <v>19.5</v>
      </c>
      <c r="AB48" t="str">
        <f>+DB!V48</f>
        <v>CIM1</v>
      </c>
      <c r="AC48" t="str">
        <f t="shared" si="2"/>
        <v>56-4</v>
      </c>
      <c r="AD48" s="21" t="s">
        <v>72</v>
      </c>
      <c r="AE48">
        <f>+DB!X48</f>
        <v>0</v>
      </c>
      <c r="AF48" s="22">
        <f>+DB!Y48</f>
        <v>0</v>
      </c>
      <c r="AG48">
        <f>+DB!AK48</f>
        <v>0</v>
      </c>
    </row>
    <row r="49" spans="1:33" x14ac:dyDescent="0.2">
      <c r="A49">
        <f>+DB!C49</f>
        <v>0</v>
      </c>
      <c r="B49" t="str">
        <f>+DB!D49</f>
        <v>DS-0</v>
      </c>
      <c r="C49">
        <f>+DB!E49</f>
        <v>0</v>
      </c>
      <c r="D49">
        <f t="shared" si="0"/>
        <v>0</v>
      </c>
      <c r="E49">
        <f>+DB!G49</f>
        <v>0</v>
      </c>
      <c r="F49">
        <f>+DB!H49</f>
        <v>246.12</v>
      </c>
      <c r="G49">
        <f>+DB!N49</f>
        <v>-90.82</v>
      </c>
      <c r="H49">
        <f>+DB!O49</f>
        <v>36.11</v>
      </c>
      <c r="I49" t="str">
        <f>+DB!I49</f>
        <v>E0</v>
      </c>
      <c r="J49" t="str">
        <f>+DB!J49</f>
        <v>0°</v>
      </c>
      <c r="K49">
        <f>+DB!L49</f>
        <v>0</v>
      </c>
      <c r="L49" t="str">
        <f t="shared" si="1"/>
        <v>13</v>
      </c>
      <c r="M49" t="str">
        <f>+IF(LEFT(DB!M49,3)="13/","CAC","MAD")</f>
        <v>MAD</v>
      </c>
      <c r="N49" t="str">
        <f>+RIGHT(DB!M49,6)</f>
        <v>13m/C6</v>
      </c>
      <c r="O49">
        <v>95</v>
      </c>
      <c r="P49">
        <v>5</v>
      </c>
      <c r="Q49">
        <f>+DB!AB49</f>
        <v>0</v>
      </c>
      <c r="R49">
        <f>+DB!K49</f>
        <v>72.22</v>
      </c>
      <c r="S49" t="str">
        <f>+DB!F49</f>
        <v>AAAC-35</v>
      </c>
      <c r="T49">
        <f>+IF(DB!F49="AAAC-35",1,3)</f>
        <v>1</v>
      </c>
      <c r="U49">
        <f>+DB!R49</f>
        <v>0</v>
      </c>
      <c r="V49">
        <f>+IF(DB!P49="1RI",1,0)+IF(DB!P49="2RI",2,0)</f>
        <v>0</v>
      </c>
      <c r="W49">
        <f>+IF(DB!P49="1RV",1,0)+IF(DB!P49="2RV",2,0)</f>
        <v>0</v>
      </c>
      <c r="X49">
        <f>+IF(DB!P49="RYI",1,0)</f>
        <v>0</v>
      </c>
      <c r="Y49">
        <f>+IF(DB!P49="RYV",1,0)</f>
        <v>0</v>
      </c>
      <c r="Z49">
        <f>+DB!U49</f>
        <v>0</v>
      </c>
      <c r="AA49">
        <f>+IF(DB!F49="AAAC-35",19.5,33)</f>
        <v>19.5</v>
      </c>
      <c r="AB49">
        <f>+DB!V49</f>
        <v>0</v>
      </c>
      <c r="AC49" t="str">
        <f t="shared" si="2"/>
        <v>56-4</v>
      </c>
      <c r="AD49" s="21" t="s">
        <v>72</v>
      </c>
      <c r="AE49">
        <f>+DB!X49</f>
        <v>0</v>
      </c>
      <c r="AF49" s="22">
        <f>+DB!Y49</f>
        <v>0</v>
      </c>
      <c r="AG49">
        <f>+DB!AK49</f>
        <v>0</v>
      </c>
    </row>
    <row r="50" spans="1:33" x14ac:dyDescent="0.2">
      <c r="A50">
        <f>+DB!C50</f>
        <v>1</v>
      </c>
      <c r="B50" t="str">
        <f>+DB!D50</f>
        <v>PSEC-0PA</v>
      </c>
      <c r="C50">
        <f>+DB!E50</f>
        <v>0</v>
      </c>
      <c r="D50" t="str">
        <f t="shared" si="0"/>
        <v>K</v>
      </c>
      <c r="E50">
        <f>+DB!G50</f>
        <v>72.22</v>
      </c>
      <c r="F50">
        <f>+DB!H50</f>
        <v>256.11</v>
      </c>
      <c r="G50">
        <f>+DB!N50</f>
        <v>201.81</v>
      </c>
      <c r="H50">
        <f>+DB!O50</f>
        <v>172.63</v>
      </c>
      <c r="I50" t="str">
        <f>+DB!I50</f>
        <v>E1V</v>
      </c>
      <c r="J50" t="str">
        <f>+DB!J50</f>
        <v>17°33'25.89"</v>
      </c>
      <c r="K50">
        <f>+DB!L50</f>
        <v>1</v>
      </c>
      <c r="L50" t="str">
        <f t="shared" si="1"/>
        <v>13</v>
      </c>
      <c r="M50" t="str">
        <f>+IF(LEFT(DB!M50,3)="13/","CAC","MAD")</f>
        <v>MAD</v>
      </c>
      <c r="N50" t="str">
        <f>+RIGHT(DB!M50,6)</f>
        <v>13m/C6</v>
      </c>
      <c r="O50">
        <v>95</v>
      </c>
      <c r="P50">
        <v>5</v>
      </c>
      <c r="Q50">
        <f>+DB!AB50</f>
        <v>0</v>
      </c>
      <c r="R50">
        <f>+DB!K50</f>
        <v>273.04000000000002</v>
      </c>
      <c r="S50" t="str">
        <f>+DB!F50</f>
        <v>AAAC-35</v>
      </c>
      <c r="T50">
        <f>+IF(DB!F50="AAAC-35",1,3)</f>
        <v>1</v>
      </c>
      <c r="U50">
        <f>+DB!R50</f>
        <v>0</v>
      </c>
      <c r="V50">
        <f>+IF(DB!P50="1RI",1,0)+IF(DB!P50="2RI",2,0)</f>
        <v>1</v>
      </c>
      <c r="W50">
        <f>+IF(DB!P50="1RV",1,0)+IF(DB!P50="2RV",2,0)</f>
        <v>0</v>
      </c>
      <c r="X50">
        <f>+IF(DB!P50="RYI",1,0)</f>
        <v>0</v>
      </c>
      <c r="Y50">
        <f>+IF(DB!P50="RYV",1,0)</f>
        <v>0</v>
      </c>
      <c r="Z50" t="str">
        <f>+DB!U50</f>
        <v>PAT-1</v>
      </c>
      <c r="AA50">
        <f>+IF(DB!F50="AAAC-35",19.5,33)</f>
        <v>19.5</v>
      </c>
      <c r="AB50" t="str">
        <f>+DB!V50</f>
        <v>CIM1</v>
      </c>
      <c r="AC50" t="str">
        <f t="shared" si="2"/>
        <v>56-4</v>
      </c>
      <c r="AD50" s="21" t="s">
        <v>72</v>
      </c>
      <c r="AE50">
        <f>+DB!X50</f>
        <v>0</v>
      </c>
      <c r="AF50" s="22">
        <f>+DB!Y50</f>
        <v>0</v>
      </c>
      <c r="AG50">
        <f>+DB!AK50</f>
        <v>0</v>
      </c>
    </row>
    <row r="51" spans="1:33" x14ac:dyDescent="0.2">
      <c r="A51">
        <f>+DB!C51</f>
        <v>2</v>
      </c>
      <c r="B51" t="str">
        <f>+DB!D51</f>
        <v>PS1-0</v>
      </c>
      <c r="C51">
        <f>+DB!E51</f>
        <v>0</v>
      </c>
      <c r="D51">
        <f t="shared" si="0"/>
        <v>0</v>
      </c>
      <c r="E51">
        <f>+DB!G51</f>
        <v>345.26</v>
      </c>
      <c r="F51">
        <f>+DB!H51</f>
        <v>273</v>
      </c>
      <c r="G51">
        <f>+DB!N51</f>
        <v>393.68</v>
      </c>
      <c r="H51">
        <f>+DB!O51</f>
        <v>263.02</v>
      </c>
      <c r="I51">
        <f>+DB!I51</f>
        <v>0</v>
      </c>
      <c r="J51" t="str">
        <f>+DB!J51</f>
        <v>0°</v>
      </c>
      <c r="K51">
        <f>+DB!L51</f>
        <v>1</v>
      </c>
      <c r="L51" t="str">
        <f t="shared" si="1"/>
        <v>13</v>
      </c>
      <c r="M51" t="str">
        <f>+IF(LEFT(DB!M51,3)="13/","CAC","MAD")</f>
        <v>MAD</v>
      </c>
      <c r="N51" t="str">
        <f>+RIGHT(DB!M51,6)</f>
        <v>13m/C6</v>
      </c>
      <c r="O51">
        <v>95</v>
      </c>
      <c r="P51">
        <v>5</v>
      </c>
      <c r="Q51">
        <f>+DB!AB51</f>
        <v>0</v>
      </c>
      <c r="R51">
        <f>+DB!K51</f>
        <v>252.99</v>
      </c>
      <c r="S51" t="str">
        <f>+DB!F51</f>
        <v>AAAC-35</v>
      </c>
      <c r="T51">
        <f>+IF(DB!F51="AAAC-35",1,3)</f>
        <v>1</v>
      </c>
      <c r="U51">
        <f>+DB!R51</f>
        <v>0</v>
      </c>
      <c r="V51">
        <f>+IF(DB!P51="1RI",1,0)+IF(DB!P51="2RI",2,0)</f>
        <v>0</v>
      </c>
      <c r="W51">
        <f>+IF(DB!P51="1RV",1,0)+IF(DB!P51="2RV",2,0)</f>
        <v>0</v>
      </c>
      <c r="X51">
        <f>+IF(DB!P51="RYI",1,0)</f>
        <v>0</v>
      </c>
      <c r="Y51">
        <f>+IF(DB!P51="RYV",1,0)</f>
        <v>0</v>
      </c>
      <c r="Z51" t="str">
        <f>+DB!U51</f>
        <v>PAT-0</v>
      </c>
      <c r="AA51">
        <f>+IF(DB!F51="AAAC-35",19.5,33)</f>
        <v>19.5</v>
      </c>
      <c r="AB51" t="str">
        <f>+DB!V51</f>
        <v>CIM1</v>
      </c>
      <c r="AC51" t="str">
        <f t="shared" si="2"/>
        <v>56-4</v>
      </c>
      <c r="AD51" s="21" t="s">
        <v>72</v>
      </c>
      <c r="AE51">
        <f>+DB!X51</f>
        <v>0</v>
      </c>
      <c r="AF51" s="22">
        <f>+DB!Y51</f>
        <v>0</v>
      </c>
      <c r="AG51">
        <f>+DB!AK51</f>
        <v>0</v>
      </c>
    </row>
    <row r="52" spans="1:33" x14ac:dyDescent="0.2">
      <c r="A52">
        <f>+DB!C52</f>
        <v>3</v>
      </c>
      <c r="B52" t="str">
        <f>+DB!D52</f>
        <v>PA1-0</v>
      </c>
      <c r="C52">
        <f>+DB!E52</f>
        <v>0</v>
      </c>
      <c r="D52">
        <f t="shared" si="0"/>
        <v>0</v>
      </c>
      <c r="E52">
        <f>+DB!G52</f>
        <v>598.25</v>
      </c>
      <c r="F52">
        <f>+DB!H52</f>
        <v>267.83</v>
      </c>
      <c r="G52">
        <f>+DB!N52</f>
        <v>225.44</v>
      </c>
      <c r="H52">
        <f>+DB!O52</f>
        <v>199.44</v>
      </c>
      <c r="I52" t="str">
        <f>+DB!I52</f>
        <v>E4V</v>
      </c>
      <c r="J52" t="str">
        <f>+DB!J52</f>
        <v>28°1'10.60"</v>
      </c>
      <c r="K52">
        <f>+DB!L52</f>
        <v>1</v>
      </c>
      <c r="L52" t="str">
        <f t="shared" si="1"/>
        <v>13</v>
      </c>
      <c r="M52" t="str">
        <f>+IF(LEFT(DB!M52,3)="13/","CAC","MAD")</f>
        <v>MAD</v>
      </c>
      <c r="N52" t="str">
        <f>+RIGHT(DB!M52,6)</f>
        <v>13m/C6</v>
      </c>
      <c r="O52">
        <v>95</v>
      </c>
      <c r="P52">
        <v>5</v>
      </c>
      <c r="Q52">
        <f>+DB!AB52</f>
        <v>0</v>
      </c>
      <c r="R52">
        <f>+DB!K52</f>
        <v>145.88999999999999</v>
      </c>
      <c r="S52" t="str">
        <f>+DB!F52</f>
        <v>AAAC-35</v>
      </c>
      <c r="T52">
        <f>+IF(DB!F52="AAAC-35",1,3)</f>
        <v>1</v>
      </c>
      <c r="U52">
        <f>+DB!R52</f>
        <v>0</v>
      </c>
      <c r="V52">
        <f>+IF(DB!P52="1RI",1,0)+IF(DB!P52="2RI",2,0)</f>
        <v>1</v>
      </c>
      <c r="W52">
        <f>+IF(DB!P52="1RV",1,0)+IF(DB!P52="2RV",2,0)</f>
        <v>0</v>
      </c>
      <c r="X52">
        <f>+IF(DB!P52="RYI",1,0)</f>
        <v>0</v>
      </c>
      <c r="Y52">
        <f>+IF(DB!P52="RYV",1,0)</f>
        <v>0</v>
      </c>
      <c r="Z52" t="str">
        <f>+DB!U52</f>
        <v>PAT-0</v>
      </c>
      <c r="AA52">
        <f>+IF(DB!F52="AAAC-35",19.5,33)</f>
        <v>19.5</v>
      </c>
      <c r="AB52" t="str">
        <f>+DB!V52</f>
        <v>CIM1</v>
      </c>
      <c r="AC52" t="str">
        <f t="shared" si="2"/>
        <v>56-4</v>
      </c>
      <c r="AD52" s="21" t="s">
        <v>72</v>
      </c>
      <c r="AE52">
        <f>+DB!X52</f>
        <v>0</v>
      </c>
      <c r="AF52" s="22">
        <f>+DB!Y52</f>
        <v>0</v>
      </c>
      <c r="AG52">
        <f>+DB!AK52</f>
        <v>0</v>
      </c>
    </row>
    <row r="53" spans="1:33" x14ac:dyDescent="0.2">
      <c r="A53">
        <f>+DB!C53</f>
        <v>4</v>
      </c>
      <c r="B53" t="str">
        <f>+DB!D53</f>
        <v>PR3-0</v>
      </c>
      <c r="C53">
        <f>+DB!E53</f>
        <v>0</v>
      </c>
      <c r="D53">
        <f t="shared" si="0"/>
        <v>0</v>
      </c>
      <c r="E53">
        <f>+DB!G53</f>
        <v>744.14</v>
      </c>
      <c r="F53">
        <f>+DB!H53</f>
        <v>261.12</v>
      </c>
      <c r="G53">
        <f>+DB!N53</f>
        <v>-0.03</v>
      </c>
      <c r="H53">
        <f>+DB!O53</f>
        <v>277.3</v>
      </c>
      <c r="I53" t="str">
        <f>+DB!I53</f>
        <v>E5V</v>
      </c>
      <c r="J53" t="str">
        <f>+DB!J53</f>
        <v>-47°57'36.33"</v>
      </c>
      <c r="K53">
        <f>+DB!L53</f>
        <v>1</v>
      </c>
      <c r="L53" t="str">
        <f t="shared" si="1"/>
        <v>13</v>
      </c>
      <c r="M53" t="str">
        <f>+IF(LEFT(DB!M53,3)="13/","CAC","MAD")</f>
        <v>MAD</v>
      </c>
      <c r="N53" t="str">
        <f>+RIGHT(DB!M53,6)</f>
        <v>13m/C6</v>
      </c>
      <c r="O53">
        <v>95</v>
      </c>
      <c r="P53">
        <v>5</v>
      </c>
      <c r="Q53">
        <f>+DB!AB53</f>
        <v>0</v>
      </c>
      <c r="R53">
        <f>+DB!K53</f>
        <v>408.7</v>
      </c>
      <c r="S53" t="str">
        <f>+DB!F53</f>
        <v>AAAC-35</v>
      </c>
      <c r="T53">
        <f>+IF(DB!F53="AAAC-35",1,3)</f>
        <v>1</v>
      </c>
      <c r="U53">
        <f>+DB!R53</f>
        <v>2</v>
      </c>
      <c r="V53">
        <f>+IF(DB!P53="1RI",1,0)+IF(DB!P53="2RI",2,0)</f>
        <v>2</v>
      </c>
      <c r="W53">
        <f>+IF(DB!P53="1RV",1,0)+IF(DB!P53="2RV",2,0)</f>
        <v>0</v>
      </c>
      <c r="X53">
        <f>+IF(DB!P53="RYI",1,0)</f>
        <v>0</v>
      </c>
      <c r="Y53">
        <f>+IF(DB!P53="RYV",1,0)</f>
        <v>0</v>
      </c>
      <c r="Z53" t="str">
        <f>+DB!U53</f>
        <v>PAT-0</v>
      </c>
      <c r="AA53">
        <f>+IF(DB!F53="AAAC-35",19.5,33)</f>
        <v>19.5</v>
      </c>
      <c r="AB53" t="str">
        <f>+DB!V53</f>
        <v>CIM1</v>
      </c>
      <c r="AC53" t="str">
        <f t="shared" si="2"/>
        <v>56-4</v>
      </c>
      <c r="AD53" s="21" t="s">
        <v>72</v>
      </c>
      <c r="AE53">
        <f>+DB!X53</f>
        <v>0</v>
      </c>
      <c r="AF53" s="22">
        <f>+DB!Y53</f>
        <v>0</v>
      </c>
      <c r="AG53">
        <f>+DB!AK53</f>
        <v>0</v>
      </c>
    </row>
    <row r="54" spans="1:33" x14ac:dyDescent="0.2">
      <c r="A54">
        <f>+DB!C54</f>
        <v>5</v>
      </c>
      <c r="B54" t="str">
        <f>+DB!D54</f>
        <v>TS-0</v>
      </c>
      <c r="C54">
        <f>+DB!E54</f>
        <v>0</v>
      </c>
      <c r="D54">
        <f t="shared" si="0"/>
        <v>0</v>
      </c>
      <c r="E54">
        <f>+DB!G54</f>
        <v>1152.8499999999999</v>
      </c>
      <c r="F54">
        <f>+DB!H54</f>
        <v>313.12</v>
      </c>
      <c r="G54">
        <f>+DB!N54</f>
        <v>421.97</v>
      </c>
      <c r="H54">
        <f>+DB!O54</f>
        <v>229.34</v>
      </c>
      <c r="I54">
        <f>+DB!I54</f>
        <v>0</v>
      </c>
      <c r="J54" t="str">
        <f>+DB!J54</f>
        <v>0°</v>
      </c>
      <c r="K54">
        <f>+DB!L54</f>
        <v>1</v>
      </c>
      <c r="L54" t="str">
        <f t="shared" si="1"/>
        <v>13</v>
      </c>
      <c r="M54" t="str">
        <f>+IF(LEFT(DB!M54,3)="13/","CAC","MAD")</f>
        <v>MAD</v>
      </c>
      <c r="N54" t="str">
        <f>+RIGHT(DB!M54,6)</f>
        <v>13m/C6</v>
      </c>
      <c r="O54">
        <v>95</v>
      </c>
      <c r="P54">
        <v>5</v>
      </c>
      <c r="Q54">
        <f>+DB!AB54</f>
        <v>0</v>
      </c>
      <c r="R54">
        <f>+DB!K54</f>
        <v>49.99</v>
      </c>
      <c r="S54" t="str">
        <f>+DB!F54</f>
        <v>AAAC-35</v>
      </c>
      <c r="T54">
        <f>+IF(DB!F54="AAAC-35",1,3)</f>
        <v>1</v>
      </c>
      <c r="U54">
        <f>+DB!R54</f>
        <v>0</v>
      </c>
      <c r="V54">
        <f>+IF(DB!P54="1RI",1,0)+IF(DB!P54="2RI",2,0)</f>
        <v>1</v>
      </c>
      <c r="W54">
        <f>+IF(DB!P54="1RV",1,0)+IF(DB!P54="2RV",2,0)</f>
        <v>0</v>
      </c>
      <c r="X54">
        <f>+IF(DB!P54="RYI",1,0)</f>
        <v>0</v>
      </c>
      <c r="Y54">
        <f>+IF(DB!P54="RYV",1,0)</f>
        <v>0</v>
      </c>
      <c r="Z54" t="str">
        <f>+DB!U54</f>
        <v>PAT-0</v>
      </c>
      <c r="AA54">
        <f>+IF(DB!F54="AAAC-35",19.5,33)</f>
        <v>19.5</v>
      </c>
      <c r="AB54" t="str">
        <f>+DB!V54</f>
        <v>CIM1</v>
      </c>
      <c r="AC54" t="str">
        <f t="shared" si="2"/>
        <v>56-4</v>
      </c>
      <c r="AD54" s="21" t="s">
        <v>72</v>
      </c>
      <c r="AE54">
        <f>+DB!X54</f>
        <v>0</v>
      </c>
      <c r="AF54" s="22">
        <f>+DB!Y54</f>
        <v>0</v>
      </c>
      <c r="AG54">
        <f>+DB!AK54</f>
        <v>0</v>
      </c>
    </row>
    <row r="55" spans="1:33" x14ac:dyDescent="0.2">
      <c r="A55">
        <f>+DB!C55</f>
        <v>6</v>
      </c>
      <c r="B55" t="str">
        <f>+DB!D55</f>
        <v>TS-0</v>
      </c>
      <c r="C55">
        <f>+DB!E55</f>
        <v>0</v>
      </c>
      <c r="D55">
        <f t="shared" si="0"/>
        <v>0</v>
      </c>
      <c r="E55">
        <f>+DB!G55</f>
        <v>1202.83</v>
      </c>
      <c r="F55">
        <f>+DB!H55</f>
        <v>316.98</v>
      </c>
      <c r="G55">
        <f>+DB!N55</f>
        <v>289.98</v>
      </c>
      <c r="H55">
        <f>+DB!O55</f>
        <v>129.63999999999999</v>
      </c>
      <c r="I55">
        <f>+DB!I55</f>
        <v>0</v>
      </c>
      <c r="J55" t="str">
        <f>+DB!J55</f>
        <v>0°</v>
      </c>
      <c r="K55">
        <f>+DB!L55</f>
        <v>1</v>
      </c>
      <c r="L55" t="str">
        <f t="shared" si="1"/>
        <v>13</v>
      </c>
      <c r="M55" t="str">
        <f>+IF(LEFT(DB!M55,3)="13/","CAC","MAD")</f>
        <v>MAD</v>
      </c>
      <c r="N55" t="str">
        <f>+RIGHT(DB!M55,6)</f>
        <v>13m/C6</v>
      </c>
      <c r="O55">
        <v>95</v>
      </c>
      <c r="P55">
        <v>5</v>
      </c>
      <c r="Q55">
        <f>+DB!AB55</f>
        <v>0</v>
      </c>
      <c r="R55">
        <f>+DB!K55</f>
        <v>209.29</v>
      </c>
      <c r="S55" t="str">
        <f>+DB!F55</f>
        <v>AAAC-35</v>
      </c>
      <c r="T55">
        <f>+IF(DB!F55="AAAC-35",1,3)</f>
        <v>1</v>
      </c>
      <c r="U55">
        <f>+DB!R55</f>
        <v>0</v>
      </c>
      <c r="V55">
        <f>+IF(DB!P55="1RI",1,0)+IF(DB!P55="2RI",2,0)</f>
        <v>1</v>
      </c>
      <c r="W55">
        <f>+IF(DB!P55="1RV",1,0)+IF(DB!P55="2RV",2,0)</f>
        <v>0</v>
      </c>
      <c r="X55">
        <f>+IF(DB!P55="RYI",1,0)</f>
        <v>0</v>
      </c>
      <c r="Y55">
        <f>+IF(DB!P55="RYV",1,0)</f>
        <v>0</v>
      </c>
      <c r="Z55" t="str">
        <f>+DB!U55</f>
        <v>PAT-0</v>
      </c>
      <c r="AA55">
        <f>+IF(DB!F55="AAAC-35",19.5,33)</f>
        <v>19.5</v>
      </c>
      <c r="AB55" t="str">
        <f>+DB!V55</f>
        <v>CIM1</v>
      </c>
      <c r="AC55" t="str">
        <f t="shared" si="2"/>
        <v>56-4</v>
      </c>
      <c r="AD55" s="21" t="s">
        <v>72</v>
      </c>
      <c r="AE55">
        <f>+DB!X55</f>
        <v>0</v>
      </c>
      <c r="AF55" s="22">
        <f>+DB!Y55</f>
        <v>0</v>
      </c>
      <c r="AG55">
        <f>+DB!AK55</f>
        <v>0</v>
      </c>
    </row>
    <row r="56" spans="1:33" x14ac:dyDescent="0.2">
      <c r="A56">
        <f>+DB!C56</f>
        <v>7</v>
      </c>
      <c r="B56" t="str">
        <f>+DB!D56</f>
        <v>PS1-0</v>
      </c>
      <c r="C56">
        <f>+DB!E56</f>
        <v>0</v>
      </c>
      <c r="D56">
        <f t="shared" si="0"/>
        <v>0</v>
      </c>
      <c r="E56">
        <f>+DB!G56</f>
        <v>1412.12</v>
      </c>
      <c r="F56">
        <f>+DB!H56</f>
        <v>297.51</v>
      </c>
      <c r="G56">
        <f>+DB!N56</f>
        <v>164.58</v>
      </c>
      <c r="H56">
        <f>+DB!O56</f>
        <v>206.63</v>
      </c>
      <c r="I56">
        <f>+DB!I56</f>
        <v>0</v>
      </c>
      <c r="J56" t="str">
        <f>+DB!J56</f>
        <v>0°</v>
      </c>
      <c r="K56">
        <f>+DB!L56</f>
        <v>1</v>
      </c>
      <c r="L56" t="str">
        <f t="shared" si="1"/>
        <v>13</v>
      </c>
      <c r="M56" t="str">
        <f>+IF(LEFT(DB!M56,3)="13/","CAC","MAD")</f>
        <v>MAD</v>
      </c>
      <c r="N56" t="str">
        <f>+RIGHT(DB!M56,6)</f>
        <v>13m/C6</v>
      </c>
      <c r="O56">
        <v>95</v>
      </c>
      <c r="P56">
        <v>5</v>
      </c>
      <c r="Q56">
        <f>+DB!AB56</f>
        <v>0</v>
      </c>
      <c r="R56">
        <f>+DB!K56</f>
        <v>203.96</v>
      </c>
      <c r="S56" t="str">
        <f>+DB!F56</f>
        <v>AAAC-35</v>
      </c>
      <c r="T56">
        <f>+IF(DB!F56="AAAC-35",1,3)</f>
        <v>1</v>
      </c>
      <c r="U56">
        <f>+DB!R56</f>
        <v>0</v>
      </c>
      <c r="V56">
        <f>+IF(DB!P56="1RI",1,0)+IF(DB!P56="2RI",2,0)</f>
        <v>0</v>
      </c>
      <c r="W56">
        <f>+IF(DB!P56="1RV",1,0)+IF(DB!P56="2RV",2,0)</f>
        <v>0</v>
      </c>
      <c r="X56">
        <f>+IF(DB!P56="RYI",1,0)</f>
        <v>0</v>
      </c>
      <c r="Y56">
        <f>+IF(DB!P56="RYV",1,0)</f>
        <v>0</v>
      </c>
      <c r="Z56" t="str">
        <f>+DB!U56</f>
        <v>PAT-0</v>
      </c>
      <c r="AA56">
        <f>+IF(DB!F56="AAAC-35",19.5,33)</f>
        <v>19.5</v>
      </c>
      <c r="AB56" t="str">
        <f>+DB!V56</f>
        <v>CIM1</v>
      </c>
      <c r="AC56" t="str">
        <f t="shared" si="2"/>
        <v>56-4</v>
      </c>
      <c r="AD56" s="21" t="s">
        <v>72</v>
      </c>
      <c r="AE56">
        <f>+DB!X56</f>
        <v>0</v>
      </c>
      <c r="AF56" s="22">
        <f>+DB!Y56</f>
        <v>0</v>
      </c>
      <c r="AG56">
        <f>+DB!AK56</f>
        <v>0</v>
      </c>
    </row>
    <row r="57" spans="1:33" x14ac:dyDescent="0.2">
      <c r="A57">
        <f>+DB!C57</f>
        <v>8</v>
      </c>
      <c r="B57" t="str">
        <f>+DB!D57</f>
        <v>PA1-0</v>
      </c>
      <c r="C57">
        <f>+DB!E57</f>
        <v>0</v>
      </c>
      <c r="D57">
        <f t="shared" si="0"/>
        <v>0</v>
      </c>
      <c r="E57">
        <f>+DB!G57</f>
        <v>1616.08</v>
      </c>
      <c r="F57">
        <f>+DB!H57</f>
        <v>285.08</v>
      </c>
      <c r="G57">
        <f>+DB!N57</f>
        <v>313.8</v>
      </c>
      <c r="H57">
        <f>+DB!O57</f>
        <v>245.82</v>
      </c>
      <c r="I57" t="str">
        <f>+DB!I57</f>
        <v>E9V</v>
      </c>
      <c r="J57" t="str">
        <f>+DB!J57</f>
        <v>-18°56'14.64"</v>
      </c>
      <c r="K57">
        <f>+DB!L57</f>
        <v>1</v>
      </c>
      <c r="L57" t="str">
        <f t="shared" si="1"/>
        <v>13</v>
      </c>
      <c r="M57" t="str">
        <f>+IF(LEFT(DB!M57,3)="13/","CAC","MAD")</f>
        <v>MAD</v>
      </c>
      <c r="N57" t="str">
        <f>+RIGHT(DB!M57,6)</f>
        <v>13m/C6</v>
      </c>
      <c r="O57">
        <v>95</v>
      </c>
      <c r="P57">
        <v>5</v>
      </c>
      <c r="Q57">
        <f>+DB!AB57</f>
        <v>0</v>
      </c>
      <c r="R57">
        <f>+DB!K57</f>
        <v>287.68</v>
      </c>
      <c r="S57" t="str">
        <f>+DB!F57</f>
        <v>AAAC-35</v>
      </c>
      <c r="T57">
        <f>+IF(DB!F57="AAAC-35",1,3)</f>
        <v>1</v>
      </c>
      <c r="U57">
        <f>+DB!R57</f>
        <v>0</v>
      </c>
      <c r="V57">
        <f>+IF(DB!P57="1RI",1,0)+IF(DB!P57="2RI",2,0)</f>
        <v>1</v>
      </c>
      <c r="W57">
        <f>+IF(DB!P57="1RV",1,0)+IF(DB!P57="2RV",2,0)</f>
        <v>0</v>
      </c>
      <c r="X57">
        <f>+IF(DB!P57="RYI",1,0)</f>
        <v>0</v>
      </c>
      <c r="Y57">
        <f>+IF(DB!P57="RYV",1,0)</f>
        <v>0</v>
      </c>
      <c r="Z57" t="str">
        <f>+DB!U57</f>
        <v>PAT-0</v>
      </c>
      <c r="AA57">
        <f>+IF(DB!F57="AAAC-35",19.5,33)</f>
        <v>19.5</v>
      </c>
      <c r="AB57" t="str">
        <f>+DB!V57</f>
        <v>CIM1</v>
      </c>
      <c r="AC57" t="str">
        <f t="shared" si="2"/>
        <v>56-4</v>
      </c>
      <c r="AD57" s="21" t="s">
        <v>72</v>
      </c>
      <c r="AE57">
        <f>+DB!X57</f>
        <v>0</v>
      </c>
      <c r="AF57" s="22">
        <f>+DB!Y57</f>
        <v>0</v>
      </c>
      <c r="AG57">
        <f>+DB!AK57</f>
        <v>0</v>
      </c>
    </row>
    <row r="58" spans="1:33" x14ac:dyDescent="0.2">
      <c r="A58">
        <f>+DB!C58</f>
        <v>9</v>
      </c>
      <c r="B58" t="str">
        <f>+DB!D58</f>
        <v>PR3-0</v>
      </c>
      <c r="C58">
        <f>+DB!E58</f>
        <v>0</v>
      </c>
      <c r="D58">
        <f t="shared" si="0"/>
        <v>0</v>
      </c>
      <c r="E58">
        <f>+DB!G58</f>
        <v>1903.76</v>
      </c>
      <c r="F58">
        <f>+DB!H58</f>
        <v>258.12</v>
      </c>
      <c r="G58">
        <f>+DB!N58</f>
        <v>266.33999999999997</v>
      </c>
      <c r="H58">
        <f>+DB!O58</f>
        <v>346.57</v>
      </c>
      <c r="I58" t="str">
        <f>+DB!I58</f>
        <v>E10V</v>
      </c>
      <c r="J58" t="str">
        <f>+DB!J58</f>
        <v>6°32'0.68"</v>
      </c>
      <c r="K58">
        <f>+DB!L58</f>
        <v>1</v>
      </c>
      <c r="L58" t="str">
        <f t="shared" si="1"/>
        <v>13</v>
      </c>
      <c r="M58" t="str">
        <f>+IF(LEFT(DB!M58,3)="13/","CAC","MAD")</f>
        <v>MAD</v>
      </c>
      <c r="N58" t="str">
        <f>+RIGHT(DB!M58,6)</f>
        <v>13m/C6</v>
      </c>
      <c r="O58">
        <v>95</v>
      </c>
      <c r="P58">
        <v>5</v>
      </c>
      <c r="Q58">
        <f>+DB!AB58</f>
        <v>0</v>
      </c>
      <c r="R58">
        <f>+DB!K58</f>
        <v>405.46</v>
      </c>
      <c r="S58" t="str">
        <f>+DB!F58</f>
        <v>AAAC-35</v>
      </c>
      <c r="T58">
        <f>+IF(DB!F58="AAAC-35",1,3)</f>
        <v>1</v>
      </c>
      <c r="U58">
        <f>+DB!R58</f>
        <v>2</v>
      </c>
      <c r="V58">
        <f>+IF(DB!P58="1RI",1,0)+IF(DB!P58="2RI",2,0)</f>
        <v>2</v>
      </c>
      <c r="W58">
        <f>+IF(DB!P58="1RV",1,0)+IF(DB!P58="2RV",2,0)</f>
        <v>0</v>
      </c>
      <c r="X58">
        <f>+IF(DB!P58="RYI",1,0)</f>
        <v>0</v>
      </c>
      <c r="Y58">
        <f>+IF(DB!P58="RYV",1,0)</f>
        <v>0</v>
      </c>
      <c r="Z58" t="str">
        <f>+DB!U58</f>
        <v>PAT-0</v>
      </c>
      <c r="AA58">
        <f>+IF(DB!F58="AAAC-35",19.5,33)</f>
        <v>19.5</v>
      </c>
      <c r="AB58" t="str">
        <f>+DB!V58</f>
        <v>CIM1</v>
      </c>
      <c r="AC58" t="str">
        <f t="shared" si="2"/>
        <v>56-4</v>
      </c>
      <c r="AD58" s="21" t="s">
        <v>72</v>
      </c>
      <c r="AE58">
        <f>+DB!X58</f>
        <v>0</v>
      </c>
      <c r="AF58" s="22">
        <f>+DB!Y58</f>
        <v>0</v>
      </c>
      <c r="AG58">
        <f>+DB!AK58</f>
        <v>0</v>
      </c>
    </row>
    <row r="59" spans="1:33" x14ac:dyDescent="0.2">
      <c r="A59">
        <f>+DB!C59</f>
        <v>10</v>
      </c>
      <c r="B59" t="str">
        <f>+DB!D59</f>
        <v>TS-0</v>
      </c>
      <c r="C59">
        <f>+DB!E59</f>
        <v>0</v>
      </c>
      <c r="D59">
        <f t="shared" si="0"/>
        <v>0</v>
      </c>
      <c r="E59">
        <f>+DB!G59</f>
        <v>2309.2199999999998</v>
      </c>
      <c r="F59">
        <f>+DB!H59</f>
        <v>242</v>
      </c>
      <c r="G59">
        <f>+DB!N59</f>
        <v>182.92</v>
      </c>
      <c r="H59">
        <f>+DB!O59</f>
        <v>219.11</v>
      </c>
      <c r="I59" t="str">
        <f>+DB!I59</f>
        <v>CRIO</v>
      </c>
      <c r="J59" t="str">
        <f>+DB!J59</f>
        <v>-70°38'53.76"</v>
      </c>
      <c r="K59">
        <f>+DB!L59</f>
        <v>1</v>
      </c>
      <c r="L59" t="str">
        <f t="shared" si="1"/>
        <v>13</v>
      </c>
      <c r="M59" t="str">
        <f>+IF(LEFT(DB!M59,3)="13/","CAC","MAD")</f>
        <v>MAD</v>
      </c>
      <c r="N59" t="str">
        <f>+RIGHT(DB!M59,6)</f>
        <v>13m/C6</v>
      </c>
      <c r="O59">
        <v>95</v>
      </c>
      <c r="P59">
        <v>5</v>
      </c>
      <c r="Q59">
        <f>+DB!AB59</f>
        <v>0</v>
      </c>
      <c r="R59">
        <f>+DB!K59</f>
        <v>32.76</v>
      </c>
      <c r="S59" t="str">
        <f>+DB!F59</f>
        <v>AAAC-35</v>
      </c>
      <c r="T59">
        <f>+IF(DB!F59="AAAC-35",1,3)</f>
        <v>1</v>
      </c>
      <c r="U59">
        <f>+DB!R59</f>
        <v>0</v>
      </c>
      <c r="V59">
        <f>+IF(DB!P59="1RI",1,0)+IF(DB!P59="2RI",2,0)</f>
        <v>1</v>
      </c>
      <c r="W59">
        <f>+IF(DB!P59="1RV",1,0)+IF(DB!P59="2RV",2,0)</f>
        <v>0</v>
      </c>
      <c r="X59">
        <f>+IF(DB!P59="RYI",1,0)</f>
        <v>0</v>
      </c>
      <c r="Y59">
        <f>+IF(DB!P59="RYV",1,0)</f>
        <v>0</v>
      </c>
      <c r="Z59" t="str">
        <f>+DB!U59</f>
        <v>PAT-0</v>
      </c>
      <c r="AA59">
        <f>+IF(DB!F59="AAAC-35",19.5,33)</f>
        <v>19.5</v>
      </c>
      <c r="AB59" t="str">
        <f>+DB!V59</f>
        <v>CIM1</v>
      </c>
      <c r="AC59" t="str">
        <f t="shared" si="2"/>
        <v>56-4</v>
      </c>
      <c r="AD59" s="21" t="s">
        <v>72</v>
      </c>
      <c r="AE59">
        <f>+DB!X59</f>
        <v>0</v>
      </c>
      <c r="AF59" s="22">
        <f>+DB!Y59</f>
        <v>0</v>
      </c>
      <c r="AG59">
        <f>+DB!AK59</f>
        <v>0</v>
      </c>
    </row>
    <row r="60" spans="1:33" x14ac:dyDescent="0.2">
      <c r="A60">
        <f>+DB!C60</f>
        <v>11</v>
      </c>
      <c r="B60" t="str">
        <f>+DB!D60</f>
        <v>TS-0</v>
      </c>
      <c r="C60">
        <f>+DB!E60</f>
        <v>0</v>
      </c>
      <c r="D60">
        <f t="shared" si="0"/>
        <v>0</v>
      </c>
      <c r="E60">
        <f>+DB!G60</f>
        <v>2341.9699999999998</v>
      </c>
      <c r="F60">
        <f>+DB!H60</f>
        <v>238</v>
      </c>
      <c r="G60">
        <f>+DB!N60</f>
        <v>2.15</v>
      </c>
      <c r="H60">
        <f>+DB!O60</f>
        <v>56.02</v>
      </c>
      <c r="I60" t="str">
        <f>+DB!I60</f>
        <v>VFLOJO</v>
      </c>
      <c r="J60" t="str">
        <f>+DB!J60</f>
        <v>39°51'32.33"</v>
      </c>
      <c r="K60">
        <f>+DB!L60</f>
        <v>1</v>
      </c>
      <c r="L60" t="str">
        <f t="shared" si="1"/>
        <v>13</v>
      </c>
      <c r="M60" t="str">
        <f>+IF(LEFT(DB!M60,3)="13/","CAC","MAD")</f>
        <v>MAD</v>
      </c>
      <c r="N60" t="str">
        <f>+RIGHT(DB!M60,6)</f>
        <v>13m/C6</v>
      </c>
      <c r="O60">
        <v>95</v>
      </c>
      <c r="P60">
        <v>5</v>
      </c>
      <c r="Q60">
        <f>+DB!AB60</f>
        <v>0</v>
      </c>
      <c r="R60">
        <f>+DB!K60</f>
        <v>79.28</v>
      </c>
      <c r="S60" t="str">
        <f>+DB!F60</f>
        <v>AAAC-35</v>
      </c>
      <c r="T60">
        <f>+IF(DB!F60="AAAC-35",1,3)</f>
        <v>1</v>
      </c>
      <c r="U60">
        <f>+DB!R60</f>
        <v>0</v>
      </c>
      <c r="V60">
        <f>+IF(DB!P60="1RI",1,0)+IF(DB!P60="2RI",2,0)</f>
        <v>1</v>
      </c>
      <c r="W60">
        <f>+IF(DB!P60="1RV",1,0)+IF(DB!P60="2RV",2,0)</f>
        <v>0</v>
      </c>
      <c r="X60">
        <f>+IF(DB!P60="RYI",1,0)</f>
        <v>0</v>
      </c>
      <c r="Y60">
        <f>+IF(DB!P60="RYV",1,0)</f>
        <v>0</v>
      </c>
      <c r="Z60" t="str">
        <f>+DB!U60</f>
        <v>PAT-0</v>
      </c>
      <c r="AA60">
        <f>+IF(DB!F60="AAAC-35",19.5,33)</f>
        <v>19.5</v>
      </c>
      <c r="AB60" t="str">
        <f>+DB!V60</f>
        <v>CIM1</v>
      </c>
      <c r="AC60" t="str">
        <f t="shared" si="2"/>
        <v>56-4</v>
      </c>
      <c r="AD60" s="21" t="s">
        <v>72</v>
      </c>
      <c r="AE60">
        <f>+DB!X60</f>
        <v>0</v>
      </c>
      <c r="AF60" s="22">
        <f>+DB!Y60</f>
        <v>0</v>
      </c>
      <c r="AG60">
        <f>+DB!AK60</f>
        <v>0</v>
      </c>
    </row>
    <row r="61" spans="1:33" x14ac:dyDescent="0.2">
      <c r="A61">
        <f>+DB!C61</f>
        <v>12</v>
      </c>
      <c r="B61" t="str">
        <f>+DB!D61</f>
        <v>PS1-0</v>
      </c>
      <c r="C61">
        <f>+DB!E61</f>
        <v>0</v>
      </c>
      <c r="D61">
        <f t="shared" si="0"/>
        <v>0</v>
      </c>
      <c r="E61">
        <f>+DB!G61</f>
        <v>2421.25</v>
      </c>
      <c r="F61">
        <f>+DB!H61</f>
        <v>239.98</v>
      </c>
      <c r="G61">
        <f>+DB!N61</f>
        <v>92.18</v>
      </c>
      <c r="H61">
        <f>+DB!O61</f>
        <v>67.09</v>
      </c>
      <c r="I61">
        <f>+DB!I61</f>
        <v>0</v>
      </c>
      <c r="J61" t="str">
        <f>+DB!J61</f>
        <v>0°</v>
      </c>
      <c r="K61">
        <f>+DB!L61</f>
        <v>1</v>
      </c>
      <c r="L61" t="str">
        <f t="shared" si="1"/>
        <v>13</v>
      </c>
      <c r="M61" t="str">
        <f>+IF(LEFT(DB!M61,3)="13/","CAC","MAD")</f>
        <v>MAD</v>
      </c>
      <c r="N61" t="str">
        <f>+RIGHT(DB!M61,6)</f>
        <v>13m/C6</v>
      </c>
      <c r="O61">
        <v>95</v>
      </c>
      <c r="P61">
        <v>5</v>
      </c>
      <c r="Q61">
        <f>+DB!AB61</f>
        <v>0</v>
      </c>
      <c r="R61">
        <f>+DB!K61</f>
        <v>54.9</v>
      </c>
      <c r="S61" t="str">
        <f>+DB!F61</f>
        <v>AAAC-35</v>
      </c>
      <c r="T61">
        <f>+IF(DB!F61="AAAC-35",1,3)</f>
        <v>1</v>
      </c>
      <c r="U61">
        <f>+DB!R61</f>
        <v>0</v>
      </c>
      <c r="V61">
        <f>+IF(DB!P61="1RI",1,0)+IF(DB!P61="2RI",2,0)</f>
        <v>0</v>
      </c>
      <c r="W61">
        <f>+IF(DB!P61="1RV",1,0)+IF(DB!P61="2RV",2,0)</f>
        <v>0</v>
      </c>
      <c r="X61">
        <f>+IF(DB!P61="RYI",1,0)</f>
        <v>0</v>
      </c>
      <c r="Y61">
        <f>+IF(DB!P61="RYV",1,0)</f>
        <v>0</v>
      </c>
      <c r="Z61" t="str">
        <f>+DB!U61</f>
        <v>PAT-0</v>
      </c>
      <c r="AA61">
        <f>+IF(DB!F61="AAAC-35",19.5,33)</f>
        <v>19.5</v>
      </c>
      <c r="AB61" t="str">
        <f>+DB!V61</f>
        <v>CIM1</v>
      </c>
      <c r="AC61" t="str">
        <f t="shared" si="2"/>
        <v>56-4</v>
      </c>
      <c r="AD61" s="21" t="s">
        <v>72</v>
      </c>
      <c r="AE61">
        <f>+DB!X61</f>
        <v>0</v>
      </c>
      <c r="AF61" s="22">
        <f>+DB!Y61</f>
        <v>0</v>
      </c>
      <c r="AG61">
        <f>+DB!AK61</f>
        <v>0</v>
      </c>
    </row>
    <row r="62" spans="1:33" x14ac:dyDescent="0.2">
      <c r="A62">
        <f>+DB!C62</f>
        <v>13</v>
      </c>
      <c r="B62" t="str">
        <f>+DB!D62</f>
        <v>PA3-0</v>
      </c>
      <c r="C62">
        <f>+DB!E62</f>
        <v>0</v>
      </c>
      <c r="D62">
        <f t="shared" si="0"/>
        <v>0</v>
      </c>
      <c r="E62">
        <f>+DB!G62</f>
        <v>2476.16</v>
      </c>
      <c r="F62">
        <f>+DB!H62</f>
        <v>240</v>
      </c>
      <c r="G62">
        <f>+DB!N62</f>
        <v>98.27</v>
      </c>
      <c r="H62">
        <f>+DB!O62</f>
        <v>125.64</v>
      </c>
      <c r="I62" t="str">
        <f>+DB!I62</f>
        <v>V</v>
      </c>
      <c r="J62" t="str">
        <f>+DB!J62</f>
        <v>60°37'10.73"</v>
      </c>
      <c r="K62">
        <f>+DB!L62</f>
        <v>1</v>
      </c>
      <c r="L62" t="str">
        <f t="shared" si="1"/>
        <v>13</v>
      </c>
      <c r="M62" t="str">
        <f>+IF(LEFT(DB!M62,3)="13/","CAC","MAD")</f>
        <v>MAD</v>
      </c>
      <c r="N62" t="str">
        <f>+RIGHT(DB!M62,6)</f>
        <v>13m/C6</v>
      </c>
      <c r="O62">
        <v>95</v>
      </c>
      <c r="P62">
        <v>5</v>
      </c>
      <c r="Q62">
        <f>+DB!AB62</f>
        <v>0</v>
      </c>
      <c r="R62">
        <f>+DB!K62</f>
        <v>196.37</v>
      </c>
      <c r="S62" t="str">
        <f>+DB!F62</f>
        <v>AAAC-35</v>
      </c>
      <c r="T62">
        <f>+IF(DB!F62="AAAC-35",1,3)</f>
        <v>1</v>
      </c>
      <c r="U62">
        <f>+DB!R62</f>
        <v>0</v>
      </c>
      <c r="V62">
        <f>+IF(DB!P62="1RI",1,0)+IF(DB!P62="2RI",2,0)</f>
        <v>2</v>
      </c>
      <c r="W62">
        <f>+IF(DB!P62="1RV",1,0)+IF(DB!P62="2RV",2,0)</f>
        <v>0</v>
      </c>
      <c r="X62">
        <f>+IF(DB!P62="RYI",1,0)</f>
        <v>0</v>
      </c>
      <c r="Y62">
        <f>+IF(DB!P62="RYV",1,0)</f>
        <v>0</v>
      </c>
      <c r="Z62" t="str">
        <f>+DB!U62</f>
        <v>PAT-0</v>
      </c>
      <c r="AA62">
        <f>+IF(DB!F62="AAAC-35",19.5,33)</f>
        <v>19.5</v>
      </c>
      <c r="AB62" t="str">
        <f>+DB!V62</f>
        <v>CIM1</v>
      </c>
      <c r="AC62" t="str">
        <f t="shared" si="2"/>
        <v>56-4</v>
      </c>
      <c r="AD62" s="21" t="s">
        <v>72</v>
      </c>
      <c r="AE62">
        <f>+DB!X62</f>
        <v>0</v>
      </c>
      <c r="AF62" s="22">
        <f>+DB!Y62</f>
        <v>0</v>
      </c>
      <c r="AG62">
        <f>+DB!AK62</f>
        <v>0</v>
      </c>
    </row>
    <row r="63" spans="1:33" x14ac:dyDescent="0.2">
      <c r="A63">
        <f>+DB!C63</f>
        <v>14</v>
      </c>
      <c r="B63" t="str">
        <f>+DB!D63</f>
        <v>PS1-0</v>
      </c>
      <c r="C63">
        <f>+DB!E63</f>
        <v>0</v>
      </c>
      <c r="D63">
        <f t="shared" si="0"/>
        <v>0</v>
      </c>
      <c r="E63">
        <f>+DB!G63</f>
        <v>2672.52</v>
      </c>
      <c r="F63">
        <f>+DB!H63</f>
        <v>242.99</v>
      </c>
      <c r="G63">
        <f>+DB!N63</f>
        <v>249.05</v>
      </c>
      <c r="H63">
        <f>+DB!O63</f>
        <v>188.78</v>
      </c>
      <c r="I63">
        <f>+DB!I63</f>
        <v>0</v>
      </c>
      <c r="J63" t="str">
        <f>+DB!J63</f>
        <v>0°</v>
      </c>
      <c r="K63">
        <f>+DB!L63</f>
        <v>1</v>
      </c>
      <c r="L63" t="str">
        <f t="shared" si="1"/>
        <v>13</v>
      </c>
      <c r="M63" t="str">
        <f>+IF(LEFT(DB!M63,3)="13/","CAC","MAD")</f>
        <v>MAD</v>
      </c>
      <c r="N63" t="str">
        <f>+RIGHT(DB!M63,6)</f>
        <v>13m/C6</v>
      </c>
      <c r="O63">
        <v>95</v>
      </c>
      <c r="P63">
        <v>5</v>
      </c>
      <c r="Q63">
        <f>+DB!AB63</f>
        <v>0</v>
      </c>
      <c r="R63">
        <f>+DB!K63</f>
        <v>181.19</v>
      </c>
      <c r="S63" t="str">
        <f>+DB!F63</f>
        <v>AAAC-35</v>
      </c>
      <c r="T63">
        <f>+IF(DB!F63="AAAC-35",1,3)</f>
        <v>1</v>
      </c>
      <c r="U63">
        <f>+DB!R63</f>
        <v>0</v>
      </c>
      <c r="V63">
        <f>+IF(DB!P63="1RI",1,0)+IF(DB!P63="2RI",2,0)</f>
        <v>0</v>
      </c>
      <c r="W63">
        <f>+IF(DB!P63="1RV",1,0)+IF(DB!P63="2RV",2,0)</f>
        <v>0</v>
      </c>
      <c r="X63">
        <f>+IF(DB!P63="RYI",1,0)</f>
        <v>0</v>
      </c>
      <c r="Y63">
        <f>+IF(DB!P63="RYV",1,0)</f>
        <v>0</v>
      </c>
      <c r="Z63" t="str">
        <f>+DB!U63</f>
        <v>PAT-0</v>
      </c>
      <c r="AA63">
        <f>+IF(DB!F63="AAAC-35",19.5,33)</f>
        <v>19.5</v>
      </c>
      <c r="AB63" t="str">
        <f>+DB!V63</f>
        <v>CIM1</v>
      </c>
      <c r="AC63" t="str">
        <f t="shared" si="2"/>
        <v>56-4</v>
      </c>
      <c r="AD63" s="21" t="s">
        <v>72</v>
      </c>
      <c r="AE63">
        <f>+DB!X63</f>
        <v>0</v>
      </c>
      <c r="AF63" s="22">
        <f>+DB!Y63</f>
        <v>0</v>
      </c>
      <c r="AG63">
        <f>+DB!AK63</f>
        <v>0</v>
      </c>
    </row>
    <row r="64" spans="1:33" x14ac:dyDescent="0.2">
      <c r="A64">
        <f>+DB!C64</f>
        <v>15</v>
      </c>
      <c r="B64" t="str">
        <f>+DB!D64</f>
        <v>PS1-0</v>
      </c>
      <c r="C64">
        <f>+DB!E64</f>
        <v>0</v>
      </c>
      <c r="D64">
        <f t="shared" si="0"/>
        <v>0</v>
      </c>
      <c r="E64">
        <f>+DB!G64</f>
        <v>2853.71</v>
      </c>
      <c r="F64">
        <f>+DB!H64</f>
        <v>237.98</v>
      </c>
      <c r="G64">
        <f>+DB!N64</f>
        <v>106.32</v>
      </c>
      <c r="H64">
        <f>+DB!O64</f>
        <v>178.87</v>
      </c>
      <c r="I64">
        <f>+DB!I64</f>
        <v>0</v>
      </c>
      <c r="J64" t="str">
        <f>+DB!J64</f>
        <v>0°</v>
      </c>
      <c r="K64">
        <f>+DB!L64</f>
        <v>1</v>
      </c>
      <c r="L64" t="str">
        <f t="shared" si="1"/>
        <v>13</v>
      </c>
      <c r="M64" t="str">
        <f>+IF(LEFT(DB!M64,3)="13/","CAC","MAD")</f>
        <v>MAD</v>
      </c>
      <c r="N64" t="str">
        <f>+RIGHT(DB!M64,6)</f>
        <v>13m/C6</v>
      </c>
      <c r="O64">
        <v>95</v>
      </c>
      <c r="P64">
        <v>5</v>
      </c>
      <c r="Q64">
        <f>+DB!AB64</f>
        <v>0</v>
      </c>
      <c r="R64">
        <f>+DB!K64</f>
        <v>176.55</v>
      </c>
      <c r="S64" t="str">
        <f>+DB!F64</f>
        <v>AAAC-35</v>
      </c>
      <c r="T64">
        <f>+IF(DB!F64="AAAC-35",1,3)</f>
        <v>1</v>
      </c>
      <c r="U64">
        <f>+DB!R64</f>
        <v>0</v>
      </c>
      <c r="V64">
        <f>+IF(DB!P64="1RI",1,0)+IF(DB!P64="2RI",2,0)</f>
        <v>0</v>
      </c>
      <c r="W64">
        <f>+IF(DB!P64="1RV",1,0)+IF(DB!P64="2RV",2,0)</f>
        <v>0</v>
      </c>
      <c r="X64">
        <f>+IF(DB!P64="RYI",1,0)</f>
        <v>0</v>
      </c>
      <c r="Y64">
        <f>+IF(DB!P64="RYV",1,0)</f>
        <v>0</v>
      </c>
      <c r="Z64" t="str">
        <f>+DB!U64</f>
        <v>PAT-0</v>
      </c>
      <c r="AA64">
        <f>+IF(DB!F64="AAAC-35",19.5,33)</f>
        <v>19.5</v>
      </c>
      <c r="AB64" t="str">
        <f>+DB!V64</f>
        <v>CIM1</v>
      </c>
      <c r="AC64" t="str">
        <f t="shared" si="2"/>
        <v>56-4</v>
      </c>
      <c r="AD64" s="21" t="s">
        <v>72</v>
      </c>
      <c r="AE64">
        <f>+DB!X64</f>
        <v>0</v>
      </c>
      <c r="AF64" s="22">
        <f>+DB!Y64</f>
        <v>0</v>
      </c>
      <c r="AG64">
        <f>+DB!AK64</f>
        <v>0</v>
      </c>
    </row>
    <row r="65" spans="1:33" x14ac:dyDescent="0.2">
      <c r="A65">
        <f>+DB!C65</f>
        <v>16</v>
      </c>
      <c r="B65" t="str">
        <f>+DB!D65</f>
        <v>PS1-0</v>
      </c>
      <c r="C65">
        <f>+DB!E65</f>
        <v>0</v>
      </c>
      <c r="D65">
        <f t="shared" si="0"/>
        <v>0</v>
      </c>
      <c r="E65">
        <f>+DB!G65</f>
        <v>3030.26</v>
      </c>
      <c r="F65">
        <f>+DB!H65</f>
        <v>242.98</v>
      </c>
      <c r="G65">
        <f>+DB!N65</f>
        <v>262.33999999999997</v>
      </c>
      <c r="H65">
        <f>+DB!O65</f>
        <v>242.45</v>
      </c>
      <c r="I65">
        <f>+DB!I65</f>
        <v>0</v>
      </c>
      <c r="J65" t="str">
        <f>+DB!J65</f>
        <v>0°</v>
      </c>
      <c r="K65">
        <f>+DB!L65</f>
        <v>1</v>
      </c>
      <c r="L65" t="str">
        <f t="shared" si="1"/>
        <v>13</v>
      </c>
      <c r="M65" t="str">
        <f>+IF(LEFT(DB!M65,3)="13/","CAC","MAD")</f>
        <v>MAD</v>
      </c>
      <c r="N65" t="str">
        <f>+RIGHT(DB!M65,6)</f>
        <v>13m/C6</v>
      </c>
      <c r="O65">
        <v>95</v>
      </c>
      <c r="P65">
        <v>5</v>
      </c>
      <c r="Q65">
        <f>+DB!AB65</f>
        <v>0</v>
      </c>
      <c r="R65">
        <f>+DB!K65</f>
        <v>308.35000000000002</v>
      </c>
      <c r="S65" t="str">
        <f>+DB!F65</f>
        <v>AAAC-35</v>
      </c>
      <c r="T65">
        <f>+IF(DB!F65="AAAC-35",1,3)</f>
        <v>1</v>
      </c>
      <c r="U65">
        <f>+DB!R65</f>
        <v>0</v>
      </c>
      <c r="V65">
        <f>+IF(DB!P65="1RI",1,0)+IF(DB!P65="2RI",2,0)</f>
        <v>0</v>
      </c>
      <c r="W65">
        <f>+IF(DB!P65="1RV",1,0)+IF(DB!P65="2RV",2,0)</f>
        <v>0</v>
      </c>
      <c r="X65">
        <f>+IF(DB!P65="RYI",1,0)</f>
        <v>0</v>
      </c>
      <c r="Y65">
        <f>+IF(DB!P65="RYV",1,0)</f>
        <v>0</v>
      </c>
      <c r="Z65" t="str">
        <f>+DB!U65</f>
        <v>PAT-0</v>
      </c>
      <c r="AA65">
        <f>+IF(DB!F65="AAAC-35",19.5,33)</f>
        <v>19.5</v>
      </c>
      <c r="AB65" t="str">
        <f>+DB!V65</f>
        <v>CIM1</v>
      </c>
      <c r="AC65" t="str">
        <f t="shared" si="2"/>
        <v>56-4</v>
      </c>
      <c r="AD65" s="21" t="s">
        <v>72</v>
      </c>
      <c r="AE65">
        <f>+DB!X65</f>
        <v>0</v>
      </c>
      <c r="AF65" s="22">
        <f>+DB!Y65</f>
        <v>0</v>
      </c>
      <c r="AG65">
        <f>+DB!AK65</f>
        <v>0</v>
      </c>
    </row>
    <row r="66" spans="1:33" x14ac:dyDescent="0.2">
      <c r="A66">
        <f>+DB!C66</f>
        <v>17</v>
      </c>
      <c r="B66" t="str">
        <f>+DB!D66</f>
        <v>PA1-0</v>
      </c>
      <c r="C66">
        <f>+DB!E66</f>
        <v>0</v>
      </c>
      <c r="D66">
        <f t="shared" si="0"/>
        <v>0</v>
      </c>
      <c r="E66">
        <f>+DB!G66</f>
        <v>3338.61</v>
      </c>
      <c r="F66">
        <f>+DB!H66</f>
        <v>246.22</v>
      </c>
      <c r="G66">
        <f>+DB!N66</f>
        <v>235.61</v>
      </c>
      <c r="H66">
        <f>+DB!O66</f>
        <v>277.63</v>
      </c>
      <c r="I66" t="str">
        <f>+DB!I66</f>
        <v>E16V</v>
      </c>
      <c r="J66" t="str">
        <f>+DB!J66</f>
        <v>22°35'25.12"</v>
      </c>
      <c r="K66">
        <f>+DB!L66</f>
        <v>1</v>
      </c>
      <c r="L66" t="str">
        <f t="shared" si="1"/>
        <v>13</v>
      </c>
      <c r="M66" t="str">
        <f>+IF(LEFT(DB!M66,3)="13/","CAC","MAD")</f>
        <v>MAD</v>
      </c>
      <c r="N66" t="str">
        <f>+RIGHT(DB!M66,6)</f>
        <v>13m/C6</v>
      </c>
      <c r="O66">
        <v>95</v>
      </c>
      <c r="P66">
        <v>5</v>
      </c>
      <c r="Q66">
        <f>+DB!AB66</f>
        <v>0</v>
      </c>
      <c r="R66">
        <f>+DB!K66</f>
        <v>246.91</v>
      </c>
      <c r="S66" t="str">
        <f>+DB!F66</f>
        <v>AAAC-35</v>
      </c>
      <c r="T66">
        <f>+IF(DB!F66="AAAC-35",1,3)</f>
        <v>1</v>
      </c>
      <c r="U66">
        <f>+DB!R66</f>
        <v>0</v>
      </c>
      <c r="V66">
        <f>+IF(DB!P66="1RI",1,0)+IF(DB!P66="2RI",2,0)</f>
        <v>1</v>
      </c>
      <c r="W66">
        <f>+IF(DB!P66="1RV",1,0)+IF(DB!P66="2RV",2,0)</f>
        <v>0</v>
      </c>
      <c r="X66">
        <f>+IF(DB!P66="RYI",1,0)</f>
        <v>0</v>
      </c>
      <c r="Y66">
        <f>+IF(DB!P66="RYV",1,0)</f>
        <v>0</v>
      </c>
      <c r="Z66" t="str">
        <f>+DB!U66</f>
        <v>PAT-0</v>
      </c>
      <c r="AA66">
        <f>+IF(DB!F66="AAAC-35",19.5,33)</f>
        <v>19.5</v>
      </c>
      <c r="AB66" t="str">
        <f>+DB!V66</f>
        <v>CIM1</v>
      </c>
      <c r="AC66" t="str">
        <f t="shared" si="2"/>
        <v>56-4</v>
      </c>
      <c r="AD66" s="21" t="s">
        <v>72</v>
      </c>
      <c r="AE66">
        <f>+DB!X66</f>
        <v>0</v>
      </c>
      <c r="AF66" s="22">
        <f>+DB!Y66</f>
        <v>0</v>
      </c>
      <c r="AG66">
        <f>+DB!AK66</f>
        <v>0</v>
      </c>
    </row>
    <row r="67" spans="1:33" x14ac:dyDescent="0.2">
      <c r="A67">
        <f>+DB!C67</f>
        <v>18</v>
      </c>
      <c r="B67" t="str">
        <f>+DB!D67</f>
        <v>PS1-0</v>
      </c>
      <c r="C67">
        <f>+DB!E67</f>
        <v>0</v>
      </c>
      <c r="D67">
        <f t="shared" ref="D67:D130" si="3">+IF(B67="PSEC-0PA","K",0)</f>
        <v>0</v>
      </c>
      <c r="E67">
        <f>+DB!G67</f>
        <v>3585.52</v>
      </c>
      <c r="F67">
        <f>+DB!H67</f>
        <v>256</v>
      </c>
      <c r="G67">
        <f>+DB!N67</f>
        <v>255.34</v>
      </c>
      <c r="H67">
        <f>+DB!O67</f>
        <v>169.02</v>
      </c>
      <c r="I67">
        <f>+DB!I67</f>
        <v>0</v>
      </c>
      <c r="J67" t="str">
        <f>+DB!J67</f>
        <v>0°</v>
      </c>
      <c r="K67">
        <f>+DB!L67</f>
        <v>1</v>
      </c>
      <c r="L67" t="str">
        <f t="shared" ref="L67:L130" si="4">+LEFT(N67,2)</f>
        <v>13</v>
      </c>
      <c r="M67" t="str">
        <f>+IF(LEFT(DB!M67,3)="13/","CAC","MAD")</f>
        <v>MAD</v>
      </c>
      <c r="N67" t="str">
        <f>+RIGHT(DB!M67,6)</f>
        <v>13m/C6</v>
      </c>
      <c r="O67">
        <v>95</v>
      </c>
      <c r="P67">
        <v>5</v>
      </c>
      <c r="Q67">
        <f>+DB!AB67</f>
        <v>0</v>
      </c>
      <c r="R67">
        <f>+DB!K67</f>
        <v>91.14</v>
      </c>
      <c r="S67" t="str">
        <f>+DB!F67</f>
        <v>AAAC-35</v>
      </c>
      <c r="T67">
        <f>+IF(DB!F67="AAAC-35",1,3)</f>
        <v>1</v>
      </c>
      <c r="U67">
        <f>+DB!R67</f>
        <v>0</v>
      </c>
      <c r="V67">
        <f>+IF(DB!P67="1RI",1,0)+IF(DB!P67="2RI",2,0)</f>
        <v>0</v>
      </c>
      <c r="W67">
        <f>+IF(DB!P67="1RV",1,0)+IF(DB!P67="2RV",2,0)</f>
        <v>0</v>
      </c>
      <c r="X67">
        <f>+IF(DB!P67="RYI",1,0)</f>
        <v>0</v>
      </c>
      <c r="Y67">
        <f>+IF(DB!P67="RYV",1,0)</f>
        <v>0</v>
      </c>
      <c r="Z67" t="str">
        <f>+DB!U67</f>
        <v>PAT-0</v>
      </c>
      <c r="AA67">
        <f>+IF(DB!F67="AAAC-35",19.5,33)</f>
        <v>19.5</v>
      </c>
      <c r="AB67" t="str">
        <f>+DB!V67</f>
        <v>CIM1</v>
      </c>
      <c r="AC67" t="str">
        <f t="shared" ref="AC67:AC130" si="5">+IF(F67&gt;1675,"56-5","56-4")</f>
        <v>56-4</v>
      </c>
      <c r="AD67" s="21" t="s">
        <v>72</v>
      </c>
      <c r="AE67">
        <f>+DB!X67</f>
        <v>0</v>
      </c>
      <c r="AF67" s="22">
        <f>+DB!Y67</f>
        <v>0</v>
      </c>
      <c r="AG67">
        <f>+DB!AK67</f>
        <v>0</v>
      </c>
    </row>
    <row r="68" spans="1:33" x14ac:dyDescent="0.2">
      <c r="A68">
        <f>+DB!C68</f>
        <v>19</v>
      </c>
      <c r="B68" t="str">
        <f>+DB!D68</f>
        <v>PS1-0</v>
      </c>
      <c r="C68">
        <f>+DB!E68</f>
        <v>0</v>
      </c>
      <c r="D68">
        <f t="shared" si="3"/>
        <v>0</v>
      </c>
      <c r="E68">
        <f>+DB!G68</f>
        <v>3676.65</v>
      </c>
      <c r="F68">
        <f>+DB!H68</f>
        <v>252.98</v>
      </c>
      <c r="G68">
        <f>+DB!N68</f>
        <v>101.14</v>
      </c>
      <c r="H68">
        <f>+DB!O68</f>
        <v>179.51</v>
      </c>
      <c r="I68">
        <f>+DB!I68</f>
        <v>0</v>
      </c>
      <c r="J68" t="str">
        <f>+DB!J68</f>
        <v>0°</v>
      </c>
      <c r="K68">
        <f>+DB!L68</f>
        <v>1</v>
      </c>
      <c r="L68" t="str">
        <f t="shared" si="4"/>
        <v>13</v>
      </c>
      <c r="M68" t="str">
        <f>+IF(LEFT(DB!M68,3)="13/","CAC","MAD")</f>
        <v>MAD</v>
      </c>
      <c r="N68" t="str">
        <f>+RIGHT(DB!M68,6)</f>
        <v>13m/C6</v>
      </c>
      <c r="O68">
        <v>95</v>
      </c>
      <c r="P68">
        <v>5</v>
      </c>
      <c r="Q68">
        <f>+DB!AB68</f>
        <v>0</v>
      </c>
      <c r="R68">
        <f>+DB!K68</f>
        <v>267.88</v>
      </c>
      <c r="S68" t="str">
        <f>+DB!F68</f>
        <v>AAAC-35</v>
      </c>
      <c r="T68">
        <f>+IF(DB!F68="AAAC-35",1,3)</f>
        <v>1</v>
      </c>
      <c r="U68">
        <f>+DB!R68</f>
        <v>0</v>
      </c>
      <c r="V68">
        <f>+IF(DB!P68="1RI",1,0)+IF(DB!P68="2RI",2,0)</f>
        <v>0</v>
      </c>
      <c r="W68">
        <f>+IF(DB!P68="1RV",1,0)+IF(DB!P68="2RV",2,0)</f>
        <v>0</v>
      </c>
      <c r="X68">
        <f>+IF(DB!P68="RYI",1,0)</f>
        <v>0</v>
      </c>
      <c r="Y68">
        <f>+IF(DB!P68="RYV",1,0)</f>
        <v>0</v>
      </c>
      <c r="Z68" t="str">
        <f>+DB!U68</f>
        <v>PAT-0</v>
      </c>
      <c r="AA68">
        <f>+IF(DB!F68="AAAC-35",19.5,33)</f>
        <v>19.5</v>
      </c>
      <c r="AB68" t="str">
        <f>+DB!V68</f>
        <v>CIM1</v>
      </c>
      <c r="AC68" t="str">
        <f t="shared" si="5"/>
        <v>56-4</v>
      </c>
      <c r="AD68" s="21" t="s">
        <v>72</v>
      </c>
      <c r="AE68">
        <f>+DB!X68</f>
        <v>0</v>
      </c>
      <c r="AF68" s="22">
        <f>+DB!Y68</f>
        <v>0</v>
      </c>
      <c r="AG68">
        <f>+DB!AK68</f>
        <v>0</v>
      </c>
    </row>
    <row r="69" spans="1:33" x14ac:dyDescent="0.2">
      <c r="A69">
        <f>+DB!C69</f>
        <v>20</v>
      </c>
      <c r="B69" t="str">
        <f>+DB!D69</f>
        <v>PS1-0</v>
      </c>
      <c r="C69">
        <f>+DB!E69</f>
        <v>0</v>
      </c>
      <c r="D69">
        <f t="shared" si="3"/>
        <v>0</v>
      </c>
      <c r="E69">
        <f>+DB!G69</f>
        <v>3944.54</v>
      </c>
      <c r="F69">
        <f>+DB!H69</f>
        <v>262</v>
      </c>
      <c r="G69">
        <f>+DB!N69</f>
        <v>263.05</v>
      </c>
      <c r="H69">
        <f>+DB!O69</f>
        <v>193.6</v>
      </c>
      <c r="I69">
        <f>+DB!I69</f>
        <v>0</v>
      </c>
      <c r="J69" t="str">
        <f>+DB!J69</f>
        <v>0°</v>
      </c>
      <c r="K69">
        <f>+DB!L69</f>
        <v>1</v>
      </c>
      <c r="L69" t="str">
        <f t="shared" si="4"/>
        <v>13</v>
      </c>
      <c r="M69" t="str">
        <f>+IF(LEFT(DB!M69,3)="13/","CAC","MAD")</f>
        <v>MAD</v>
      </c>
      <c r="N69" t="str">
        <f>+RIGHT(DB!M69,6)</f>
        <v>13m/C6</v>
      </c>
      <c r="O69">
        <v>95</v>
      </c>
      <c r="P69">
        <v>5</v>
      </c>
      <c r="Q69">
        <f>+DB!AB69</f>
        <v>0</v>
      </c>
      <c r="R69">
        <f>+DB!K69</f>
        <v>119.32</v>
      </c>
      <c r="S69" t="str">
        <f>+DB!F69</f>
        <v>AAAC-35</v>
      </c>
      <c r="T69">
        <f>+IF(DB!F69="AAAC-35",1,3)</f>
        <v>1</v>
      </c>
      <c r="U69">
        <f>+DB!R69</f>
        <v>0</v>
      </c>
      <c r="V69">
        <f>+IF(DB!P69="1RI",1,0)+IF(DB!P69="2RI",2,0)</f>
        <v>0</v>
      </c>
      <c r="W69">
        <f>+IF(DB!P69="1RV",1,0)+IF(DB!P69="2RV",2,0)</f>
        <v>0</v>
      </c>
      <c r="X69">
        <f>+IF(DB!P69="RYI",1,0)</f>
        <v>0</v>
      </c>
      <c r="Y69">
        <f>+IF(DB!P69="RYV",1,0)</f>
        <v>0</v>
      </c>
      <c r="Z69" t="str">
        <f>+DB!U69</f>
        <v>PAT-0</v>
      </c>
      <c r="AA69">
        <f>+IF(DB!F69="AAAC-35",19.5,33)</f>
        <v>19.5</v>
      </c>
      <c r="AB69" t="str">
        <f>+DB!V69</f>
        <v>CIM1</v>
      </c>
      <c r="AC69" t="str">
        <f t="shared" si="5"/>
        <v>56-4</v>
      </c>
      <c r="AD69" s="21" t="s">
        <v>72</v>
      </c>
      <c r="AE69">
        <f>+DB!X69</f>
        <v>0</v>
      </c>
      <c r="AF69" s="22">
        <f>+DB!Y69</f>
        <v>0</v>
      </c>
      <c r="AG69">
        <f>+DB!AK69</f>
        <v>0</v>
      </c>
    </row>
    <row r="70" spans="1:33" x14ac:dyDescent="0.2">
      <c r="A70">
        <f>+DB!C70</f>
        <v>21</v>
      </c>
      <c r="B70" t="str">
        <f>+DB!D70</f>
        <v>PS1-0</v>
      </c>
      <c r="C70">
        <f>+DB!E70</f>
        <v>0</v>
      </c>
      <c r="D70">
        <f t="shared" si="3"/>
        <v>0</v>
      </c>
      <c r="E70">
        <f>+DB!G70</f>
        <v>4063.86</v>
      </c>
      <c r="F70">
        <f>+DB!H70</f>
        <v>259.98</v>
      </c>
      <c r="G70">
        <f>+DB!N70</f>
        <v>155.26</v>
      </c>
      <c r="H70">
        <f>+DB!O70</f>
        <v>142.88</v>
      </c>
      <c r="I70">
        <f>+DB!I70</f>
        <v>0</v>
      </c>
      <c r="J70" t="str">
        <f>+DB!J70</f>
        <v>0°</v>
      </c>
      <c r="K70">
        <f>+DB!L70</f>
        <v>1</v>
      </c>
      <c r="L70" t="str">
        <f t="shared" si="4"/>
        <v>13</v>
      </c>
      <c r="M70" t="str">
        <f>+IF(LEFT(DB!M70,3)="13/","CAC","MAD")</f>
        <v>MAD</v>
      </c>
      <c r="N70" t="str">
        <f>+RIGHT(DB!M70,6)</f>
        <v>13m/C6</v>
      </c>
      <c r="O70">
        <v>95</v>
      </c>
      <c r="P70">
        <v>5</v>
      </c>
      <c r="Q70">
        <f>+DB!AB70</f>
        <v>0</v>
      </c>
      <c r="R70">
        <f>+DB!K70</f>
        <v>166.44</v>
      </c>
      <c r="S70" t="str">
        <f>+DB!F70</f>
        <v>AAAC-35</v>
      </c>
      <c r="T70">
        <f>+IF(DB!F70="AAAC-35",1,3)</f>
        <v>1</v>
      </c>
      <c r="U70">
        <f>+DB!R70</f>
        <v>0</v>
      </c>
      <c r="V70">
        <f>+IF(DB!P70="1RI",1,0)+IF(DB!P70="2RI",2,0)</f>
        <v>0</v>
      </c>
      <c r="W70">
        <f>+IF(DB!P70="1RV",1,0)+IF(DB!P70="2RV",2,0)</f>
        <v>0</v>
      </c>
      <c r="X70">
        <f>+IF(DB!P70="RYI",1,0)</f>
        <v>0</v>
      </c>
      <c r="Y70">
        <f>+IF(DB!P70="RYV",1,0)</f>
        <v>0</v>
      </c>
      <c r="Z70" t="str">
        <f>+DB!U70</f>
        <v>PAT-0</v>
      </c>
      <c r="AA70">
        <f>+IF(DB!F70="AAAC-35",19.5,33)</f>
        <v>19.5</v>
      </c>
      <c r="AB70" t="str">
        <f>+DB!V70</f>
        <v>CIM1</v>
      </c>
      <c r="AC70" t="str">
        <f t="shared" si="5"/>
        <v>56-4</v>
      </c>
      <c r="AD70" s="21" t="s">
        <v>72</v>
      </c>
      <c r="AE70">
        <f>+DB!X70</f>
        <v>0</v>
      </c>
      <c r="AF70" s="22">
        <f>+DB!Y70</f>
        <v>0</v>
      </c>
      <c r="AG70">
        <f>+DB!AK70</f>
        <v>0</v>
      </c>
    </row>
    <row r="71" spans="1:33" x14ac:dyDescent="0.2">
      <c r="A71">
        <f>+DB!C71</f>
        <v>22</v>
      </c>
      <c r="B71" t="str">
        <f>+DB!D71</f>
        <v>PS1-0</v>
      </c>
      <c r="C71">
        <f>+DB!E71</f>
        <v>0</v>
      </c>
      <c r="D71">
        <f t="shared" si="3"/>
        <v>0</v>
      </c>
      <c r="E71">
        <f>+DB!G71</f>
        <v>4230.3</v>
      </c>
      <c r="F71">
        <f>+DB!H71</f>
        <v>256.08</v>
      </c>
      <c r="G71">
        <f>+DB!N71</f>
        <v>109.93</v>
      </c>
      <c r="H71">
        <f>+DB!O71</f>
        <v>154.25</v>
      </c>
      <c r="I71">
        <f>+DB!I71</f>
        <v>0</v>
      </c>
      <c r="J71" t="str">
        <f>+DB!J71</f>
        <v>0°</v>
      </c>
      <c r="K71">
        <f>+DB!L71</f>
        <v>1</v>
      </c>
      <c r="L71" t="str">
        <f t="shared" si="4"/>
        <v>13</v>
      </c>
      <c r="M71" t="str">
        <f>+IF(LEFT(DB!M71,3)="13/","CAC","MAD")</f>
        <v>MAD</v>
      </c>
      <c r="N71" t="str">
        <f>+RIGHT(DB!M71,6)</f>
        <v>13m/C6</v>
      </c>
      <c r="O71">
        <v>95</v>
      </c>
      <c r="P71">
        <v>5</v>
      </c>
      <c r="Q71">
        <f>+DB!AB71</f>
        <v>0</v>
      </c>
      <c r="R71">
        <f>+DB!K71</f>
        <v>142.05000000000001</v>
      </c>
      <c r="S71" t="str">
        <f>+DB!F71</f>
        <v>AAAC-35</v>
      </c>
      <c r="T71">
        <f>+IF(DB!F71="AAAC-35",1,3)</f>
        <v>1</v>
      </c>
      <c r="U71">
        <f>+DB!R71</f>
        <v>0</v>
      </c>
      <c r="V71">
        <f>+IF(DB!P71="1RI",1,0)+IF(DB!P71="2RI",2,0)</f>
        <v>0</v>
      </c>
      <c r="W71">
        <f>+IF(DB!P71="1RV",1,0)+IF(DB!P71="2RV",2,0)</f>
        <v>0</v>
      </c>
      <c r="X71">
        <f>+IF(DB!P71="RYI",1,0)</f>
        <v>0</v>
      </c>
      <c r="Y71">
        <f>+IF(DB!P71="RYV",1,0)</f>
        <v>0</v>
      </c>
      <c r="Z71" t="str">
        <f>+DB!U71</f>
        <v>PAT-0</v>
      </c>
      <c r="AA71">
        <f>+IF(DB!F71="AAAC-35",19.5,33)</f>
        <v>19.5</v>
      </c>
      <c r="AB71" t="str">
        <f>+DB!V71</f>
        <v>CIM1</v>
      </c>
      <c r="AC71" t="str">
        <f t="shared" si="5"/>
        <v>56-4</v>
      </c>
      <c r="AD71" s="21" t="s">
        <v>72</v>
      </c>
      <c r="AE71">
        <f>+DB!X71</f>
        <v>0</v>
      </c>
      <c r="AF71" s="22">
        <f>+DB!Y71</f>
        <v>0</v>
      </c>
      <c r="AG71">
        <f>+DB!AK71</f>
        <v>0</v>
      </c>
    </row>
    <row r="72" spans="1:33" x14ac:dyDescent="0.2">
      <c r="A72">
        <f>+DB!C72</f>
        <v>23</v>
      </c>
      <c r="B72" t="str">
        <f>+DB!D72</f>
        <v>PS1-0</v>
      </c>
      <c r="C72">
        <f>+DB!E72</f>
        <v>0</v>
      </c>
      <c r="D72">
        <f t="shared" si="3"/>
        <v>0</v>
      </c>
      <c r="E72">
        <f>+DB!G72</f>
        <v>4372.3500000000004</v>
      </c>
      <c r="F72">
        <f>+DB!H72</f>
        <v>257.98</v>
      </c>
      <c r="G72">
        <f>+DB!N72</f>
        <v>126.05</v>
      </c>
      <c r="H72">
        <f>+DB!O72</f>
        <v>135.66</v>
      </c>
      <c r="I72">
        <f>+DB!I72</f>
        <v>0</v>
      </c>
      <c r="J72" t="str">
        <f>+DB!J72</f>
        <v>0°</v>
      </c>
      <c r="K72">
        <f>+DB!L72</f>
        <v>1</v>
      </c>
      <c r="L72" t="str">
        <f t="shared" si="4"/>
        <v>13</v>
      </c>
      <c r="M72" t="str">
        <f>+IF(LEFT(DB!M72,3)="13/","CAC","MAD")</f>
        <v>MAD</v>
      </c>
      <c r="N72" t="str">
        <f>+RIGHT(DB!M72,6)</f>
        <v>13m/C6</v>
      </c>
      <c r="O72">
        <v>95</v>
      </c>
      <c r="P72">
        <v>5</v>
      </c>
      <c r="Q72">
        <f>+DB!AB72</f>
        <v>0</v>
      </c>
      <c r="R72">
        <f>+DB!K72</f>
        <v>129.26</v>
      </c>
      <c r="S72" t="str">
        <f>+DB!F72</f>
        <v>AAAC-35</v>
      </c>
      <c r="T72">
        <f>+IF(DB!F72="AAAC-35",1,3)</f>
        <v>1</v>
      </c>
      <c r="U72">
        <f>+DB!R72</f>
        <v>0</v>
      </c>
      <c r="V72">
        <f>+IF(DB!P72="1RI",1,0)+IF(DB!P72="2RI",2,0)</f>
        <v>0</v>
      </c>
      <c r="W72">
        <f>+IF(DB!P72="1RV",1,0)+IF(DB!P72="2RV",2,0)</f>
        <v>0</v>
      </c>
      <c r="X72">
        <f>+IF(DB!P72="RYI",1,0)</f>
        <v>0</v>
      </c>
      <c r="Y72">
        <f>+IF(DB!P72="RYV",1,0)</f>
        <v>0</v>
      </c>
      <c r="Z72" t="str">
        <f>+DB!U72</f>
        <v>PAT-0</v>
      </c>
      <c r="AA72">
        <f>+IF(DB!F72="AAAC-35",19.5,33)</f>
        <v>19.5</v>
      </c>
      <c r="AB72" t="str">
        <f>+DB!V72</f>
        <v>CIM1</v>
      </c>
      <c r="AC72" t="str">
        <f t="shared" si="5"/>
        <v>56-4</v>
      </c>
      <c r="AD72" s="21" t="s">
        <v>72</v>
      </c>
      <c r="AE72">
        <f>+DB!X72</f>
        <v>0</v>
      </c>
      <c r="AF72" s="22">
        <f>+DB!Y72</f>
        <v>0</v>
      </c>
      <c r="AG72">
        <f>+DB!AK72</f>
        <v>0</v>
      </c>
    </row>
    <row r="73" spans="1:33" x14ac:dyDescent="0.2">
      <c r="A73">
        <f>+DB!C73</f>
        <v>24</v>
      </c>
      <c r="B73" t="str">
        <f>+DB!D73</f>
        <v>PS1-0</v>
      </c>
      <c r="C73">
        <f>+DB!E73</f>
        <v>0</v>
      </c>
      <c r="D73">
        <f t="shared" si="3"/>
        <v>0</v>
      </c>
      <c r="E73">
        <f>+DB!G73</f>
        <v>4501.6099999999997</v>
      </c>
      <c r="F73">
        <f>+DB!H73</f>
        <v>261</v>
      </c>
      <c r="G73">
        <f>+DB!N73</f>
        <v>149.36000000000001</v>
      </c>
      <c r="H73">
        <f>+DB!O73</f>
        <v>158.34</v>
      </c>
      <c r="I73">
        <f>+DB!I73</f>
        <v>0</v>
      </c>
      <c r="J73" t="str">
        <f>+DB!J73</f>
        <v>0°</v>
      </c>
      <c r="K73">
        <f>+DB!L73</f>
        <v>1</v>
      </c>
      <c r="L73" t="str">
        <f t="shared" si="4"/>
        <v>13</v>
      </c>
      <c r="M73" t="str">
        <f>+IF(LEFT(DB!M73,3)="13/","CAC","MAD")</f>
        <v>MAD</v>
      </c>
      <c r="N73" t="str">
        <f>+RIGHT(DB!M73,6)</f>
        <v>13m/C6</v>
      </c>
      <c r="O73">
        <v>95</v>
      </c>
      <c r="P73">
        <v>5</v>
      </c>
      <c r="Q73">
        <f>+DB!AB73</f>
        <v>0</v>
      </c>
      <c r="R73">
        <f>+DB!K73</f>
        <v>187.42</v>
      </c>
      <c r="S73" t="str">
        <f>+DB!F73</f>
        <v>AAAC-35</v>
      </c>
      <c r="T73">
        <f>+IF(DB!F73="AAAC-35",1,3)</f>
        <v>1</v>
      </c>
      <c r="U73">
        <f>+DB!R73</f>
        <v>0</v>
      </c>
      <c r="V73">
        <f>+IF(DB!P73="1RI",1,0)+IF(DB!P73="2RI",2,0)</f>
        <v>0</v>
      </c>
      <c r="W73">
        <f>+IF(DB!P73="1RV",1,0)+IF(DB!P73="2RV",2,0)</f>
        <v>0</v>
      </c>
      <c r="X73">
        <f>+IF(DB!P73="RYI",1,0)</f>
        <v>0</v>
      </c>
      <c r="Y73">
        <f>+IF(DB!P73="RYV",1,0)</f>
        <v>0</v>
      </c>
      <c r="Z73" t="str">
        <f>+DB!U73</f>
        <v>PAT-0</v>
      </c>
      <c r="AA73">
        <f>+IF(DB!F73="AAAC-35",19.5,33)</f>
        <v>19.5</v>
      </c>
      <c r="AB73" t="str">
        <f>+DB!V73</f>
        <v>CIM1</v>
      </c>
      <c r="AC73" t="str">
        <f t="shared" si="5"/>
        <v>56-4</v>
      </c>
      <c r="AD73" s="21" t="s">
        <v>72</v>
      </c>
      <c r="AE73">
        <f>+DB!X73</f>
        <v>0</v>
      </c>
      <c r="AF73" s="22">
        <f>+DB!Y73</f>
        <v>0</v>
      </c>
      <c r="AG73">
        <f>+DB!AK73</f>
        <v>0</v>
      </c>
    </row>
    <row r="74" spans="1:33" x14ac:dyDescent="0.2">
      <c r="A74">
        <f>+DB!C74</f>
        <v>25</v>
      </c>
      <c r="B74" t="str">
        <f>+DB!D74</f>
        <v>PR3-0</v>
      </c>
      <c r="C74">
        <f>+DB!E74</f>
        <v>0</v>
      </c>
      <c r="D74">
        <f t="shared" si="3"/>
        <v>0</v>
      </c>
      <c r="E74">
        <f>+DB!G74</f>
        <v>4689.04</v>
      </c>
      <c r="F74">
        <f>+DB!H74</f>
        <v>266.25</v>
      </c>
      <c r="G74">
        <f>+DB!N74</f>
        <v>350.15</v>
      </c>
      <c r="H74">
        <f>+DB!O74</f>
        <v>267.47000000000003</v>
      </c>
      <c r="I74" t="str">
        <f>+DB!I74</f>
        <v>E24V</v>
      </c>
      <c r="J74" t="str">
        <f>+DB!J74</f>
        <v>23°18'22.07"</v>
      </c>
      <c r="K74">
        <f>+DB!L74</f>
        <v>1</v>
      </c>
      <c r="L74" t="str">
        <f t="shared" si="4"/>
        <v>13</v>
      </c>
      <c r="M74" t="str">
        <f>+IF(LEFT(DB!M74,3)="13/","CAC","MAD")</f>
        <v>MAD</v>
      </c>
      <c r="N74" t="str">
        <f>+RIGHT(DB!M74,6)</f>
        <v>13m/C6</v>
      </c>
      <c r="O74">
        <v>95</v>
      </c>
      <c r="P74">
        <v>5</v>
      </c>
      <c r="Q74">
        <f>+DB!AB74</f>
        <v>0</v>
      </c>
      <c r="R74">
        <f>+DB!K74</f>
        <v>347.51</v>
      </c>
      <c r="S74" t="str">
        <f>+DB!F74</f>
        <v>AAAC-35</v>
      </c>
      <c r="T74">
        <f>+IF(DB!F74="AAAC-35",1,3)</f>
        <v>1</v>
      </c>
      <c r="U74">
        <f>+DB!R74</f>
        <v>2</v>
      </c>
      <c r="V74">
        <f>+IF(DB!P74="1RI",1,0)+IF(DB!P74="2RI",2,0)</f>
        <v>2</v>
      </c>
      <c r="W74">
        <f>+IF(DB!P74="1RV",1,0)+IF(DB!P74="2RV",2,0)</f>
        <v>0</v>
      </c>
      <c r="X74">
        <f>+IF(DB!P74="RYI",1,0)</f>
        <v>0</v>
      </c>
      <c r="Y74">
        <f>+IF(DB!P74="RYV",1,0)</f>
        <v>0</v>
      </c>
      <c r="Z74" t="str">
        <f>+DB!U74</f>
        <v>PAT-0</v>
      </c>
      <c r="AA74">
        <f>+IF(DB!F74="AAAC-35",19.5,33)</f>
        <v>19.5</v>
      </c>
      <c r="AB74" t="str">
        <f>+DB!V74</f>
        <v>CIM1</v>
      </c>
      <c r="AC74" t="str">
        <f t="shared" si="5"/>
        <v>56-4</v>
      </c>
      <c r="AD74" s="21" t="s">
        <v>72</v>
      </c>
      <c r="AE74">
        <f>+DB!X74</f>
        <v>0</v>
      </c>
      <c r="AF74" s="22">
        <f>+DB!Y74</f>
        <v>0</v>
      </c>
      <c r="AG74">
        <f>+DB!AK74</f>
        <v>0</v>
      </c>
    </row>
    <row r="75" spans="1:33" x14ac:dyDescent="0.2">
      <c r="A75">
        <f>+DB!C75</f>
        <v>26</v>
      </c>
      <c r="B75" t="str">
        <f>+DB!D75</f>
        <v>PS1-0</v>
      </c>
      <c r="C75">
        <f>+DB!E75</f>
        <v>0</v>
      </c>
      <c r="D75">
        <f t="shared" si="3"/>
        <v>0</v>
      </c>
      <c r="E75">
        <f>+DB!G75</f>
        <v>5036.55</v>
      </c>
      <c r="F75">
        <f>+DB!H75</f>
        <v>255.89</v>
      </c>
      <c r="G75">
        <f>+DB!N75</f>
        <v>228.71</v>
      </c>
      <c r="H75">
        <f>+DB!O75</f>
        <v>245.43</v>
      </c>
      <c r="I75">
        <f>+DB!I75</f>
        <v>0</v>
      </c>
      <c r="J75" t="str">
        <f>+DB!J75</f>
        <v>0°</v>
      </c>
      <c r="K75">
        <f>+DB!L75</f>
        <v>1</v>
      </c>
      <c r="L75" t="str">
        <f t="shared" si="4"/>
        <v>13</v>
      </c>
      <c r="M75" t="str">
        <f>+IF(LEFT(DB!M75,3)="13/","CAC","MAD")</f>
        <v>MAD</v>
      </c>
      <c r="N75" t="str">
        <f>+RIGHT(DB!M75,6)</f>
        <v>13m/C6</v>
      </c>
      <c r="O75">
        <v>95</v>
      </c>
      <c r="P75">
        <v>5</v>
      </c>
      <c r="Q75">
        <f>+DB!AB75</f>
        <v>0</v>
      </c>
      <c r="R75">
        <f>+DB!K75</f>
        <v>143.34</v>
      </c>
      <c r="S75" t="str">
        <f>+DB!F75</f>
        <v>AAAC-35</v>
      </c>
      <c r="T75">
        <f>+IF(DB!F75="AAAC-35",1,3)</f>
        <v>1</v>
      </c>
      <c r="U75">
        <f>+DB!R75</f>
        <v>0</v>
      </c>
      <c r="V75">
        <f>+IF(DB!P75="1RI",1,0)+IF(DB!P75="2RI",2,0)</f>
        <v>0</v>
      </c>
      <c r="W75">
        <f>+IF(DB!P75="1RV",1,0)+IF(DB!P75="2RV",2,0)</f>
        <v>0</v>
      </c>
      <c r="X75">
        <f>+IF(DB!P75="RYI",1,0)</f>
        <v>0</v>
      </c>
      <c r="Y75">
        <f>+IF(DB!P75="RYV",1,0)</f>
        <v>0</v>
      </c>
      <c r="Z75" t="str">
        <f>+DB!U75</f>
        <v>PAT-0</v>
      </c>
      <c r="AA75">
        <f>+IF(DB!F75="AAAC-35",19.5,33)</f>
        <v>19.5</v>
      </c>
      <c r="AB75" t="str">
        <f>+DB!V75</f>
        <v>CIM1</v>
      </c>
      <c r="AC75" t="str">
        <f t="shared" si="5"/>
        <v>56-4</v>
      </c>
      <c r="AD75" s="21" t="s">
        <v>72</v>
      </c>
      <c r="AE75">
        <f>+DB!X75</f>
        <v>0</v>
      </c>
      <c r="AF75" s="22">
        <f>+DB!Y75</f>
        <v>0</v>
      </c>
      <c r="AG75">
        <f>+DB!AK75</f>
        <v>0</v>
      </c>
    </row>
    <row r="76" spans="1:33" x14ac:dyDescent="0.2">
      <c r="A76">
        <f>+DB!C76</f>
        <v>27</v>
      </c>
      <c r="B76" t="str">
        <f>+DB!D76</f>
        <v>PS1-0</v>
      </c>
      <c r="C76">
        <f>+DB!E76</f>
        <v>0</v>
      </c>
      <c r="D76">
        <f t="shared" si="3"/>
        <v>0</v>
      </c>
      <c r="E76">
        <f>+DB!G76</f>
        <v>5179.8900000000003</v>
      </c>
      <c r="F76">
        <f>+DB!H76</f>
        <v>252</v>
      </c>
      <c r="G76">
        <f>+DB!N76</f>
        <v>12.94</v>
      </c>
      <c r="H76">
        <f>+DB!O76</f>
        <v>120.44</v>
      </c>
      <c r="I76">
        <f>+DB!I76</f>
        <v>0</v>
      </c>
      <c r="J76" t="str">
        <f>+DB!J76</f>
        <v>0°</v>
      </c>
      <c r="K76">
        <f>+DB!L76</f>
        <v>1</v>
      </c>
      <c r="L76" t="str">
        <f t="shared" si="4"/>
        <v>13</v>
      </c>
      <c r="M76" t="str">
        <f>+IF(LEFT(DB!M76,3)="13/","CAC","MAD")</f>
        <v>MAD</v>
      </c>
      <c r="N76" t="str">
        <f>+RIGHT(DB!M76,6)</f>
        <v>13m/C6</v>
      </c>
      <c r="O76">
        <v>95</v>
      </c>
      <c r="P76">
        <v>5</v>
      </c>
      <c r="Q76">
        <f>+DB!AB76</f>
        <v>0</v>
      </c>
      <c r="R76">
        <f>+DB!K76</f>
        <v>97.54</v>
      </c>
      <c r="S76" t="str">
        <f>+DB!F76</f>
        <v>AAAC-35</v>
      </c>
      <c r="T76">
        <f>+IF(DB!F76="AAAC-35",1,3)</f>
        <v>1</v>
      </c>
      <c r="U76">
        <f>+DB!R76</f>
        <v>0</v>
      </c>
      <c r="V76">
        <f>+IF(DB!P76="1RI",1,0)+IF(DB!P76="2RI",2,0)</f>
        <v>0</v>
      </c>
      <c r="W76">
        <f>+IF(DB!P76="1RV",1,0)+IF(DB!P76="2RV",2,0)</f>
        <v>0</v>
      </c>
      <c r="X76">
        <f>+IF(DB!P76="RYI",1,0)</f>
        <v>0</v>
      </c>
      <c r="Y76">
        <f>+IF(DB!P76="RYV",1,0)</f>
        <v>0</v>
      </c>
      <c r="Z76" t="str">
        <f>+DB!U76</f>
        <v>PAT-0</v>
      </c>
      <c r="AA76">
        <f>+IF(DB!F76="AAAC-35",19.5,33)</f>
        <v>19.5</v>
      </c>
      <c r="AB76" t="str">
        <f>+DB!V76</f>
        <v>CIM1</v>
      </c>
      <c r="AC76" t="str">
        <f t="shared" si="5"/>
        <v>56-4</v>
      </c>
      <c r="AD76" s="21" t="s">
        <v>72</v>
      </c>
      <c r="AE76">
        <f>+DB!X76</f>
        <v>0</v>
      </c>
      <c r="AF76" s="22">
        <f>+DB!Y76</f>
        <v>0</v>
      </c>
      <c r="AG76">
        <f>+DB!AK76</f>
        <v>0</v>
      </c>
    </row>
    <row r="77" spans="1:33" x14ac:dyDescent="0.2">
      <c r="A77">
        <f>+DB!C77</f>
        <v>28</v>
      </c>
      <c r="B77" t="str">
        <f>+DB!D77</f>
        <v>PA1-0</v>
      </c>
      <c r="C77">
        <f>+DB!E77</f>
        <v>0</v>
      </c>
      <c r="D77">
        <f t="shared" si="3"/>
        <v>0</v>
      </c>
      <c r="E77">
        <f>+DB!G77</f>
        <v>5277.43</v>
      </c>
      <c r="F77">
        <f>+DB!H77</f>
        <v>260.63</v>
      </c>
      <c r="G77">
        <f>+DB!N77</f>
        <v>205.94</v>
      </c>
      <c r="H77">
        <f>+DB!O77</f>
        <v>155.29</v>
      </c>
      <c r="I77" t="str">
        <f>+DB!I77</f>
        <v>E27V</v>
      </c>
      <c r="J77" t="str">
        <f>+DB!J77</f>
        <v>-28°14'18.05"</v>
      </c>
      <c r="K77">
        <f>+DB!L77</f>
        <v>1</v>
      </c>
      <c r="L77" t="str">
        <f t="shared" si="4"/>
        <v>13</v>
      </c>
      <c r="M77" t="str">
        <f>+IF(LEFT(DB!M77,3)="13/","CAC","MAD")</f>
        <v>MAD</v>
      </c>
      <c r="N77" t="str">
        <f>+RIGHT(DB!M77,6)</f>
        <v>13m/C6</v>
      </c>
      <c r="O77">
        <v>95</v>
      </c>
      <c r="P77">
        <v>5</v>
      </c>
      <c r="Q77">
        <f>+DB!AB77</f>
        <v>0</v>
      </c>
      <c r="R77">
        <f>+DB!K77</f>
        <v>213.05</v>
      </c>
      <c r="S77" t="str">
        <f>+DB!F77</f>
        <v>AAAC-35</v>
      </c>
      <c r="T77">
        <f>+IF(DB!F77="AAAC-35",1,3)</f>
        <v>1</v>
      </c>
      <c r="U77">
        <f>+DB!R77</f>
        <v>0</v>
      </c>
      <c r="V77">
        <f>+IF(DB!P77="1RI",1,0)+IF(DB!P77="2RI",2,0)</f>
        <v>1</v>
      </c>
      <c r="W77">
        <f>+IF(DB!P77="1RV",1,0)+IF(DB!P77="2RV",2,0)</f>
        <v>0</v>
      </c>
      <c r="X77">
        <f>+IF(DB!P77="RYI",1,0)</f>
        <v>0</v>
      </c>
      <c r="Y77">
        <f>+IF(DB!P77="RYV",1,0)</f>
        <v>0</v>
      </c>
      <c r="Z77" t="str">
        <f>+DB!U77</f>
        <v>PAT-0</v>
      </c>
      <c r="AA77">
        <f>+IF(DB!F77="AAAC-35",19.5,33)</f>
        <v>19.5</v>
      </c>
      <c r="AB77" t="str">
        <f>+DB!V77</f>
        <v>CIM1</v>
      </c>
      <c r="AC77" t="str">
        <f t="shared" si="5"/>
        <v>56-4</v>
      </c>
      <c r="AD77" s="21" t="s">
        <v>72</v>
      </c>
      <c r="AE77">
        <f>+DB!X77</f>
        <v>0</v>
      </c>
      <c r="AF77" s="22">
        <f>+DB!Y77</f>
        <v>0</v>
      </c>
      <c r="AG77">
        <f>+DB!AK77</f>
        <v>0</v>
      </c>
    </row>
    <row r="78" spans="1:33" x14ac:dyDescent="0.2">
      <c r="A78">
        <f>+DB!C78</f>
        <v>29</v>
      </c>
      <c r="B78" t="str">
        <f>+DB!D78</f>
        <v>PA3-0</v>
      </c>
      <c r="C78">
        <f>+DB!E78</f>
        <v>0</v>
      </c>
      <c r="D78">
        <f t="shared" si="3"/>
        <v>0</v>
      </c>
      <c r="E78">
        <f>+DB!G78</f>
        <v>5490.48</v>
      </c>
      <c r="F78">
        <f>+DB!H78</f>
        <v>265.08</v>
      </c>
      <c r="G78">
        <f>+DB!N78</f>
        <v>433.74</v>
      </c>
      <c r="H78">
        <f>+DB!O78</f>
        <v>379.79</v>
      </c>
      <c r="I78" t="str">
        <f>+DB!I78</f>
        <v>E28V</v>
      </c>
      <c r="J78" t="str">
        <f>+DB!J78</f>
        <v>90°56'13.64"</v>
      </c>
      <c r="K78">
        <f>+DB!L78</f>
        <v>1</v>
      </c>
      <c r="L78" t="str">
        <f t="shared" si="4"/>
        <v>13</v>
      </c>
      <c r="M78" t="str">
        <f>+IF(LEFT(DB!M78,3)="13/","CAC","MAD")</f>
        <v>MAD</v>
      </c>
      <c r="N78" t="str">
        <f>+RIGHT(DB!M78,6)</f>
        <v>13m/C6</v>
      </c>
      <c r="O78">
        <v>95</v>
      </c>
      <c r="P78">
        <v>5</v>
      </c>
      <c r="Q78">
        <f>+DB!AB78</f>
        <v>0</v>
      </c>
      <c r="R78">
        <f>+DB!K78</f>
        <v>546.52</v>
      </c>
      <c r="S78" t="str">
        <f>+DB!F78</f>
        <v>AAAC-35</v>
      </c>
      <c r="T78">
        <f>+IF(DB!F78="AAAC-35",1,3)</f>
        <v>1</v>
      </c>
      <c r="U78">
        <f>+DB!R78</f>
        <v>2</v>
      </c>
      <c r="V78">
        <f>+IF(DB!P78="1RI",1,0)+IF(DB!P78="2RI",2,0)</f>
        <v>2</v>
      </c>
      <c r="W78">
        <f>+IF(DB!P78="1RV",1,0)+IF(DB!P78="2RV",2,0)</f>
        <v>0</v>
      </c>
      <c r="X78">
        <f>+IF(DB!P78="RYI",1,0)</f>
        <v>0</v>
      </c>
      <c r="Y78">
        <f>+IF(DB!P78="RYV",1,0)</f>
        <v>0</v>
      </c>
      <c r="Z78" t="str">
        <f>+DB!U78</f>
        <v>PAT-0</v>
      </c>
      <c r="AA78">
        <f>+IF(DB!F78="AAAC-35",19.5,33)</f>
        <v>19.5</v>
      </c>
      <c r="AB78" t="str">
        <f>+DB!V78</f>
        <v>CIM1</v>
      </c>
      <c r="AC78" t="str">
        <f t="shared" si="5"/>
        <v>56-4</v>
      </c>
      <c r="AD78" s="21" t="s">
        <v>72</v>
      </c>
      <c r="AE78">
        <f>+DB!X78</f>
        <v>0</v>
      </c>
      <c r="AF78" s="22">
        <f>+DB!Y78</f>
        <v>0</v>
      </c>
      <c r="AG78">
        <f>+DB!AK78</f>
        <v>0</v>
      </c>
    </row>
    <row r="79" spans="1:33" x14ac:dyDescent="0.2">
      <c r="A79">
        <f>+DB!C79</f>
        <v>30</v>
      </c>
      <c r="B79" t="str">
        <f>+DB!D79</f>
        <v>PR3-0</v>
      </c>
      <c r="C79">
        <f>+DB!E79</f>
        <v>0</v>
      </c>
      <c r="D79">
        <f t="shared" si="3"/>
        <v>0</v>
      </c>
      <c r="E79">
        <f>+DB!G79</f>
        <v>6037</v>
      </c>
      <c r="F79">
        <f>+DB!H79</f>
        <v>257.32</v>
      </c>
      <c r="G79">
        <f>+DB!N79</f>
        <v>200.82</v>
      </c>
      <c r="H79">
        <f>+DB!O79</f>
        <v>309.08999999999997</v>
      </c>
      <c r="I79">
        <f>+DB!I79</f>
        <v>0</v>
      </c>
      <c r="J79" t="str">
        <f>+DB!J79</f>
        <v>0°</v>
      </c>
      <c r="K79">
        <f>+DB!L79</f>
        <v>1</v>
      </c>
      <c r="L79" t="str">
        <f t="shared" si="4"/>
        <v>13</v>
      </c>
      <c r="M79" t="str">
        <f>+IF(LEFT(DB!M79,3)="13/","CAC","MAD")</f>
        <v>MAD</v>
      </c>
      <c r="N79" t="str">
        <f>+RIGHT(DB!M79,6)</f>
        <v>13m/C6</v>
      </c>
      <c r="O79">
        <v>95</v>
      </c>
      <c r="P79">
        <v>5</v>
      </c>
      <c r="Q79">
        <f>+DB!AB79</f>
        <v>0</v>
      </c>
      <c r="R79">
        <f>+DB!K79</f>
        <v>71.66</v>
      </c>
      <c r="S79" t="str">
        <f>+DB!F79</f>
        <v>AAAC-35</v>
      </c>
      <c r="T79">
        <f>+IF(DB!F79="AAAC-35",1,3)</f>
        <v>1</v>
      </c>
      <c r="U79">
        <f>+DB!R79</f>
        <v>0</v>
      </c>
      <c r="V79">
        <f>+IF(DB!P79="1RI",1,0)+IF(DB!P79="2RI",2,0)</f>
        <v>1</v>
      </c>
      <c r="W79">
        <f>+IF(DB!P79="1RV",1,0)+IF(DB!P79="2RV",2,0)</f>
        <v>0</v>
      </c>
      <c r="X79">
        <f>+IF(DB!P79="RYI",1,0)</f>
        <v>0</v>
      </c>
      <c r="Y79">
        <f>+IF(DB!P79="RYV",1,0)</f>
        <v>0</v>
      </c>
      <c r="Z79" t="str">
        <f>+DB!U79</f>
        <v>PAT-0</v>
      </c>
      <c r="AA79">
        <f>+IF(DB!F79="AAAC-35",19.5,33)</f>
        <v>19.5</v>
      </c>
      <c r="AB79" t="str">
        <f>+DB!V79</f>
        <v>CIM1</v>
      </c>
      <c r="AC79" t="str">
        <f t="shared" si="5"/>
        <v>56-4</v>
      </c>
      <c r="AD79" s="21" t="s">
        <v>72</v>
      </c>
      <c r="AE79">
        <f>+DB!X79</f>
        <v>0</v>
      </c>
      <c r="AF79" s="22">
        <f>+DB!Y79</f>
        <v>0</v>
      </c>
      <c r="AG79">
        <f>+DB!AK79</f>
        <v>0</v>
      </c>
    </row>
    <row r="80" spans="1:33" x14ac:dyDescent="0.2">
      <c r="A80">
        <f>+DB!C80</f>
        <v>31</v>
      </c>
      <c r="B80" t="str">
        <f>+DB!D80</f>
        <v>PR3-0</v>
      </c>
      <c r="C80">
        <f>+DB!E80</f>
        <v>0</v>
      </c>
      <c r="D80">
        <f t="shared" si="3"/>
        <v>0</v>
      </c>
      <c r="E80">
        <f>+DB!G80</f>
        <v>6108.66</v>
      </c>
      <c r="F80">
        <f>+DB!H80</f>
        <v>266.04000000000002</v>
      </c>
      <c r="G80">
        <f>+DB!N80</f>
        <v>299.26</v>
      </c>
      <c r="H80">
        <f>+DB!O80</f>
        <v>122.4</v>
      </c>
      <c r="I80" t="str">
        <f>+DB!I80</f>
        <v>E20V</v>
      </c>
      <c r="J80" t="str">
        <f>+DB!J80</f>
        <v>-49°6'5.01"</v>
      </c>
      <c r="K80">
        <f>+DB!L80</f>
        <v>1</v>
      </c>
      <c r="L80" t="str">
        <f t="shared" si="4"/>
        <v>13</v>
      </c>
      <c r="M80" t="str">
        <f>+IF(LEFT(DB!M80,3)="13/","CAC","MAD")</f>
        <v>MAD</v>
      </c>
      <c r="N80" t="str">
        <f>+RIGHT(DB!M80,6)</f>
        <v>13m/C6</v>
      </c>
      <c r="O80">
        <v>95</v>
      </c>
      <c r="P80">
        <v>5</v>
      </c>
      <c r="Q80">
        <f>+DB!AB80</f>
        <v>0</v>
      </c>
      <c r="R80">
        <f>+DB!K80</f>
        <v>173.15</v>
      </c>
      <c r="S80" t="str">
        <f>+DB!F80</f>
        <v>AAAC-35</v>
      </c>
      <c r="T80">
        <f>+IF(DB!F80="AAAC-35",1,3)</f>
        <v>1</v>
      </c>
      <c r="U80">
        <f>+DB!R80</f>
        <v>0</v>
      </c>
      <c r="V80">
        <f>+IF(DB!P80="1RI",1,0)+IF(DB!P80="2RI",2,0)</f>
        <v>1</v>
      </c>
      <c r="W80">
        <f>+IF(DB!P80="1RV",1,0)+IF(DB!P80="2RV",2,0)</f>
        <v>0</v>
      </c>
      <c r="X80">
        <f>+IF(DB!P80="RYI",1,0)</f>
        <v>0</v>
      </c>
      <c r="Y80">
        <f>+IF(DB!P80="RYV",1,0)</f>
        <v>0</v>
      </c>
      <c r="Z80" t="str">
        <f>+DB!U80</f>
        <v>PAT-0</v>
      </c>
      <c r="AA80">
        <f>+IF(DB!F80="AAAC-35",19.5,33)</f>
        <v>19.5</v>
      </c>
      <c r="AB80" t="str">
        <f>+DB!V80</f>
        <v>CIM1</v>
      </c>
      <c r="AC80" t="str">
        <f t="shared" si="5"/>
        <v>56-4</v>
      </c>
      <c r="AD80" s="21" t="s">
        <v>72</v>
      </c>
      <c r="AE80">
        <f>+DB!X80</f>
        <v>0</v>
      </c>
      <c r="AF80" s="22">
        <f>+DB!Y80</f>
        <v>0</v>
      </c>
      <c r="AG80">
        <f>+DB!AK80</f>
        <v>0</v>
      </c>
    </row>
    <row r="81" spans="1:33" x14ac:dyDescent="0.2">
      <c r="A81">
        <f>+DB!C81</f>
        <v>32</v>
      </c>
      <c r="B81" t="str">
        <f>+DB!D81</f>
        <v>PS1-0</v>
      </c>
      <c r="C81">
        <f>+DB!E81</f>
        <v>0</v>
      </c>
      <c r="D81">
        <f t="shared" si="3"/>
        <v>0</v>
      </c>
      <c r="E81">
        <f>+DB!G81</f>
        <v>6281.81</v>
      </c>
      <c r="F81">
        <f>+DB!H81</f>
        <v>252.97</v>
      </c>
      <c r="G81">
        <f>+DB!N81</f>
        <v>89.5</v>
      </c>
      <c r="H81">
        <f>+DB!O81</f>
        <v>168.12</v>
      </c>
      <c r="I81">
        <f>+DB!I81</f>
        <v>0</v>
      </c>
      <c r="J81" t="str">
        <f>+DB!J81</f>
        <v>0°</v>
      </c>
      <c r="K81">
        <f>+DB!L81</f>
        <v>1</v>
      </c>
      <c r="L81" t="str">
        <f t="shared" si="4"/>
        <v>13</v>
      </c>
      <c r="M81" t="str">
        <f>+IF(LEFT(DB!M81,3)="13/","CAC","MAD")</f>
        <v>MAD</v>
      </c>
      <c r="N81" t="str">
        <f>+RIGHT(DB!M81,6)</f>
        <v>13m/C6</v>
      </c>
      <c r="O81">
        <v>95</v>
      </c>
      <c r="P81">
        <v>5</v>
      </c>
      <c r="Q81">
        <f>+DB!AB81</f>
        <v>0</v>
      </c>
      <c r="R81">
        <f>+DB!K81</f>
        <v>163.09</v>
      </c>
      <c r="S81" t="str">
        <f>+DB!F81</f>
        <v>AAAC-35</v>
      </c>
      <c r="T81">
        <f>+IF(DB!F81="AAAC-35",1,3)</f>
        <v>1</v>
      </c>
      <c r="U81">
        <f>+DB!R81</f>
        <v>0</v>
      </c>
      <c r="V81">
        <f>+IF(DB!P81="1RI",1,0)+IF(DB!P81="2RI",2,0)</f>
        <v>0</v>
      </c>
      <c r="W81">
        <f>+IF(DB!P81="1RV",1,0)+IF(DB!P81="2RV",2,0)</f>
        <v>0</v>
      </c>
      <c r="X81">
        <f>+IF(DB!P81="RYI",1,0)</f>
        <v>0</v>
      </c>
      <c r="Y81">
        <f>+IF(DB!P81="RYV",1,0)</f>
        <v>0</v>
      </c>
      <c r="Z81" t="str">
        <f>+DB!U81</f>
        <v>PAT-0</v>
      </c>
      <c r="AA81">
        <f>+IF(DB!F81="AAAC-35",19.5,33)</f>
        <v>19.5</v>
      </c>
      <c r="AB81" t="str">
        <f>+DB!V81</f>
        <v>CIM1</v>
      </c>
      <c r="AC81" t="str">
        <f t="shared" si="5"/>
        <v>56-4</v>
      </c>
      <c r="AD81" s="21" t="s">
        <v>72</v>
      </c>
      <c r="AE81">
        <f>+DB!X81</f>
        <v>0</v>
      </c>
      <c r="AF81" s="22">
        <f>+DB!Y81</f>
        <v>0</v>
      </c>
      <c r="AG81">
        <f>+DB!AK81</f>
        <v>0</v>
      </c>
    </row>
    <row r="82" spans="1:33" x14ac:dyDescent="0.2">
      <c r="A82">
        <f>+DB!C82</f>
        <v>33</v>
      </c>
      <c r="B82" t="str">
        <f>+DB!D82</f>
        <v>PTV-0</v>
      </c>
      <c r="C82">
        <f>+DB!E82</f>
        <v>0</v>
      </c>
      <c r="D82">
        <f t="shared" si="3"/>
        <v>0</v>
      </c>
      <c r="E82">
        <f>+DB!G82</f>
        <v>6444.9</v>
      </c>
      <c r="F82">
        <f>+DB!H82</f>
        <v>251.57</v>
      </c>
      <c r="G82">
        <f>+DB!N82</f>
        <v>67.61</v>
      </c>
      <c r="H82">
        <f>+DB!O82</f>
        <v>81.540000000000006</v>
      </c>
      <c r="I82" t="str">
        <f>+DB!I82</f>
        <v>E32V</v>
      </c>
      <c r="J82" t="str">
        <f>+DB!J82</f>
        <v>0°</v>
      </c>
      <c r="K82">
        <f>+DB!L82</f>
        <v>1</v>
      </c>
      <c r="L82" t="str">
        <f t="shared" si="4"/>
        <v>13</v>
      </c>
      <c r="M82" t="str">
        <f>+IF(LEFT(DB!M82,3)="13/","CAC","MAD")</f>
        <v>MAD</v>
      </c>
      <c r="N82" t="str">
        <f>+RIGHT(DB!M82,6)</f>
        <v>13m/C6</v>
      </c>
      <c r="O82">
        <v>95</v>
      </c>
      <c r="P82">
        <v>5</v>
      </c>
      <c r="Q82">
        <f>+DB!AB82</f>
        <v>0</v>
      </c>
      <c r="R82">
        <f>+DB!K82</f>
        <v>0</v>
      </c>
      <c r="S82" t="str">
        <f>+DB!F82</f>
        <v>AAAC-35</v>
      </c>
      <c r="T82">
        <f>+IF(DB!F82="AAAC-35",1,3)</f>
        <v>1</v>
      </c>
      <c r="U82">
        <f>+DB!R82</f>
        <v>0</v>
      </c>
      <c r="V82">
        <f>+IF(DB!P82="1RI",1,0)+IF(DB!P82="2RI",2,0)</f>
        <v>1</v>
      </c>
      <c r="W82">
        <f>+IF(DB!P82="1RV",1,0)+IF(DB!P82="2RV",2,0)</f>
        <v>0</v>
      </c>
      <c r="X82">
        <f>+IF(DB!P82="RYI",1,0)</f>
        <v>0</v>
      </c>
      <c r="Y82">
        <f>+IF(DB!P82="RYV",1,0)</f>
        <v>0</v>
      </c>
      <c r="Z82" t="str">
        <f>+DB!U82</f>
        <v>PAT-0</v>
      </c>
      <c r="AA82">
        <f>+IF(DB!F82="AAAC-35",19.5,33)</f>
        <v>19.5</v>
      </c>
      <c r="AB82" t="str">
        <f>+DB!V82</f>
        <v>CIM1</v>
      </c>
      <c r="AC82" t="str">
        <f t="shared" si="5"/>
        <v>56-4</v>
      </c>
      <c r="AD82" s="21" t="s">
        <v>72</v>
      </c>
      <c r="AE82">
        <f>+DB!X82</f>
        <v>0</v>
      </c>
      <c r="AF82" s="22">
        <f>+DB!Y82</f>
        <v>0</v>
      </c>
      <c r="AG82">
        <f>+DB!AK82</f>
        <v>0</v>
      </c>
    </row>
    <row r="83" spans="1:33" x14ac:dyDescent="0.2">
      <c r="A83">
        <f>+DB!C83</f>
        <v>0</v>
      </c>
      <c r="B83" t="str">
        <f>+DB!D83</f>
        <v>DS-0A</v>
      </c>
      <c r="C83">
        <f>+DB!E83</f>
        <v>0</v>
      </c>
      <c r="D83">
        <f t="shared" si="3"/>
        <v>0</v>
      </c>
      <c r="E83">
        <f>+DB!G83</f>
        <v>0</v>
      </c>
      <c r="F83">
        <f>+DB!H83</f>
        <v>270.05</v>
      </c>
      <c r="G83">
        <f>+DB!N83</f>
        <v>18.52</v>
      </c>
      <c r="H83">
        <f>+DB!O83</f>
        <v>9.85</v>
      </c>
      <c r="I83" t="str">
        <f>+DB!I83</f>
        <v>v1</v>
      </c>
      <c r="J83" t="str">
        <f>+DB!J83</f>
        <v>0°</v>
      </c>
      <c r="K83">
        <f>+DB!L83</f>
        <v>0</v>
      </c>
      <c r="L83" t="str">
        <f t="shared" si="4"/>
        <v>13</v>
      </c>
      <c r="M83" t="str">
        <f>+IF(LEFT(DB!M83,3)="13/","CAC","MAD")</f>
        <v>CAC</v>
      </c>
      <c r="N83" t="str">
        <f>+RIGHT(DB!M83,6)</f>
        <v>13/200</v>
      </c>
      <c r="O83">
        <v>95</v>
      </c>
      <c r="P83">
        <v>5</v>
      </c>
      <c r="Q83">
        <f>+DB!AB83</f>
        <v>0</v>
      </c>
      <c r="R83">
        <f>+DB!K83</f>
        <v>19.690000000000001</v>
      </c>
      <c r="S83" t="str">
        <f>+DB!F83</f>
        <v>AAAC-35</v>
      </c>
      <c r="T83">
        <f>+IF(DB!F83="AAAC-35",1,3)</f>
        <v>1</v>
      </c>
      <c r="U83">
        <f>+DB!R83</f>
        <v>0</v>
      </c>
      <c r="V83">
        <f>+IF(DB!P83="1RI",1,0)+IF(DB!P83="2RI",2,0)</f>
        <v>0</v>
      </c>
      <c r="W83">
        <f>+IF(DB!P83="1RV",1,0)+IF(DB!P83="2RV",2,0)</f>
        <v>0</v>
      </c>
      <c r="X83">
        <f>+IF(DB!P83="RYI",1,0)</f>
        <v>0</v>
      </c>
      <c r="Y83">
        <f>+IF(DB!P83="RYV",1,0)</f>
        <v>0</v>
      </c>
      <c r="Z83">
        <f>+DB!U83</f>
        <v>0</v>
      </c>
      <c r="AA83">
        <f>+IF(DB!F83="AAAC-35",19.5,33)</f>
        <v>19.5</v>
      </c>
      <c r="AB83">
        <f>+DB!V83</f>
        <v>0</v>
      </c>
      <c r="AC83" t="str">
        <f t="shared" si="5"/>
        <v>56-4</v>
      </c>
      <c r="AD83" s="21" t="s">
        <v>72</v>
      </c>
      <c r="AE83">
        <f>+DB!X83</f>
        <v>0</v>
      </c>
      <c r="AF83" s="22">
        <f>+DB!Y83</f>
        <v>0</v>
      </c>
      <c r="AG83">
        <f>+DB!AK83</f>
        <v>0</v>
      </c>
    </row>
    <row r="84" spans="1:33" x14ac:dyDescent="0.2">
      <c r="A84">
        <f>+DB!C84</f>
        <v>1</v>
      </c>
      <c r="B84" t="str">
        <f>+DB!D84</f>
        <v>PSEC-0PA</v>
      </c>
      <c r="C84">
        <f>+DB!E84</f>
        <v>0</v>
      </c>
      <c r="D84" t="str">
        <f t="shared" si="3"/>
        <v>K</v>
      </c>
      <c r="E84">
        <f>+DB!G84</f>
        <v>19.690000000000001</v>
      </c>
      <c r="F84">
        <f>+DB!H84</f>
        <v>267.79000000000002</v>
      </c>
      <c r="G84">
        <f>+DB!N84</f>
        <v>93.85</v>
      </c>
      <c r="H84">
        <f>+DB!O84</f>
        <v>93.66</v>
      </c>
      <c r="I84">
        <f>+DB!I84</f>
        <v>0</v>
      </c>
      <c r="J84" t="str">
        <f>+DB!J84</f>
        <v>0°</v>
      </c>
      <c r="K84">
        <f>+DB!L84</f>
        <v>1</v>
      </c>
      <c r="L84" t="str">
        <f t="shared" si="4"/>
        <v>13</v>
      </c>
      <c r="M84" t="str">
        <f>+IF(LEFT(DB!M84,3)="13/","CAC","MAD")</f>
        <v>CAC</v>
      </c>
      <c r="N84" t="str">
        <f>+RIGHT(DB!M84,6)</f>
        <v>13/300</v>
      </c>
      <c r="O84">
        <v>95</v>
      </c>
      <c r="P84">
        <v>5</v>
      </c>
      <c r="Q84">
        <f>+DB!AB84</f>
        <v>0</v>
      </c>
      <c r="R84">
        <f>+DB!K84</f>
        <v>167.64</v>
      </c>
      <c r="S84" t="str">
        <f>+DB!F84</f>
        <v>AAAC-35</v>
      </c>
      <c r="T84">
        <f>+IF(DB!F84="AAAC-35",1,3)</f>
        <v>1</v>
      </c>
      <c r="U84">
        <f>+DB!R84</f>
        <v>0</v>
      </c>
      <c r="V84">
        <f>+IF(DB!P84="1RI",1,0)+IF(DB!P84="2RI",2,0)</f>
        <v>1</v>
      </c>
      <c r="W84">
        <f>+IF(DB!P84="1RV",1,0)+IF(DB!P84="2RV",2,0)</f>
        <v>0</v>
      </c>
      <c r="X84">
        <f>+IF(DB!P84="RYI",1,0)</f>
        <v>0</v>
      </c>
      <c r="Y84">
        <f>+IF(DB!P84="RYV",1,0)</f>
        <v>0</v>
      </c>
      <c r="Z84" t="str">
        <f>+DB!U84</f>
        <v>PAT-1</v>
      </c>
      <c r="AA84">
        <f>+IF(DB!F84="AAAC-35",19.5,33)</f>
        <v>19.5</v>
      </c>
      <c r="AB84" t="str">
        <f>+DB!V84</f>
        <v>CIM3</v>
      </c>
      <c r="AC84" t="str">
        <f t="shared" si="5"/>
        <v>56-4</v>
      </c>
      <c r="AD84" s="21" t="s">
        <v>72</v>
      </c>
      <c r="AE84">
        <f>+DB!X84</f>
        <v>0</v>
      </c>
      <c r="AF84" s="22">
        <f>+DB!Y84</f>
        <v>0</v>
      </c>
      <c r="AG84">
        <f>+DB!AK84</f>
        <v>0</v>
      </c>
    </row>
    <row r="85" spans="1:33" x14ac:dyDescent="0.2">
      <c r="A85">
        <f>+DB!C85</f>
        <v>2</v>
      </c>
      <c r="B85" t="str">
        <f>+DB!D85</f>
        <v>PS1-0</v>
      </c>
      <c r="C85">
        <f>+DB!E85</f>
        <v>0</v>
      </c>
      <c r="D85">
        <f t="shared" si="3"/>
        <v>0</v>
      </c>
      <c r="E85">
        <f>+DB!G85</f>
        <v>187.33</v>
      </c>
      <c r="F85">
        <f>+DB!H85</f>
        <v>266.17</v>
      </c>
      <c r="G85">
        <f>+DB!N85</f>
        <v>134.13</v>
      </c>
      <c r="H85">
        <f>+DB!O85</f>
        <v>200.49</v>
      </c>
      <c r="I85">
        <f>+DB!I85</f>
        <v>0</v>
      </c>
      <c r="J85" t="str">
        <f>+DB!J85</f>
        <v>0°</v>
      </c>
      <c r="K85">
        <f>+DB!L85</f>
        <v>1</v>
      </c>
      <c r="L85" t="str">
        <f t="shared" si="4"/>
        <v>13</v>
      </c>
      <c r="M85" t="str">
        <f>+IF(LEFT(DB!M85,3)="13/","CAC","MAD")</f>
        <v>CAC</v>
      </c>
      <c r="N85" t="str">
        <f>+RIGHT(DB!M85,6)</f>
        <v>13/200</v>
      </c>
      <c r="O85">
        <v>95</v>
      </c>
      <c r="P85">
        <v>5</v>
      </c>
      <c r="Q85">
        <f>+DB!AB85</f>
        <v>0</v>
      </c>
      <c r="R85">
        <f>+DB!K85</f>
        <v>233.35</v>
      </c>
      <c r="S85" t="str">
        <f>+DB!F85</f>
        <v>AAAC-35</v>
      </c>
      <c r="T85">
        <f>+IF(DB!F85="AAAC-35",1,3)</f>
        <v>1</v>
      </c>
      <c r="U85">
        <f>+DB!R85</f>
        <v>0</v>
      </c>
      <c r="V85">
        <f>+IF(DB!P85="1RI",1,0)+IF(DB!P85="2RI",2,0)</f>
        <v>0</v>
      </c>
      <c r="W85">
        <f>+IF(DB!P85="1RV",1,0)+IF(DB!P85="2RV",2,0)</f>
        <v>0</v>
      </c>
      <c r="X85">
        <f>+IF(DB!P85="RYI",1,0)</f>
        <v>0</v>
      </c>
      <c r="Y85">
        <f>+IF(DB!P85="RYV",1,0)</f>
        <v>0</v>
      </c>
      <c r="Z85" t="str">
        <f>+DB!U85</f>
        <v>PAT-0</v>
      </c>
      <c r="AA85">
        <f>+IF(DB!F85="AAAC-35",19.5,33)</f>
        <v>19.5</v>
      </c>
      <c r="AB85" t="str">
        <f>+DB!V85</f>
        <v>CIM3</v>
      </c>
      <c r="AC85" t="str">
        <f t="shared" si="5"/>
        <v>56-4</v>
      </c>
      <c r="AD85" s="21" t="s">
        <v>72</v>
      </c>
      <c r="AE85">
        <f>+DB!X85</f>
        <v>0</v>
      </c>
      <c r="AF85" s="22">
        <f>+DB!Y85</f>
        <v>0</v>
      </c>
      <c r="AG85">
        <f>+DB!AK85</f>
        <v>0</v>
      </c>
    </row>
    <row r="86" spans="1:33" x14ac:dyDescent="0.2">
      <c r="A86">
        <f>+DB!C86</f>
        <v>3</v>
      </c>
      <c r="B86" t="str">
        <f>+DB!D86</f>
        <v>PS1-0</v>
      </c>
      <c r="C86">
        <f>+DB!E86</f>
        <v>0</v>
      </c>
      <c r="D86">
        <f t="shared" si="3"/>
        <v>0</v>
      </c>
      <c r="E86">
        <f>+DB!G86</f>
        <v>420.68</v>
      </c>
      <c r="F86">
        <f>+DB!H86</f>
        <v>275.37</v>
      </c>
      <c r="G86">
        <f>+DB!N86</f>
        <v>314.92</v>
      </c>
      <c r="H86">
        <f>+DB!O86</f>
        <v>205.55</v>
      </c>
      <c r="I86">
        <f>+DB!I86</f>
        <v>0</v>
      </c>
      <c r="J86" t="str">
        <f>+DB!J86</f>
        <v>0°</v>
      </c>
      <c r="K86">
        <f>+DB!L86</f>
        <v>1</v>
      </c>
      <c r="L86" t="str">
        <f t="shared" si="4"/>
        <v>13</v>
      </c>
      <c r="M86" t="str">
        <f>+IF(LEFT(DB!M86,3)="13/","CAC","MAD")</f>
        <v>CAC</v>
      </c>
      <c r="N86" t="str">
        <f>+RIGHT(DB!M86,6)</f>
        <v>13/200</v>
      </c>
      <c r="O86">
        <v>95</v>
      </c>
      <c r="P86">
        <v>5</v>
      </c>
      <c r="Q86">
        <f>+DB!AB86</f>
        <v>0</v>
      </c>
      <c r="R86">
        <f>+DB!K86</f>
        <v>177.75</v>
      </c>
      <c r="S86" t="str">
        <f>+DB!F86</f>
        <v>AAAC-35</v>
      </c>
      <c r="T86">
        <f>+IF(DB!F86="AAAC-35",1,3)</f>
        <v>1</v>
      </c>
      <c r="U86">
        <f>+DB!R86</f>
        <v>0</v>
      </c>
      <c r="V86">
        <f>+IF(DB!P86="1RI",1,0)+IF(DB!P86="2RI",2,0)</f>
        <v>0</v>
      </c>
      <c r="W86">
        <f>+IF(DB!P86="1RV",1,0)+IF(DB!P86="2RV",2,0)</f>
        <v>0</v>
      </c>
      <c r="X86">
        <f>+IF(DB!P86="RYI",1,0)</f>
        <v>0</v>
      </c>
      <c r="Y86">
        <f>+IF(DB!P86="RYV",1,0)</f>
        <v>0</v>
      </c>
      <c r="Z86" t="str">
        <f>+DB!U86</f>
        <v>PAT-0</v>
      </c>
      <c r="AA86">
        <f>+IF(DB!F86="AAAC-35",19.5,33)</f>
        <v>19.5</v>
      </c>
      <c r="AB86" t="str">
        <f>+DB!V86</f>
        <v>CIM3</v>
      </c>
      <c r="AC86" t="str">
        <f t="shared" si="5"/>
        <v>56-4</v>
      </c>
      <c r="AD86" s="21" t="s">
        <v>72</v>
      </c>
      <c r="AE86">
        <f>+DB!X86</f>
        <v>0</v>
      </c>
      <c r="AF86" s="22">
        <f>+DB!Y86</f>
        <v>0</v>
      </c>
      <c r="AG86">
        <f>+DB!AK86</f>
        <v>0</v>
      </c>
    </row>
    <row r="87" spans="1:33" x14ac:dyDescent="0.2">
      <c r="A87">
        <f>+DB!C87</f>
        <v>4</v>
      </c>
      <c r="B87" t="str">
        <f>+DB!D87</f>
        <v>PS1-0</v>
      </c>
      <c r="C87">
        <f>+DB!E87</f>
        <v>0</v>
      </c>
      <c r="D87">
        <f t="shared" si="3"/>
        <v>0</v>
      </c>
      <c r="E87">
        <f>+DB!G87</f>
        <v>598.42999999999995</v>
      </c>
      <c r="F87">
        <f>+DB!H87</f>
        <v>268.33999999999997</v>
      </c>
      <c r="G87">
        <f>+DB!N87</f>
        <v>217.74</v>
      </c>
      <c r="H87">
        <f>+DB!O87</f>
        <v>205.1</v>
      </c>
      <c r="I87">
        <f>+DB!I87</f>
        <v>0</v>
      </c>
      <c r="J87" t="str">
        <f>+DB!J87</f>
        <v>0°</v>
      </c>
      <c r="K87">
        <f>+DB!L87</f>
        <v>1</v>
      </c>
      <c r="L87" t="str">
        <f t="shared" si="4"/>
        <v>13</v>
      </c>
      <c r="M87" t="str">
        <f>+IF(LEFT(DB!M87,3)="13/","CAC","MAD")</f>
        <v>CAC</v>
      </c>
      <c r="N87" t="str">
        <f>+RIGHT(DB!M87,6)</f>
        <v>13/200</v>
      </c>
      <c r="O87">
        <v>95</v>
      </c>
      <c r="P87">
        <v>5</v>
      </c>
      <c r="Q87">
        <f>+DB!AB87</f>
        <v>0</v>
      </c>
      <c r="R87">
        <f>+DB!K87</f>
        <v>232.44</v>
      </c>
      <c r="S87" t="str">
        <f>+DB!F87</f>
        <v>AAAC-35</v>
      </c>
      <c r="T87">
        <f>+IF(DB!F87="AAAC-35",1,3)</f>
        <v>1</v>
      </c>
      <c r="U87">
        <f>+DB!R87</f>
        <v>0</v>
      </c>
      <c r="V87">
        <f>+IF(DB!P87="1RI",1,0)+IF(DB!P87="2RI",2,0)</f>
        <v>0</v>
      </c>
      <c r="W87">
        <f>+IF(DB!P87="1RV",1,0)+IF(DB!P87="2RV",2,0)</f>
        <v>0</v>
      </c>
      <c r="X87">
        <f>+IF(DB!P87="RYI",1,0)</f>
        <v>0</v>
      </c>
      <c r="Y87">
        <f>+IF(DB!P87="RYV",1,0)</f>
        <v>0</v>
      </c>
      <c r="Z87" t="str">
        <f>+DB!U87</f>
        <v>PAT-0</v>
      </c>
      <c r="AA87">
        <f>+IF(DB!F87="AAAC-35",19.5,33)</f>
        <v>19.5</v>
      </c>
      <c r="AB87" t="str">
        <f>+DB!V87</f>
        <v>CIM3</v>
      </c>
      <c r="AC87" t="str">
        <f t="shared" si="5"/>
        <v>56-4</v>
      </c>
      <c r="AD87" s="21" t="s">
        <v>72</v>
      </c>
      <c r="AE87">
        <f>+DB!X87</f>
        <v>0</v>
      </c>
      <c r="AF87" s="22">
        <f>+DB!Y87</f>
        <v>0</v>
      </c>
      <c r="AG87">
        <f>+DB!AK87</f>
        <v>0</v>
      </c>
    </row>
    <row r="88" spans="1:33" x14ac:dyDescent="0.2">
      <c r="A88">
        <f>+DB!C88</f>
        <v>5</v>
      </c>
      <c r="B88" t="str">
        <f>+DB!D88</f>
        <v>PS1-0</v>
      </c>
      <c r="C88">
        <f>+DB!E88</f>
        <v>0</v>
      </c>
      <c r="D88">
        <f t="shared" si="3"/>
        <v>0</v>
      </c>
      <c r="E88">
        <f>+DB!G88</f>
        <v>830.87</v>
      </c>
      <c r="F88">
        <f>+DB!H88</f>
        <v>258.3</v>
      </c>
      <c r="G88">
        <f>+DB!N88</f>
        <v>163.79</v>
      </c>
      <c r="H88">
        <f>+DB!O88</f>
        <v>253.03</v>
      </c>
      <c r="I88">
        <f>+DB!I88</f>
        <v>0</v>
      </c>
      <c r="J88" t="str">
        <f>+DB!J88</f>
        <v>0°</v>
      </c>
      <c r="K88">
        <f>+DB!L88</f>
        <v>1</v>
      </c>
      <c r="L88" t="str">
        <f t="shared" si="4"/>
        <v>13</v>
      </c>
      <c r="M88" t="str">
        <f>+IF(LEFT(DB!M88,3)="13/","CAC","MAD")</f>
        <v>CAC</v>
      </c>
      <c r="N88" t="str">
        <f>+RIGHT(DB!M88,6)</f>
        <v>13/200</v>
      </c>
      <c r="O88">
        <v>95</v>
      </c>
      <c r="P88">
        <v>5</v>
      </c>
      <c r="Q88">
        <f>+DB!AB88</f>
        <v>0</v>
      </c>
      <c r="R88">
        <f>+DB!K88</f>
        <v>273.62</v>
      </c>
      <c r="S88" t="str">
        <f>+DB!F88</f>
        <v>AAAC-35</v>
      </c>
      <c r="T88">
        <f>+IF(DB!F88="AAAC-35",1,3)</f>
        <v>1</v>
      </c>
      <c r="U88">
        <f>+DB!R88</f>
        <v>0</v>
      </c>
      <c r="V88">
        <f>+IF(DB!P88="1RI",1,0)+IF(DB!P88="2RI",2,0)</f>
        <v>0</v>
      </c>
      <c r="W88">
        <f>+IF(DB!P88="1RV",1,0)+IF(DB!P88="2RV",2,0)</f>
        <v>0</v>
      </c>
      <c r="X88">
        <f>+IF(DB!P88="RYI",1,0)</f>
        <v>0</v>
      </c>
      <c r="Y88">
        <f>+IF(DB!P88="RYV",1,0)</f>
        <v>0</v>
      </c>
      <c r="Z88" t="str">
        <f>+DB!U88</f>
        <v>PAT-0</v>
      </c>
      <c r="AA88">
        <f>+IF(DB!F88="AAAC-35",19.5,33)</f>
        <v>19.5</v>
      </c>
      <c r="AB88" t="str">
        <f>+DB!V88</f>
        <v>CIM3</v>
      </c>
      <c r="AC88" t="str">
        <f t="shared" si="5"/>
        <v>56-4</v>
      </c>
      <c r="AD88" s="21" t="s">
        <v>72</v>
      </c>
      <c r="AE88">
        <f>+DB!X88</f>
        <v>0</v>
      </c>
      <c r="AF88" s="22">
        <f>+DB!Y88</f>
        <v>0</v>
      </c>
      <c r="AG88">
        <f>+DB!AK88</f>
        <v>0</v>
      </c>
    </row>
    <row r="89" spans="1:33" x14ac:dyDescent="0.2">
      <c r="A89">
        <f>+DB!C89</f>
        <v>6</v>
      </c>
      <c r="B89" t="str">
        <f>+DB!D89</f>
        <v>PS1-0</v>
      </c>
      <c r="C89">
        <f>+DB!E89</f>
        <v>0</v>
      </c>
      <c r="D89">
        <f t="shared" si="3"/>
        <v>0</v>
      </c>
      <c r="E89">
        <f>+DB!G89</f>
        <v>1104.49</v>
      </c>
      <c r="F89">
        <f>+DB!H89</f>
        <v>262.89999999999998</v>
      </c>
      <c r="G89">
        <f>+DB!N89</f>
        <v>280.51</v>
      </c>
      <c r="H89">
        <f>+DB!O89</f>
        <v>232.5</v>
      </c>
      <c r="I89">
        <f>+DB!I89</f>
        <v>0</v>
      </c>
      <c r="J89" t="str">
        <f>+DB!J89</f>
        <v>0°</v>
      </c>
      <c r="K89">
        <f>+DB!L89</f>
        <v>1</v>
      </c>
      <c r="L89" t="str">
        <f t="shared" si="4"/>
        <v>13</v>
      </c>
      <c r="M89" t="str">
        <f>+IF(LEFT(DB!M89,3)="13/","CAC","MAD")</f>
        <v>CAC</v>
      </c>
      <c r="N89" t="str">
        <f>+RIGHT(DB!M89,6)</f>
        <v>13/200</v>
      </c>
      <c r="O89">
        <v>95</v>
      </c>
      <c r="P89">
        <v>5</v>
      </c>
      <c r="Q89">
        <f>+DB!AB89</f>
        <v>0</v>
      </c>
      <c r="R89">
        <f>+DB!K89</f>
        <v>191.38</v>
      </c>
      <c r="S89" t="str">
        <f>+DB!F89</f>
        <v>AAAC-35</v>
      </c>
      <c r="T89">
        <f>+IF(DB!F89="AAAC-35",1,3)</f>
        <v>1</v>
      </c>
      <c r="U89">
        <f>+DB!R89</f>
        <v>0</v>
      </c>
      <c r="V89">
        <f>+IF(DB!P89="1RI",1,0)+IF(DB!P89="2RI",2,0)</f>
        <v>0</v>
      </c>
      <c r="W89">
        <f>+IF(DB!P89="1RV",1,0)+IF(DB!P89="2RV",2,0)</f>
        <v>0</v>
      </c>
      <c r="X89">
        <f>+IF(DB!P89="RYI",1,0)</f>
        <v>0</v>
      </c>
      <c r="Y89">
        <f>+IF(DB!P89="RYV",1,0)</f>
        <v>0</v>
      </c>
      <c r="Z89" t="str">
        <f>+DB!U89</f>
        <v>PAT-0</v>
      </c>
      <c r="AA89">
        <f>+IF(DB!F89="AAAC-35",19.5,33)</f>
        <v>19.5</v>
      </c>
      <c r="AB89" t="str">
        <f>+DB!V89</f>
        <v>CIM3</v>
      </c>
      <c r="AC89" t="str">
        <f t="shared" si="5"/>
        <v>56-4</v>
      </c>
      <c r="AD89" s="21" t="s">
        <v>72</v>
      </c>
      <c r="AE89">
        <f>+DB!X89</f>
        <v>0</v>
      </c>
      <c r="AF89" s="22">
        <f>+DB!Y89</f>
        <v>0</v>
      </c>
      <c r="AG89">
        <f>+DB!AK89</f>
        <v>0</v>
      </c>
    </row>
    <row r="90" spans="1:33" x14ac:dyDescent="0.2">
      <c r="A90">
        <f>+DB!C90</f>
        <v>7</v>
      </c>
      <c r="B90" t="str">
        <f>+DB!D90</f>
        <v>PS1-0</v>
      </c>
      <c r="C90">
        <f>+DB!E90</f>
        <v>0</v>
      </c>
      <c r="D90">
        <f t="shared" si="3"/>
        <v>0</v>
      </c>
      <c r="E90">
        <f>+DB!G90</f>
        <v>1295.8800000000001</v>
      </c>
      <c r="F90">
        <f>+DB!H90</f>
        <v>259.85000000000002</v>
      </c>
      <c r="G90">
        <f>+DB!N90</f>
        <v>147.09</v>
      </c>
      <c r="H90">
        <f>+DB!O90</f>
        <v>142.43</v>
      </c>
      <c r="I90">
        <f>+DB!I90</f>
        <v>0</v>
      </c>
      <c r="J90" t="str">
        <f>+DB!J90</f>
        <v>0°</v>
      </c>
      <c r="K90">
        <f>+DB!L90</f>
        <v>1</v>
      </c>
      <c r="L90" t="str">
        <f t="shared" si="4"/>
        <v>13</v>
      </c>
      <c r="M90" t="str">
        <f>+IF(LEFT(DB!M90,3)="13/","CAC","MAD")</f>
        <v>CAC</v>
      </c>
      <c r="N90" t="str">
        <f>+RIGHT(DB!M90,6)</f>
        <v>13/200</v>
      </c>
      <c r="O90">
        <v>95</v>
      </c>
      <c r="P90">
        <v>5</v>
      </c>
      <c r="Q90">
        <f>+DB!AB90</f>
        <v>0</v>
      </c>
      <c r="R90">
        <f>+DB!K90</f>
        <v>93.48</v>
      </c>
      <c r="S90" t="str">
        <f>+DB!F90</f>
        <v>AAAC-35</v>
      </c>
      <c r="T90">
        <f>+IF(DB!F90="AAAC-35",1,3)</f>
        <v>1</v>
      </c>
      <c r="U90">
        <f>+DB!R90</f>
        <v>0</v>
      </c>
      <c r="V90">
        <f>+IF(DB!P90="1RI",1,0)+IF(DB!P90="2RI",2,0)</f>
        <v>0</v>
      </c>
      <c r="W90">
        <f>+IF(DB!P90="1RV",1,0)+IF(DB!P90="2RV",2,0)</f>
        <v>0</v>
      </c>
      <c r="X90">
        <f>+IF(DB!P90="RYI",1,0)</f>
        <v>0</v>
      </c>
      <c r="Y90">
        <f>+IF(DB!P90="RYV",1,0)</f>
        <v>0</v>
      </c>
      <c r="Z90" t="str">
        <f>+DB!U90</f>
        <v>PAT-0</v>
      </c>
      <c r="AA90">
        <f>+IF(DB!F90="AAAC-35",19.5,33)</f>
        <v>19.5</v>
      </c>
      <c r="AB90" t="str">
        <f>+DB!V90</f>
        <v>CIM3</v>
      </c>
      <c r="AC90" t="str">
        <f t="shared" si="5"/>
        <v>56-4</v>
      </c>
      <c r="AD90" s="21" t="s">
        <v>72</v>
      </c>
      <c r="AE90">
        <f>+DB!X90</f>
        <v>0</v>
      </c>
      <c r="AF90" s="22">
        <f>+DB!Y90</f>
        <v>0</v>
      </c>
      <c r="AG90">
        <f>+DB!AK90</f>
        <v>0</v>
      </c>
    </row>
    <row r="91" spans="1:33" x14ac:dyDescent="0.2">
      <c r="A91">
        <f>+DB!C91</f>
        <v>8</v>
      </c>
      <c r="B91" t="str">
        <f>+DB!D91</f>
        <v>PS1-0</v>
      </c>
      <c r="C91">
        <f>+DB!E91</f>
        <v>0</v>
      </c>
      <c r="D91">
        <f t="shared" si="3"/>
        <v>0</v>
      </c>
      <c r="E91">
        <f>+DB!G91</f>
        <v>1389.36</v>
      </c>
      <c r="F91">
        <f>+DB!H91</f>
        <v>256.89</v>
      </c>
      <c r="G91">
        <f>+DB!N91</f>
        <v>218.82</v>
      </c>
      <c r="H91">
        <f>+DB!O91</f>
        <v>201.01</v>
      </c>
      <c r="I91">
        <f>+DB!I91</f>
        <v>0</v>
      </c>
      <c r="J91" t="str">
        <f>+DB!J91</f>
        <v>0°</v>
      </c>
      <c r="K91">
        <f>+DB!L91</f>
        <v>1</v>
      </c>
      <c r="L91" t="str">
        <f t="shared" si="4"/>
        <v>13</v>
      </c>
      <c r="M91" t="str">
        <f>+IF(LEFT(DB!M91,3)="13/","CAC","MAD")</f>
        <v>CAC</v>
      </c>
      <c r="N91" t="str">
        <f>+RIGHT(DB!M91,6)</f>
        <v>13/200</v>
      </c>
      <c r="O91">
        <v>95</v>
      </c>
      <c r="P91">
        <v>5</v>
      </c>
      <c r="Q91">
        <f>+DB!AB91</f>
        <v>0</v>
      </c>
      <c r="R91">
        <f>+DB!K91</f>
        <v>308.52999999999997</v>
      </c>
      <c r="S91" t="str">
        <f>+DB!F91</f>
        <v>AAAC-35</v>
      </c>
      <c r="T91">
        <f>+IF(DB!F91="AAAC-35",1,3)</f>
        <v>1</v>
      </c>
      <c r="U91">
        <f>+DB!R91</f>
        <v>0</v>
      </c>
      <c r="V91">
        <f>+IF(DB!P91="1RI",1,0)+IF(DB!P91="2RI",2,0)</f>
        <v>0</v>
      </c>
      <c r="W91">
        <f>+IF(DB!P91="1RV",1,0)+IF(DB!P91="2RV",2,0)</f>
        <v>0</v>
      </c>
      <c r="X91">
        <f>+IF(DB!P91="RYI",1,0)</f>
        <v>0</v>
      </c>
      <c r="Y91">
        <f>+IF(DB!P91="RYV",1,0)</f>
        <v>0</v>
      </c>
      <c r="Z91" t="str">
        <f>+DB!U91</f>
        <v>PAT-0</v>
      </c>
      <c r="AA91">
        <f>+IF(DB!F91="AAAC-35",19.5,33)</f>
        <v>19.5</v>
      </c>
      <c r="AB91" t="str">
        <f>+DB!V91</f>
        <v>CIM3</v>
      </c>
      <c r="AC91" t="str">
        <f t="shared" si="5"/>
        <v>56-4</v>
      </c>
      <c r="AD91" s="21" t="s">
        <v>72</v>
      </c>
      <c r="AE91">
        <f>+DB!X91</f>
        <v>0</v>
      </c>
      <c r="AF91" s="22">
        <f>+DB!Y91</f>
        <v>0</v>
      </c>
      <c r="AG91">
        <f>+DB!AK91</f>
        <v>0</v>
      </c>
    </row>
    <row r="92" spans="1:33" x14ac:dyDescent="0.2">
      <c r="A92">
        <f>+DB!C92</f>
        <v>9</v>
      </c>
      <c r="B92" t="str">
        <f>+DB!D92</f>
        <v>PR3-0</v>
      </c>
      <c r="C92">
        <f>+DB!E92</f>
        <v>0</v>
      </c>
      <c r="D92">
        <f t="shared" si="3"/>
        <v>0</v>
      </c>
      <c r="E92">
        <f>+DB!G92</f>
        <v>1697.89</v>
      </c>
      <c r="F92">
        <f>+DB!H92</f>
        <v>249.09</v>
      </c>
      <c r="G92">
        <f>+DB!N92</f>
        <v>245.75</v>
      </c>
      <c r="H92">
        <f>+DB!O92</f>
        <v>257.7</v>
      </c>
      <c r="I92">
        <f>+DB!I92</f>
        <v>0</v>
      </c>
      <c r="J92" t="str">
        <f>+DB!J92</f>
        <v>0°</v>
      </c>
      <c r="K92">
        <f>+DB!L92</f>
        <v>1</v>
      </c>
      <c r="L92" t="str">
        <f t="shared" si="4"/>
        <v>13</v>
      </c>
      <c r="M92" t="str">
        <f>+IF(LEFT(DB!M92,3)="13/","CAC","MAD")</f>
        <v>CAC</v>
      </c>
      <c r="N92" t="str">
        <f>+RIGHT(DB!M92,6)</f>
        <v>13/300</v>
      </c>
      <c r="O92">
        <v>95</v>
      </c>
      <c r="P92">
        <v>5</v>
      </c>
      <c r="Q92">
        <f>+DB!AB92</f>
        <v>0</v>
      </c>
      <c r="R92">
        <f>+DB!K92</f>
        <v>206.87</v>
      </c>
      <c r="S92" t="str">
        <f>+DB!F92</f>
        <v>AAAC-35</v>
      </c>
      <c r="T92">
        <f>+IF(DB!F92="AAAC-35",1,3)</f>
        <v>1</v>
      </c>
      <c r="U92">
        <f>+DB!R92</f>
        <v>0</v>
      </c>
      <c r="V92">
        <f>+IF(DB!P92="1RI",1,0)+IF(DB!P92="2RI",2,0)</f>
        <v>2</v>
      </c>
      <c r="W92">
        <f>+IF(DB!P92="1RV",1,0)+IF(DB!P92="2RV",2,0)</f>
        <v>0</v>
      </c>
      <c r="X92">
        <f>+IF(DB!P92="RYI",1,0)</f>
        <v>0</v>
      </c>
      <c r="Y92">
        <f>+IF(DB!P92="RYV",1,0)</f>
        <v>0</v>
      </c>
      <c r="Z92" t="str">
        <f>+DB!U92</f>
        <v>PAT-0</v>
      </c>
      <c r="AA92">
        <f>+IF(DB!F92="AAAC-35",19.5,33)</f>
        <v>19.5</v>
      </c>
      <c r="AB92" t="str">
        <f>+DB!V92</f>
        <v>CIM3</v>
      </c>
      <c r="AC92" t="str">
        <f t="shared" si="5"/>
        <v>56-4</v>
      </c>
      <c r="AD92" s="21" t="s">
        <v>72</v>
      </c>
      <c r="AE92">
        <f>+DB!X92</f>
        <v>0</v>
      </c>
      <c r="AF92" s="22">
        <f>+DB!Y92</f>
        <v>0</v>
      </c>
      <c r="AG92">
        <f>+DB!AK92</f>
        <v>0</v>
      </c>
    </row>
    <row r="93" spans="1:33" x14ac:dyDescent="0.2">
      <c r="A93">
        <f>+DB!C93</f>
        <v>10</v>
      </c>
      <c r="B93" t="str">
        <f>+DB!D93</f>
        <v>PS1-0</v>
      </c>
      <c r="C93">
        <f>+DB!E93</f>
        <v>0</v>
      </c>
      <c r="D93">
        <f t="shared" si="3"/>
        <v>0</v>
      </c>
      <c r="E93">
        <f>+DB!G93</f>
        <v>1904.77</v>
      </c>
      <c r="F93">
        <f>+DB!H93</f>
        <v>244.03</v>
      </c>
      <c r="G93">
        <f>+DB!N93</f>
        <v>55.02</v>
      </c>
      <c r="H93">
        <f>+DB!O93</f>
        <v>181.35</v>
      </c>
      <c r="I93">
        <f>+DB!I93</f>
        <v>0</v>
      </c>
      <c r="J93" t="str">
        <f>+DB!J93</f>
        <v>0°</v>
      </c>
      <c r="K93">
        <f>+DB!L93</f>
        <v>1</v>
      </c>
      <c r="L93" t="str">
        <f t="shared" si="4"/>
        <v>13</v>
      </c>
      <c r="M93" t="str">
        <f>+IF(LEFT(DB!M93,3)="13/","CAC","MAD")</f>
        <v>CAC</v>
      </c>
      <c r="N93" t="str">
        <f>+RIGHT(DB!M93,6)</f>
        <v>13/200</v>
      </c>
      <c r="O93">
        <v>95</v>
      </c>
      <c r="P93">
        <v>5</v>
      </c>
      <c r="Q93">
        <f>+DB!AB93</f>
        <v>0</v>
      </c>
      <c r="R93">
        <f>+DB!K93</f>
        <v>155.83000000000001</v>
      </c>
      <c r="S93" t="str">
        <f>+DB!F93</f>
        <v>AAAC-35</v>
      </c>
      <c r="T93">
        <f>+IF(DB!F93="AAAC-35",1,3)</f>
        <v>1</v>
      </c>
      <c r="U93">
        <f>+DB!R93</f>
        <v>0</v>
      </c>
      <c r="V93">
        <f>+IF(DB!P93="1RI",1,0)+IF(DB!P93="2RI",2,0)</f>
        <v>0</v>
      </c>
      <c r="W93">
        <f>+IF(DB!P93="1RV",1,0)+IF(DB!P93="2RV",2,0)</f>
        <v>0</v>
      </c>
      <c r="X93">
        <f>+IF(DB!P93="RYI",1,0)</f>
        <v>0</v>
      </c>
      <c r="Y93">
        <f>+IF(DB!P93="RYV",1,0)</f>
        <v>0</v>
      </c>
      <c r="Z93" t="str">
        <f>+DB!U93</f>
        <v>PAT-0</v>
      </c>
      <c r="AA93">
        <f>+IF(DB!F93="AAAC-35",19.5,33)</f>
        <v>19.5</v>
      </c>
      <c r="AB93" t="str">
        <f>+DB!V93</f>
        <v>CIM3</v>
      </c>
      <c r="AC93" t="str">
        <f t="shared" si="5"/>
        <v>56-4</v>
      </c>
      <c r="AD93" s="21" t="s">
        <v>72</v>
      </c>
      <c r="AE93">
        <f>+DB!X93</f>
        <v>0</v>
      </c>
      <c r="AF93" s="22">
        <f>+DB!Y93</f>
        <v>0</v>
      </c>
      <c r="AG93">
        <f>+DB!AK93</f>
        <v>0</v>
      </c>
    </row>
    <row r="94" spans="1:33" x14ac:dyDescent="0.2">
      <c r="A94">
        <f>+DB!C94</f>
        <v>11</v>
      </c>
      <c r="B94" t="str">
        <f>+DB!D94</f>
        <v>PS1-0</v>
      </c>
      <c r="C94">
        <f>+DB!E94</f>
        <v>0</v>
      </c>
      <c r="D94">
        <f t="shared" si="3"/>
        <v>0</v>
      </c>
      <c r="E94">
        <f>+DB!G94</f>
        <v>2060.6</v>
      </c>
      <c r="F94">
        <f>+DB!H94</f>
        <v>256.45</v>
      </c>
      <c r="G94">
        <f>+DB!N94</f>
        <v>231.4</v>
      </c>
      <c r="H94">
        <f>+DB!O94</f>
        <v>147.81</v>
      </c>
      <c r="I94">
        <f>+DB!I94</f>
        <v>0</v>
      </c>
      <c r="J94" t="str">
        <f>+DB!J94</f>
        <v>0°</v>
      </c>
      <c r="K94">
        <f>+DB!L94</f>
        <v>1</v>
      </c>
      <c r="L94" t="str">
        <f t="shared" si="4"/>
        <v>13</v>
      </c>
      <c r="M94" t="str">
        <f>+IF(LEFT(DB!M94,3)="13/","CAC","MAD")</f>
        <v>CAC</v>
      </c>
      <c r="N94" t="str">
        <f>+RIGHT(DB!M94,6)</f>
        <v>13/200</v>
      </c>
      <c r="O94">
        <v>95</v>
      </c>
      <c r="P94">
        <v>5</v>
      </c>
      <c r="Q94">
        <f>+DB!AB94</f>
        <v>0</v>
      </c>
      <c r="R94">
        <f>+DB!K94</f>
        <v>139.79</v>
      </c>
      <c r="S94" t="str">
        <f>+DB!F94</f>
        <v>AAAC-35</v>
      </c>
      <c r="T94">
        <f>+IF(DB!F94="AAAC-35",1,3)</f>
        <v>1</v>
      </c>
      <c r="U94">
        <f>+DB!R94</f>
        <v>0</v>
      </c>
      <c r="V94">
        <f>+IF(DB!P94="1RI",1,0)+IF(DB!P94="2RI",2,0)</f>
        <v>0</v>
      </c>
      <c r="W94">
        <f>+IF(DB!P94="1RV",1,0)+IF(DB!P94="2RV",2,0)</f>
        <v>0</v>
      </c>
      <c r="X94">
        <f>+IF(DB!P94="RYI",1,0)</f>
        <v>0</v>
      </c>
      <c r="Y94">
        <f>+IF(DB!P94="RYV",1,0)</f>
        <v>0</v>
      </c>
      <c r="Z94" t="str">
        <f>+DB!U94</f>
        <v>PAT-0</v>
      </c>
      <c r="AA94">
        <f>+IF(DB!F94="AAAC-35",19.5,33)</f>
        <v>19.5</v>
      </c>
      <c r="AB94" t="str">
        <f>+DB!V94</f>
        <v>CIM3</v>
      </c>
      <c r="AC94" t="str">
        <f t="shared" si="5"/>
        <v>56-4</v>
      </c>
      <c r="AD94" s="21" t="s">
        <v>72</v>
      </c>
      <c r="AE94">
        <f>+DB!X94</f>
        <v>0</v>
      </c>
      <c r="AF94" s="22">
        <f>+DB!Y94</f>
        <v>0</v>
      </c>
      <c r="AG94">
        <f>+DB!AK94</f>
        <v>0</v>
      </c>
    </row>
    <row r="95" spans="1:33" x14ac:dyDescent="0.2">
      <c r="A95">
        <f>+DB!C95</f>
        <v>12</v>
      </c>
      <c r="B95" t="str">
        <f>+DB!D95</f>
        <v>PS1-0</v>
      </c>
      <c r="C95">
        <f>+DB!E95</f>
        <v>0</v>
      </c>
      <c r="D95">
        <f t="shared" si="3"/>
        <v>0</v>
      </c>
      <c r="E95">
        <f>+DB!G95</f>
        <v>2200.39</v>
      </c>
      <c r="F95">
        <f>+DB!H95</f>
        <v>258</v>
      </c>
      <c r="G95">
        <f>+DB!N95</f>
        <v>173.68</v>
      </c>
      <c r="H95">
        <f>+DB!O95</f>
        <v>150.06</v>
      </c>
      <c r="I95" t="str">
        <f>+DB!I95</f>
        <v>V</v>
      </c>
      <c r="J95" t="str">
        <f>+DB!J95</f>
        <v>-1°29'12.43"</v>
      </c>
      <c r="K95">
        <f>+DB!L95</f>
        <v>1</v>
      </c>
      <c r="L95" t="str">
        <f t="shared" si="4"/>
        <v>13</v>
      </c>
      <c r="M95" t="str">
        <f>+IF(LEFT(DB!M95,3)="13/","CAC","MAD")</f>
        <v>CAC</v>
      </c>
      <c r="N95" t="str">
        <f>+RIGHT(DB!M95,6)</f>
        <v>13/200</v>
      </c>
      <c r="O95">
        <v>95</v>
      </c>
      <c r="P95">
        <v>5</v>
      </c>
      <c r="Q95">
        <f>+DB!AB95</f>
        <v>0</v>
      </c>
      <c r="R95">
        <f>+DB!K95</f>
        <v>160.33000000000001</v>
      </c>
      <c r="S95" t="str">
        <f>+DB!F95</f>
        <v>AAAC-35</v>
      </c>
      <c r="T95">
        <f>+IF(DB!F95="AAAC-35",1,3)</f>
        <v>1</v>
      </c>
      <c r="U95">
        <f>+DB!R95</f>
        <v>0</v>
      </c>
      <c r="V95">
        <f>+IF(DB!P95="1RI",1,0)+IF(DB!P95="2RI",2,0)</f>
        <v>0</v>
      </c>
      <c r="W95">
        <f>+IF(DB!P95="1RV",1,0)+IF(DB!P95="2RV",2,0)</f>
        <v>0</v>
      </c>
      <c r="X95">
        <f>+IF(DB!P95="RYI",1,0)</f>
        <v>0</v>
      </c>
      <c r="Y95">
        <f>+IF(DB!P95="RYV",1,0)</f>
        <v>0</v>
      </c>
      <c r="Z95" t="str">
        <f>+DB!U95</f>
        <v>PAT-0</v>
      </c>
      <c r="AA95">
        <f>+IF(DB!F95="AAAC-35",19.5,33)</f>
        <v>19.5</v>
      </c>
      <c r="AB95" t="str">
        <f>+DB!V95</f>
        <v>CIM3</v>
      </c>
      <c r="AC95" t="str">
        <f t="shared" si="5"/>
        <v>56-4</v>
      </c>
      <c r="AD95" s="21" t="s">
        <v>72</v>
      </c>
      <c r="AE95">
        <f>+DB!X95</f>
        <v>0</v>
      </c>
      <c r="AF95" s="22">
        <f>+DB!Y95</f>
        <v>0</v>
      </c>
      <c r="AG95">
        <f>+DB!AK95</f>
        <v>0</v>
      </c>
    </row>
    <row r="96" spans="1:33" x14ac:dyDescent="0.2">
      <c r="A96">
        <f>+DB!C96</f>
        <v>13</v>
      </c>
      <c r="B96" t="str">
        <f>+DB!D96</f>
        <v>PR3-0</v>
      </c>
      <c r="C96">
        <f>+DB!E96</f>
        <v>0</v>
      </c>
      <c r="D96">
        <f t="shared" si="3"/>
        <v>0</v>
      </c>
      <c r="E96">
        <f>+DB!G96</f>
        <v>2360.7199999999998</v>
      </c>
      <c r="F96">
        <f>+DB!H96</f>
        <v>257</v>
      </c>
      <c r="G96">
        <f>+DB!N96</f>
        <v>96.38</v>
      </c>
      <c r="H96">
        <f>+DB!O96</f>
        <v>137.01</v>
      </c>
      <c r="I96" t="str">
        <f>+DB!I96</f>
        <v>V</v>
      </c>
      <c r="J96" t="str">
        <f>+DB!J96</f>
        <v>7°29'14.35"</v>
      </c>
      <c r="K96">
        <f>+DB!L96</f>
        <v>1</v>
      </c>
      <c r="L96" t="str">
        <f t="shared" si="4"/>
        <v>13</v>
      </c>
      <c r="M96" t="str">
        <f>+IF(LEFT(DB!M96,3)="13/","CAC","MAD")</f>
        <v>CAC</v>
      </c>
      <c r="N96" t="str">
        <f>+RIGHT(DB!M96,6)</f>
        <v>13/300</v>
      </c>
      <c r="O96">
        <v>95</v>
      </c>
      <c r="P96">
        <v>5</v>
      </c>
      <c r="Q96">
        <f>+DB!AB96</f>
        <v>0</v>
      </c>
      <c r="R96">
        <f>+DB!K96</f>
        <v>113.69</v>
      </c>
      <c r="S96" t="str">
        <f>+DB!F96</f>
        <v>AAAC-35</v>
      </c>
      <c r="T96">
        <f>+IF(DB!F96="AAAC-35",1,3)</f>
        <v>1</v>
      </c>
      <c r="U96">
        <f>+DB!R96</f>
        <v>0</v>
      </c>
      <c r="V96">
        <f>+IF(DB!P96="1RI",1,0)+IF(DB!P96="2RI",2,0)</f>
        <v>2</v>
      </c>
      <c r="W96">
        <f>+IF(DB!P96="1RV",1,0)+IF(DB!P96="2RV",2,0)</f>
        <v>0</v>
      </c>
      <c r="X96">
        <f>+IF(DB!P96="RYI",1,0)</f>
        <v>0</v>
      </c>
      <c r="Y96">
        <f>+IF(DB!P96="RYV",1,0)</f>
        <v>0</v>
      </c>
      <c r="Z96" t="str">
        <f>+DB!U96</f>
        <v>PAT-0</v>
      </c>
      <c r="AA96">
        <f>+IF(DB!F96="AAAC-35",19.5,33)</f>
        <v>19.5</v>
      </c>
      <c r="AB96" t="str">
        <f>+DB!V96</f>
        <v>CIM3</v>
      </c>
      <c r="AC96" t="str">
        <f t="shared" si="5"/>
        <v>56-4</v>
      </c>
      <c r="AD96" s="21" t="s">
        <v>72</v>
      </c>
      <c r="AE96">
        <f>+DB!X96</f>
        <v>0</v>
      </c>
      <c r="AF96" s="22">
        <f>+DB!Y96</f>
        <v>0</v>
      </c>
      <c r="AG96">
        <f>+DB!AK96</f>
        <v>0</v>
      </c>
    </row>
    <row r="97" spans="1:33" x14ac:dyDescent="0.2">
      <c r="A97">
        <f>+DB!C97</f>
        <v>14</v>
      </c>
      <c r="B97" t="str">
        <f>+DB!D97</f>
        <v>PS1-0</v>
      </c>
      <c r="C97">
        <f>+DB!E97</f>
        <v>0</v>
      </c>
      <c r="D97">
        <f t="shared" si="3"/>
        <v>0</v>
      </c>
      <c r="E97">
        <f>+DB!G97</f>
        <v>2474.41</v>
      </c>
      <c r="F97">
        <f>+DB!H97</f>
        <v>260.04000000000002</v>
      </c>
      <c r="G97">
        <f>+DB!N97</f>
        <v>183.15</v>
      </c>
      <c r="H97">
        <f>+DB!O97</f>
        <v>117.24</v>
      </c>
      <c r="I97">
        <f>+DB!I97</f>
        <v>0</v>
      </c>
      <c r="J97" t="str">
        <f>+DB!J97</f>
        <v>0°</v>
      </c>
      <c r="K97">
        <f>+DB!L97</f>
        <v>1</v>
      </c>
      <c r="L97" t="str">
        <f t="shared" si="4"/>
        <v>13</v>
      </c>
      <c r="M97" t="str">
        <f>+IF(LEFT(DB!M97,3)="13/","CAC","MAD")</f>
        <v>CAC</v>
      </c>
      <c r="N97" t="str">
        <f>+RIGHT(DB!M97,6)</f>
        <v>13/200</v>
      </c>
      <c r="O97">
        <v>95</v>
      </c>
      <c r="P97">
        <v>5</v>
      </c>
      <c r="Q97">
        <f>+DB!AB97</f>
        <v>0</v>
      </c>
      <c r="R97">
        <f>+DB!K97</f>
        <v>120.79</v>
      </c>
      <c r="S97" t="str">
        <f>+DB!F97</f>
        <v>AAAC-35</v>
      </c>
      <c r="T97">
        <f>+IF(DB!F97="AAAC-35",1,3)</f>
        <v>1</v>
      </c>
      <c r="U97">
        <f>+DB!R97</f>
        <v>0</v>
      </c>
      <c r="V97">
        <f>+IF(DB!P97="1RI",1,0)+IF(DB!P97="2RI",2,0)</f>
        <v>0</v>
      </c>
      <c r="W97">
        <f>+IF(DB!P97="1RV",1,0)+IF(DB!P97="2RV",2,0)</f>
        <v>0</v>
      </c>
      <c r="X97">
        <f>+IF(DB!P97="RYI",1,0)</f>
        <v>0</v>
      </c>
      <c r="Y97">
        <f>+IF(DB!P97="RYV",1,0)</f>
        <v>0</v>
      </c>
      <c r="Z97" t="str">
        <f>+DB!U97</f>
        <v>PAT-0</v>
      </c>
      <c r="AA97">
        <f>+IF(DB!F97="AAAC-35",19.5,33)</f>
        <v>19.5</v>
      </c>
      <c r="AB97" t="str">
        <f>+DB!V97</f>
        <v>CIM3</v>
      </c>
      <c r="AC97" t="str">
        <f t="shared" si="5"/>
        <v>56-4</v>
      </c>
      <c r="AD97" s="21" t="s">
        <v>72</v>
      </c>
      <c r="AE97">
        <f>+DB!X97</f>
        <v>0</v>
      </c>
      <c r="AF97" s="22">
        <f>+DB!Y97</f>
        <v>0</v>
      </c>
      <c r="AG97">
        <f>+DB!AK97</f>
        <v>0</v>
      </c>
    </row>
    <row r="98" spans="1:33" x14ac:dyDescent="0.2">
      <c r="A98">
        <f>+DB!C98</f>
        <v>15</v>
      </c>
      <c r="B98" t="str">
        <f>+DB!D98</f>
        <v>PS1-0</v>
      </c>
      <c r="C98">
        <f>+DB!E98</f>
        <v>0</v>
      </c>
      <c r="D98">
        <f t="shared" si="3"/>
        <v>0</v>
      </c>
      <c r="E98">
        <f>+DB!G98</f>
        <v>2595.1999999999998</v>
      </c>
      <c r="F98">
        <f>+DB!H98</f>
        <v>255.74</v>
      </c>
      <c r="G98">
        <f>+DB!N98</f>
        <v>185.71</v>
      </c>
      <c r="H98">
        <f>+DB!O98</f>
        <v>207.96</v>
      </c>
      <c r="I98">
        <f>+DB!I98</f>
        <v>0</v>
      </c>
      <c r="J98" t="str">
        <f>+DB!J98</f>
        <v>0°</v>
      </c>
      <c r="K98">
        <f>+DB!L98</f>
        <v>1</v>
      </c>
      <c r="L98" t="str">
        <f t="shared" si="4"/>
        <v>13</v>
      </c>
      <c r="M98" t="str">
        <f>+IF(LEFT(DB!M98,3)="13/","CAC","MAD")</f>
        <v>CAC</v>
      </c>
      <c r="N98" t="str">
        <f>+RIGHT(DB!M98,6)</f>
        <v>13/200</v>
      </c>
      <c r="O98">
        <v>95</v>
      </c>
      <c r="P98">
        <v>5</v>
      </c>
      <c r="Q98">
        <f>+DB!AB98</f>
        <v>0</v>
      </c>
      <c r="R98">
        <f>+DB!K98</f>
        <v>295.14</v>
      </c>
      <c r="S98" t="str">
        <f>+DB!F98</f>
        <v>AAAC-35</v>
      </c>
      <c r="T98">
        <f>+IF(DB!F98="AAAC-35",1,3)</f>
        <v>1</v>
      </c>
      <c r="U98">
        <f>+DB!R98</f>
        <v>0</v>
      </c>
      <c r="V98">
        <f>+IF(DB!P98="1RI",1,0)+IF(DB!P98="2RI",2,0)</f>
        <v>0</v>
      </c>
      <c r="W98">
        <f>+IF(DB!P98="1RV",1,0)+IF(DB!P98="2RV",2,0)</f>
        <v>0</v>
      </c>
      <c r="X98">
        <f>+IF(DB!P98="RYI",1,0)</f>
        <v>0</v>
      </c>
      <c r="Y98">
        <f>+IF(DB!P98="RYV",1,0)</f>
        <v>0</v>
      </c>
      <c r="Z98" t="str">
        <f>+DB!U98</f>
        <v>PAT-0</v>
      </c>
      <c r="AA98">
        <f>+IF(DB!F98="AAAC-35",19.5,33)</f>
        <v>19.5</v>
      </c>
      <c r="AB98" t="str">
        <f>+DB!V98</f>
        <v>CIM3</v>
      </c>
      <c r="AC98" t="str">
        <f t="shared" si="5"/>
        <v>56-4</v>
      </c>
      <c r="AD98" s="21" t="s">
        <v>72</v>
      </c>
      <c r="AE98">
        <f>+DB!X98</f>
        <v>0</v>
      </c>
      <c r="AF98" s="22">
        <f>+DB!Y98</f>
        <v>0</v>
      </c>
      <c r="AG98">
        <f>+DB!AK98</f>
        <v>0</v>
      </c>
    </row>
    <row r="99" spans="1:33" x14ac:dyDescent="0.2">
      <c r="A99">
        <f>+DB!C99</f>
        <v>16</v>
      </c>
      <c r="B99" t="str">
        <f>+DB!D99</f>
        <v>PR3-0</v>
      </c>
      <c r="C99">
        <f>+DB!E99</f>
        <v>0</v>
      </c>
      <c r="D99">
        <f t="shared" si="3"/>
        <v>0</v>
      </c>
      <c r="E99">
        <f>+DB!G99</f>
        <v>2890.34</v>
      </c>
      <c r="F99">
        <f>+DB!H99</f>
        <v>253.69</v>
      </c>
      <c r="G99">
        <f>+DB!N99</f>
        <v>173.41</v>
      </c>
      <c r="H99">
        <f>+DB!O99</f>
        <v>202.41</v>
      </c>
      <c r="I99" t="str">
        <f>+DB!I99</f>
        <v>v2</v>
      </c>
      <c r="J99" t="str">
        <f>+DB!J99</f>
        <v>28°0'5.30"</v>
      </c>
      <c r="K99">
        <f>+DB!L99</f>
        <v>1</v>
      </c>
      <c r="L99" t="str">
        <f t="shared" si="4"/>
        <v>13</v>
      </c>
      <c r="M99" t="str">
        <f>+IF(LEFT(DB!M99,3)="13/","CAC","MAD")</f>
        <v>CAC</v>
      </c>
      <c r="N99" t="str">
        <f>+RIGHT(DB!M99,6)</f>
        <v>13/300</v>
      </c>
      <c r="O99">
        <v>95</v>
      </c>
      <c r="P99">
        <v>5</v>
      </c>
      <c r="Q99">
        <f>+DB!AB99</f>
        <v>0</v>
      </c>
      <c r="R99">
        <f>+DB!K99</f>
        <v>109.68</v>
      </c>
      <c r="S99" t="str">
        <f>+DB!F99</f>
        <v>AAAC-35</v>
      </c>
      <c r="T99">
        <f>+IF(DB!F99="AAAC-35",1,3)</f>
        <v>1</v>
      </c>
      <c r="U99">
        <f>+DB!R99</f>
        <v>0</v>
      </c>
      <c r="V99">
        <f>+IF(DB!P99="1RI",1,0)+IF(DB!P99="2RI",2,0)</f>
        <v>2</v>
      </c>
      <c r="W99">
        <f>+IF(DB!P99="1RV",1,0)+IF(DB!P99="2RV",2,0)</f>
        <v>0</v>
      </c>
      <c r="X99">
        <f>+IF(DB!P99="RYI",1,0)</f>
        <v>0</v>
      </c>
      <c r="Y99">
        <f>+IF(DB!P99="RYV",1,0)</f>
        <v>0</v>
      </c>
      <c r="Z99" t="str">
        <f>+DB!U99</f>
        <v>PAT-0</v>
      </c>
      <c r="AA99">
        <f>+IF(DB!F99="AAAC-35",19.5,33)</f>
        <v>19.5</v>
      </c>
      <c r="AB99" t="str">
        <f>+DB!V99</f>
        <v>CIM3</v>
      </c>
      <c r="AC99" t="str">
        <f t="shared" si="5"/>
        <v>56-4</v>
      </c>
      <c r="AD99" s="21" t="s">
        <v>72</v>
      </c>
      <c r="AE99">
        <f>+DB!X99</f>
        <v>0</v>
      </c>
      <c r="AF99" s="22">
        <f>+DB!Y99</f>
        <v>0</v>
      </c>
      <c r="AG99">
        <f>+DB!AK99</f>
        <v>0</v>
      </c>
    </row>
    <row r="100" spans="1:33" x14ac:dyDescent="0.2">
      <c r="A100">
        <f>+DB!C100</f>
        <v>17</v>
      </c>
      <c r="B100" t="str">
        <f>+DB!D100</f>
        <v>PS1-0</v>
      </c>
      <c r="C100">
        <f>+DB!E100</f>
        <v>0</v>
      </c>
      <c r="D100">
        <f t="shared" si="3"/>
        <v>0</v>
      </c>
      <c r="E100">
        <f>+DB!G100</f>
        <v>3000.02</v>
      </c>
      <c r="F100">
        <f>+DB!H100</f>
        <v>255.07</v>
      </c>
      <c r="G100">
        <f>+DB!N100</f>
        <v>110.45</v>
      </c>
      <c r="H100">
        <f>+DB!O100</f>
        <v>118.19</v>
      </c>
      <c r="I100">
        <f>+DB!I100</f>
        <v>0</v>
      </c>
      <c r="J100" t="str">
        <f>+DB!J100</f>
        <v>0°</v>
      </c>
      <c r="K100">
        <f>+DB!L100</f>
        <v>1</v>
      </c>
      <c r="L100" t="str">
        <f t="shared" si="4"/>
        <v>13</v>
      </c>
      <c r="M100" t="str">
        <f>+IF(LEFT(DB!M100,3)="13/","CAC","MAD")</f>
        <v>CAC</v>
      </c>
      <c r="N100" t="str">
        <f>+RIGHT(DB!M100,6)</f>
        <v>13/200</v>
      </c>
      <c r="O100">
        <v>95</v>
      </c>
      <c r="P100">
        <v>5</v>
      </c>
      <c r="Q100">
        <f>+DB!AB100</f>
        <v>0</v>
      </c>
      <c r="R100">
        <f>+DB!K100</f>
        <v>126.7</v>
      </c>
      <c r="S100" t="str">
        <f>+DB!F100</f>
        <v>AAAC-35</v>
      </c>
      <c r="T100">
        <f>+IF(DB!F100="AAAC-35",1,3)</f>
        <v>1</v>
      </c>
      <c r="U100">
        <f>+DB!R100</f>
        <v>0</v>
      </c>
      <c r="V100">
        <f>+IF(DB!P100="1RI",1,0)+IF(DB!P100="2RI",2,0)</f>
        <v>0</v>
      </c>
      <c r="W100">
        <f>+IF(DB!P100="1RV",1,0)+IF(DB!P100="2RV",2,0)</f>
        <v>0</v>
      </c>
      <c r="X100">
        <f>+IF(DB!P100="RYI",1,0)</f>
        <v>0</v>
      </c>
      <c r="Y100">
        <f>+IF(DB!P100="RYV",1,0)</f>
        <v>0</v>
      </c>
      <c r="Z100" t="str">
        <f>+DB!U100</f>
        <v>PAT-0</v>
      </c>
      <c r="AA100">
        <f>+IF(DB!F100="AAAC-35",19.5,33)</f>
        <v>19.5</v>
      </c>
      <c r="AB100" t="str">
        <f>+DB!V100</f>
        <v>CIM3</v>
      </c>
      <c r="AC100" t="str">
        <f t="shared" si="5"/>
        <v>56-4</v>
      </c>
      <c r="AD100" s="21" t="s">
        <v>72</v>
      </c>
      <c r="AE100">
        <f>+DB!X100</f>
        <v>0</v>
      </c>
      <c r="AF100" s="22">
        <f>+DB!Y100</f>
        <v>0</v>
      </c>
      <c r="AG100">
        <f>+DB!AK100</f>
        <v>0</v>
      </c>
    </row>
    <row r="101" spans="1:33" x14ac:dyDescent="0.2">
      <c r="A101">
        <f>+DB!C101</f>
        <v>18</v>
      </c>
      <c r="B101" t="str">
        <f>+DB!D101</f>
        <v>PS1-0</v>
      </c>
      <c r="C101">
        <f>+DB!E101</f>
        <v>0</v>
      </c>
      <c r="D101">
        <f t="shared" si="3"/>
        <v>0</v>
      </c>
      <c r="E101">
        <f>+DB!G101</f>
        <v>3126.72</v>
      </c>
      <c r="F101">
        <f>+DB!H101</f>
        <v>257.91000000000003</v>
      </c>
      <c r="G101">
        <f>+DB!N101</f>
        <v>168.12</v>
      </c>
      <c r="H101">
        <f>+DB!O101</f>
        <v>144</v>
      </c>
      <c r="I101">
        <f>+DB!I101</f>
        <v>0</v>
      </c>
      <c r="J101" t="str">
        <f>+DB!J101</f>
        <v>0°</v>
      </c>
      <c r="K101">
        <f>+DB!L101</f>
        <v>1</v>
      </c>
      <c r="L101" t="str">
        <f t="shared" si="4"/>
        <v>13</v>
      </c>
      <c r="M101" t="str">
        <f>+IF(LEFT(DB!M101,3)="13/","CAC","MAD")</f>
        <v>CAC</v>
      </c>
      <c r="N101" t="str">
        <f>+RIGHT(DB!M101,6)</f>
        <v>13/200</v>
      </c>
      <c r="O101">
        <v>95</v>
      </c>
      <c r="P101">
        <v>5</v>
      </c>
      <c r="Q101">
        <f>+DB!AB101</f>
        <v>0</v>
      </c>
      <c r="R101">
        <f>+DB!K101</f>
        <v>161.31</v>
      </c>
      <c r="S101" t="str">
        <f>+DB!F101</f>
        <v>AAAC-35</v>
      </c>
      <c r="T101">
        <f>+IF(DB!F101="AAAC-35",1,3)</f>
        <v>1</v>
      </c>
      <c r="U101">
        <f>+DB!R101</f>
        <v>0</v>
      </c>
      <c r="V101">
        <f>+IF(DB!P101="1RI",1,0)+IF(DB!P101="2RI",2,0)</f>
        <v>0</v>
      </c>
      <c r="W101">
        <f>+IF(DB!P101="1RV",1,0)+IF(DB!P101="2RV",2,0)</f>
        <v>0</v>
      </c>
      <c r="X101">
        <f>+IF(DB!P101="RYI",1,0)</f>
        <v>0</v>
      </c>
      <c r="Y101">
        <f>+IF(DB!P101="RYV",1,0)</f>
        <v>0</v>
      </c>
      <c r="Z101" t="str">
        <f>+DB!U101</f>
        <v>PAT-0</v>
      </c>
      <c r="AA101">
        <f>+IF(DB!F101="AAAC-35",19.5,33)</f>
        <v>19.5</v>
      </c>
      <c r="AB101" t="str">
        <f>+DB!V101</f>
        <v>CIM3</v>
      </c>
      <c r="AC101" t="str">
        <f t="shared" si="5"/>
        <v>56-4</v>
      </c>
      <c r="AD101" s="21" t="s">
        <v>72</v>
      </c>
      <c r="AE101">
        <f>+DB!X101</f>
        <v>0</v>
      </c>
      <c r="AF101" s="22">
        <f>+DB!Y101</f>
        <v>0</v>
      </c>
      <c r="AG101">
        <f>+DB!AK101</f>
        <v>0</v>
      </c>
    </row>
    <row r="102" spans="1:33" x14ac:dyDescent="0.2">
      <c r="A102">
        <f>+DB!C102</f>
        <v>19</v>
      </c>
      <c r="B102" t="str">
        <f>+DB!D102</f>
        <v>PA2-0</v>
      </c>
      <c r="C102">
        <f>+DB!E102</f>
        <v>0</v>
      </c>
      <c r="D102">
        <f t="shared" si="3"/>
        <v>0</v>
      </c>
      <c r="E102">
        <f>+DB!G102</f>
        <v>3288.03</v>
      </c>
      <c r="F102">
        <f>+DB!H102</f>
        <v>258.3</v>
      </c>
      <c r="G102">
        <f>+DB!N102</f>
        <v>150.53</v>
      </c>
      <c r="H102">
        <f>+DB!O102</f>
        <v>154.22</v>
      </c>
      <c r="I102" t="str">
        <f>+DB!I102</f>
        <v>v3</v>
      </c>
      <c r="J102" t="str">
        <f>+DB!J102</f>
        <v>-49°23'31.58"</v>
      </c>
      <c r="K102">
        <f>+DB!L102</f>
        <v>1</v>
      </c>
      <c r="L102" t="str">
        <f t="shared" si="4"/>
        <v>13</v>
      </c>
      <c r="M102" t="str">
        <f>+IF(LEFT(DB!M102,3)="13/","CAC","MAD")</f>
        <v>CAC</v>
      </c>
      <c r="N102" t="str">
        <f>+RIGHT(DB!M102,6)</f>
        <v>13/200</v>
      </c>
      <c r="O102">
        <v>95</v>
      </c>
      <c r="P102">
        <v>5</v>
      </c>
      <c r="Q102">
        <f>+DB!AB102</f>
        <v>0</v>
      </c>
      <c r="R102">
        <f>+DB!K102</f>
        <v>147.13999999999999</v>
      </c>
      <c r="S102" t="str">
        <f>+DB!F102</f>
        <v>AAAC-35</v>
      </c>
      <c r="T102">
        <f>+IF(DB!F102="AAAC-35",1,3)</f>
        <v>1</v>
      </c>
      <c r="U102">
        <f>+DB!R102</f>
        <v>0</v>
      </c>
      <c r="V102">
        <f>+IF(DB!P102="1RI",1,0)+IF(DB!P102="2RI",2,0)</f>
        <v>1</v>
      </c>
      <c r="W102">
        <f>+IF(DB!P102="1RV",1,0)+IF(DB!P102="2RV",2,0)</f>
        <v>0</v>
      </c>
      <c r="X102">
        <f>+IF(DB!P102="RYI",1,0)</f>
        <v>0</v>
      </c>
      <c r="Y102">
        <f>+IF(DB!P102="RYV",1,0)</f>
        <v>0</v>
      </c>
      <c r="Z102" t="str">
        <f>+DB!U102</f>
        <v>PAT-0</v>
      </c>
      <c r="AA102">
        <f>+IF(DB!F102="AAAC-35",19.5,33)</f>
        <v>19.5</v>
      </c>
      <c r="AB102" t="str">
        <f>+DB!V102</f>
        <v>CIM3</v>
      </c>
      <c r="AC102" t="str">
        <f t="shared" si="5"/>
        <v>56-4</v>
      </c>
      <c r="AD102" s="21" t="s">
        <v>72</v>
      </c>
      <c r="AE102">
        <f>+DB!X102</f>
        <v>0</v>
      </c>
      <c r="AF102" s="22">
        <f>+DB!Y102</f>
        <v>0</v>
      </c>
      <c r="AG102">
        <f>+DB!AK102</f>
        <v>0</v>
      </c>
    </row>
    <row r="103" spans="1:33" x14ac:dyDescent="0.2">
      <c r="A103">
        <f>+DB!C103</f>
        <v>20</v>
      </c>
      <c r="B103" t="str">
        <f>+DB!D103</f>
        <v>PS1-0</v>
      </c>
      <c r="C103">
        <f>+DB!E103</f>
        <v>0</v>
      </c>
      <c r="D103">
        <f t="shared" si="3"/>
        <v>0</v>
      </c>
      <c r="E103">
        <f>+DB!G103</f>
        <v>3435.16</v>
      </c>
      <c r="F103">
        <f>+DB!H103</f>
        <v>258.27999999999997</v>
      </c>
      <c r="G103">
        <f>+DB!N103</f>
        <v>219.97</v>
      </c>
      <c r="H103">
        <f>+DB!O103</f>
        <v>125.52</v>
      </c>
      <c r="I103">
        <f>+DB!I103</f>
        <v>0</v>
      </c>
      <c r="J103" t="str">
        <f>+DB!J103</f>
        <v>0°</v>
      </c>
      <c r="K103">
        <f>+DB!L103</f>
        <v>1</v>
      </c>
      <c r="L103" t="str">
        <f t="shared" si="4"/>
        <v>13</v>
      </c>
      <c r="M103" t="str">
        <f>+IF(LEFT(DB!M103,3)="13/","CAC","MAD")</f>
        <v>CAC</v>
      </c>
      <c r="N103" t="str">
        <f>+RIGHT(DB!M103,6)</f>
        <v>13/200</v>
      </c>
      <c r="O103">
        <v>95</v>
      </c>
      <c r="P103">
        <v>5</v>
      </c>
      <c r="Q103">
        <f>+DB!AB103</f>
        <v>0</v>
      </c>
      <c r="R103">
        <f>+DB!K103</f>
        <v>103.89</v>
      </c>
      <c r="S103" t="str">
        <f>+DB!F103</f>
        <v>AAAC-35</v>
      </c>
      <c r="T103">
        <f>+IF(DB!F103="AAAC-35",1,3)</f>
        <v>1</v>
      </c>
      <c r="U103">
        <f>+DB!R103</f>
        <v>0</v>
      </c>
      <c r="V103">
        <f>+IF(DB!P103="1RI",1,0)+IF(DB!P103="2RI",2,0)</f>
        <v>0</v>
      </c>
      <c r="W103">
        <f>+IF(DB!P103="1RV",1,0)+IF(DB!P103="2RV",2,0)</f>
        <v>0</v>
      </c>
      <c r="X103">
        <f>+IF(DB!P103="RYI",1,0)</f>
        <v>0</v>
      </c>
      <c r="Y103">
        <f>+IF(DB!P103="RYV",1,0)</f>
        <v>0</v>
      </c>
      <c r="Z103" t="str">
        <f>+DB!U103</f>
        <v>PAT-0</v>
      </c>
      <c r="AA103">
        <f>+IF(DB!F103="AAAC-35",19.5,33)</f>
        <v>19.5</v>
      </c>
      <c r="AB103" t="str">
        <f>+DB!V103</f>
        <v>CIM3</v>
      </c>
      <c r="AC103" t="str">
        <f t="shared" si="5"/>
        <v>56-4</v>
      </c>
      <c r="AD103" s="21" t="s">
        <v>72</v>
      </c>
      <c r="AE103">
        <f>+DB!X103</f>
        <v>0</v>
      </c>
      <c r="AF103" s="22">
        <f>+DB!Y103</f>
        <v>0</v>
      </c>
      <c r="AG103">
        <f>+DB!AK103</f>
        <v>0</v>
      </c>
    </row>
    <row r="104" spans="1:33" x14ac:dyDescent="0.2">
      <c r="A104">
        <f>+DB!C104</f>
        <v>21</v>
      </c>
      <c r="B104" t="str">
        <f>+DB!D104</f>
        <v>PA3-0</v>
      </c>
      <c r="C104">
        <f>+DB!E104</f>
        <v>0</v>
      </c>
      <c r="D104">
        <f t="shared" si="3"/>
        <v>0</v>
      </c>
      <c r="E104">
        <f>+DB!G104</f>
        <v>3539.06</v>
      </c>
      <c r="F104">
        <f>+DB!H104</f>
        <v>246.81</v>
      </c>
      <c r="G104">
        <f>+DB!N104</f>
        <v>-32.31</v>
      </c>
      <c r="H104">
        <f>+DB!O104</f>
        <v>124.11</v>
      </c>
      <c r="I104" t="str">
        <f>+DB!I104</f>
        <v>v4</v>
      </c>
      <c r="J104" t="str">
        <f>+DB!J104</f>
        <v>-70°37'31.68"</v>
      </c>
      <c r="K104">
        <f>+DB!L104</f>
        <v>1</v>
      </c>
      <c r="L104" t="str">
        <f t="shared" si="4"/>
        <v>13</v>
      </c>
      <c r="M104" t="str">
        <f>+IF(LEFT(DB!M104,3)="13/","CAC","MAD")</f>
        <v>CAC</v>
      </c>
      <c r="N104" t="str">
        <f>+RIGHT(DB!M104,6)</f>
        <v>13/300</v>
      </c>
      <c r="O104">
        <v>95</v>
      </c>
      <c r="P104">
        <v>5</v>
      </c>
      <c r="Q104">
        <f>+DB!AB104</f>
        <v>0</v>
      </c>
      <c r="R104">
        <f>+DB!K104</f>
        <v>144.34</v>
      </c>
      <c r="S104" t="str">
        <f>+DB!F104</f>
        <v>AAAC-35</v>
      </c>
      <c r="T104">
        <f>+IF(DB!F104="AAAC-35",1,3)</f>
        <v>1</v>
      </c>
      <c r="U104">
        <f>+DB!R104</f>
        <v>0</v>
      </c>
      <c r="V104">
        <f>+IF(DB!P104="1RI",1,0)+IF(DB!P104="2RI",2,0)</f>
        <v>2</v>
      </c>
      <c r="W104">
        <f>+IF(DB!P104="1RV",1,0)+IF(DB!P104="2RV",2,0)</f>
        <v>0</v>
      </c>
      <c r="X104">
        <f>+IF(DB!P104="RYI",1,0)</f>
        <v>0</v>
      </c>
      <c r="Y104">
        <f>+IF(DB!P104="RYV",1,0)</f>
        <v>0</v>
      </c>
      <c r="Z104" t="str">
        <f>+DB!U104</f>
        <v>PAT-0</v>
      </c>
      <c r="AA104">
        <f>+IF(DB!F104="AAAC-35",19.5,33)</f>
        <v>19.5</v>
      </c>
      <c r="AB104" t="str">
        <f>+DB!V104</f>
        <v>CIM3</v>
      </c>
      <c r="AC104" t="str">
        <f t="shared" si="5"/>
        <v>56-4</v>
      </c>
      <c r="AD104" s="21" t="s">
        <v>72</v>
      </c>
      <c r="AE104">
        <f>+DB!X104</f>
        <v>0</v>
      </c>
      <c r="AF104" s="22">
        <f>+DB!Y104</f>
        <v>0</v>
      </c>
      <c r="AG104">
        <f>+DB!AK104</f>
        <v>0</v>
      </c>
    </row>
    <row r="105" spans="1:33" x14ac:dyDescent="0.2">
      <c r="A105">
        <f>+DB!C105</f>
        <v>22</v>
      </c>
      <c r="B105" t="str">
        <f>+DB!D105</f>
        <v>PS1-0</v>
      </c>
      <c r="C105">
        <f>+DB!E105</f>
        <v>0</v>
      </c>
      <c r="D105">
        <f t="shared" si="3"/>
        <v>0</v>
      </c>
      <c r="E105">
        <f>+DB!G105</f>
        <v>3683.39</v>
      </c>
      <c r="F105">
        <f>+DB!H105</f>
        <v>261.33999999999997</v>
      </c>
      <c r="G105">
        <f>+DB!N105</f>
        <v>239.21</v>
      </c>
      <c r="H105">
        <f>+DB!O105</f>
        <v>135</v>
      </c>
      <c r="I105">
        <f>+DB!I105</f>
        <v>0</v>
      </c>
      <c r="J105" t="str">
        <f>+DB!J105</f>
        <v>0°</v>
      </c>
      <c r="K105">
        <f>+DB!L105</f>
        <v>1</v>
      </c>
      <c r="L105" t="str">
        <f t="shared" si="4"/>
        <v>13</v>
      </c>
      <c r="M105" t="str">
        <f>+IF(LEFT(DB!M105,3)="13/","CAC","MAD")</f>
        <v>CAC</v>
      </c>
      <c r="N105" t="str">
        <f>+RIGHT(DB!M105,6)</f>
        <v>13/200</v>
      </c>
      <c r="O105">
        <v>95</v>
      </c>
      <c r="P105">
        <v>5</v>
      </c>
      <c r="Q105">
        <f>+DB!AB105</f>
        <v>0</v>
      </c>
      <c r="R105">
        <f>+DB!K105</f>
        <v>125.66</v>
      </c>
      <c r="S105" t="str">
        <f>+DB!F105</f>
        <v>AAAC-35</v>
      </c>
      <c r="T105">
        <f>+IF(DB!F105="AAAC-35",1,3)</f>
        <v>1</v>
      </c>
      <c r="U105">
        <f>+DB!R105</f>
        <v>0</v>
      </c>
      <c r="V105">
        <f>+IF(DB!P105="1RI",1,0)+IF(DB!P105="2RI",2,0)</f>
        <v>0</v>
      </c>
      <c r="W105">
        <f>+IF(DB!P105="1RV",1,0)+IF(DB!P105="2RV",2,0)</f>
        <v>0</v>
      </c>
      <c r="X105">
        <f>+IF(DB!P105="RYI",1,0)</f>
        <v>0</v>
      </c>
      <c r="Y105">
        <f>+IF(DB!P105="RYV",1,0)</f>
        <v>0</v>
      </c>
      <c r="Z105" t="str">
        <f>+DB!U105</f>
        <v>PAT-0</v>
      </c>
      <c r="AA105">
        <f>+IF(DB!F105="AAAC-35",19.5,33)</f>
        <v>19.5</v>
      </c>
      <c r="AB105" t="str">
        <f>+DB!V105</f>
        <v>CIM3</v>
      </c>
      <c r="AC105" t="str">
        <f t="shared" si="5"/>
        <v>56-4</v>
      </c>
      <c r="AD105" s="21" t="s">
        <v>72</v>
      </c>
      <c r="AE105">
        <f>+DB!X105</f>
        <v>0</v>
      </c>
      <c r="AF105" s="22">
        <f>+DB!Y105</f>
        <v>0</v>
      </c>
      <c r="AG105">
        <f>+DB!AK105</f>
        <v>0</v>
      </c>
    </row>
    <row r="106" spans="1:33" x14ac:dyDescent="0.2">
      <c r="A106">
        <f>+DB!C106</f>
        <v>23</v>
      </c>
      <c r="B106" t="str">
        <f>+DB!D106</f>
        <v>PS1-0</v>
      </c>
      <c r="C106">
        <f>+DB!E106</f>
        <v>0</v>
      </c>
      <c r="D106">
        <f t="shared" si="3"/>
        <v>0</v>
      </c>
      <c r="E106">
        <f>+DB!G106</f>
        <v>3809.05</v>
      </c>
      <c r="F106">
        <f>+DB!H106</f>
        <v>256.89</v>
      </c>
      <c r="G106">
        <f>+DB!N106</f>
        <v>141.25</v>
      </c>
      <c r="H106">
        <f>+DB!O106</f>
        <v>202.59</v>
      </c>
      <c r="I106">
        <f>+DB!I106</f>
        <v>0</v>
      </c>
      <c r="J106" t="str">
        <f>+DB!J106</f>
        <v>0°</v>
      </c>
      <c r="K106">
        <f>+DB!L106</f>
        <v>1</v>
      </c>
      <c r="L106" t="str">
        <f t="shared" si="4"/>
        <v>13</v>
      </c>
      <c r="M106" t="str">
        <f>+IF(LEFT(DB!M106,3)="13/","CAC","MAD")</f>
        <v>CAC</v>
      </c>
      <c r="N106" t="str">
        <f>+RIGHT(DB!M106,6)</f>
        <v>13/200</v>
      </c>
      <c r="O106">
        <v>95</v>
      </c>
      <c r="P106">
        <v>5</v>
      </c>
      <c r="Q106">
        <f>+DB!AB106</f>
        <v>0</v>
      </c>
      <c r="R106">
        <f>+DB!K106</f>
        <v>279.52</v>
      </c>
      <c r="S106" t="str">
        <f>+DB!F106</f>
        <v>AAAC-35</v>
      </c>
      <c r="T106">
        <f>+IF(DB!F106="AAAC-35",1,3)</f>
        <v>1</v>
      </c>
      <c r="U106">
        <f>+DB!R106</f>
        <v>0</v>
      </c>
      <c r="V106">
        <f>+IF(DB!P106="1RI",1,0)+IF(DB!P106="2RI",2,0)</f>
        <v>0</v>
      </c>
      <c r="W106">
        <f>+IF(DB!P106="1RV",1,0)+IF(DB!P106="2RV",2,0)</f>
        <v>0</v>
      </c>
      <c r="X106">
        <f>+IF(DB!P106="RYI",1,0)</f>
        <v>0</v>
      </c>
      <c r="Y106">
        <f>+IF(DB!P106="RYV",1,0)</f>
        <v>0</v>
      </c>
      <c r="Z106" t="str">
        <f>+DB!U106</f>
        <v>PAT-0</v>
      </c>
      <c r="AA106">
        <f>+IF(DB!F106="AAAC-35",19.5,33)</f>
        <v>19.5</v>
      </c>
      <c r="AB106" t="str">
        <f>+DB!V106</f>
        <v>CIM3</v>
      </c>
      <c r="AC106" t="str">
        <f t="shared" si="5"/>
        <v>56-4</v>
      </c>
      <c r="AD106" s="21" t="s">
        <v>72</v>
      </c>
      <c r="AE106">
        <f>+DB!X106</f>
        <v>0</v>
      </c>
      <c r="AF106" s="22">
        <f>+DB!Y106</f>
        <v>0</v>
      </c>
      <c r="AG106">
        <f>+DB!AK106</f>
        <v>0</v>
      </c>
    </row>
    <row r="107" spans="1:33" x14ac:dyDescent="0.2">
      <c r="A107">
        <f>+DB!C107</f>
        <v>24</v>
      </c>
      <c r="B107" t="str">
        <f>+DB!D107</f>
        <v>PS1-0</v>
      </c>
      <c r="C107">
        <f>+DB!E107</f>
        <v>0</v>
      </c>
      <c r="D107">
        <f t="shared" si="3"/>
        <v>0</v>
      </c>
      <c r="E107">
        <f>+DB!G107</f>
        <v>4088.57</v>
      </c>
      <c r="F107">
        <f>+DB!H107</f>
        <v>261.27999999999997</v>
      </c>
      <c r="G107">
        <f>+DB!N107</f>
        <v>288.56</v>
      </c>
      <c r="H107">
        <f>+DB!O107</f>
        <v>287.17</v>
      </c>
      <c r="I107">
        <f>+DB!I107</f>
        <v>0</v>
      </c>
      <c r="J107" t="str">
        <f>+DB!J107</f>
        <v>0°</v>
      </c>
      <c r="K107">
        <f>+DB!L107</f>
        <v>1</v>
      </c>
      <c r="L107" t="str">
        <f t="shared" si="4"/>
        <v>13</v>
      </c>
      <c r="M107" t="str">
        <f>+IF(LEFT(DB!M107,3)="13/","CAC","MAD")</f>
        <v>CAC</v>
      </c>
      <c r="N107" t="str">
        <f>+RIGHT(DB!M107,6)</f>
        <v>13/200</v>
      </c>
      <c r="O107">
        <v>95</v>
      </c>
      <c r="P107">
        <v>5</v>
      </c>
      <c r="Q107">
        <f>+DB!AB107</f>
        <v>0</v>
      </c>
      <c r="R107">
        <f>+DB!K107</f>
        <v>294.83</v>
      </c>
      <c r="S107" t="str">
        <f>+DB!F107</f>
        <v>AAAC-35</v>
      </c>
      <c r="T107">
        <f>+IF(DB!F107="AAAC-35",1,3)</f>
        <v>1</v>
      </c>
      <c r="U107">
        <f>+DB!R107</f>
        <v>0</v>
      </c>
      <c r="V107">
        <f>+IF(DB!P107="1RI",1,0)+IF(DB!P107="2RI",2,0)</f>
        <v>0</v>
      </c>
      <c r="W107">
        <f>+IF(DB!P107="1RV",1,0)+IF(DB!P107="2RV",2,0)</f>
        <v>0</v>
      </c>
      <c r="X107">
        <f>+IF(DB!P107="RYI",1,0)</f>
        <v>0</v>
      </c>
      <c r="Y107">
        <f>+IF(DB!P107="RYV",1,0)</f>
        <v>0</v>
      </c>
      <c r="Z107" t="str">
        <f>+DB!U107</f>
        <v>PAT-0</v>
      </c>
      <c r="AA107">
        <f>+IF(DB!F107="AAAC-35",19.5,33)</f>
        <v>19.5</v>
      </c>
      <c r="AB107" t="str">
        <f>+DB!V107</f>
        <v>CIM3</v>
      </c>
      <c r="AC107" t="str">
        <f t="shared" si="5"/>
        <v>56-4</v>
      </c>
      <c r="AD107" s="21" t="s">
        <v>72</v>
      </c>
      <c r="AE107">
        <f>+DB!X107</f>
        <v>0</v>
      </c>
      <c r="AF107" s="22">
        <f>+DB!Y107</f>
        <v>0</v>
      </c>
      <c r="AG107">
        <f>+DB!AK107</f>
        <v>0</v>
      </c>
    </row>
    <row r="108" spans="1:33" x14ac:dyDescent="0.2">
      <c r="A108">
        <f>+DB!C108</f>
        <v>25</v>
      </c>
      <c r="B108" t="str">
        <f>+DB!D108</f>
        <v>PS1-0</v>
      </c>
      <c r="C108">
        <f>+DB!E108</f>
        <v>0</v>
      </c>
      <c r="D108">
        <f t="shared" si="3"/>
        <v>0</v>
      </c>
      <c r="E108">
        <f>+DB!G108</f>
        <v>4383.3999999999996</v>
      </c>
      <c r="F108">
        <f>+DB!H108</f>
        <v>265.64</v>
      </c>
      <c r="G108">
        <f>+DB!N108</f>
        <v>196.72</v>
      </c>
      <c r="H108">
        <f>+DB!O108</f>
        <v>219.28</v>
      </c>
      <c r="I108">
        <f>+DB!I108</f>
        <v>0</v>
      </c>
      <c r="J108" t="str">
        <f>+DB!J108</f>
        <v>0°</v>
      </c>
      <c r="K108">
        <f>+DB!L108</f>
        <v>1</v>
      </c>
      <c r="L108" t="str">
        <f t="shared" si="4"/>
        <v>13</v>
      </c>
      <c r="M108" t="str">
        <f>+IF(LEFT(DB!M108,3)="13/","CAC","MAD")</f>
        <v>CAC</v>
      </c>
      <c r="N108" t="str">
        <f>+RIGHT(DB!M108,6)</f>
        <v>13/200</v>
      </c>
      <c r="O108">
        <v>95</v>
      </c>
      <c r="P108">
        <v>5</v>
      </c>
      <c r="Q108">
        <f>+DB!AB108</f>
        <v>0</v>
      </c>
      <c r="R108">
        <f>+DB!K108</f>
        <v>143.72</v>
      </c>
      <c r="S108" t="str">
        <f>+DB!F108</f>
        <v>AAAC-35</v>
      </c>
      <c r="T108">
        <f>+IF(DB!F108="AAAC-35",1,3)</f>
        <v>1</v>
      </c>
      <c r="U108">
        <f>+DB!R108</f>
        <v>0</v>
      </c>
      <c r="V108">
        <f>+IF(DB!P108="1RI",1,0)+IF(DB!P108="2RI",2,0)</f>
        <v>0</v>
      </c>
      <c r="W108">
        <f>+IF(DB!P108="1RV",1,0)+IF(DB!P108="2RV",2,0)</f>
        <v>0</v>
      </c>
      <c r="X108">
        <f>+IF(DB!P108="RYI",1,0)</f>
        <v>0</v>
      </c>
      <c r="Y108">
        <f>+IF(DB!P108="RYV",1,0)</f>
        <v>0</v>
      </c>
      <c r="Z108" t="str">
        <f>+DB!U108</f>
        <v>PAT-0</v>
      </c>
      <c r="AA108">
        <f>+IF(DB!F108="AAAC-35",19.5,33)</f>
        <v>19.5</v>
      </c>
      <c r="AB108" t="str">
        <f>+DB!V108</f>
        <v>CIM3</v>
      </c>
      <c r="AC108" t="str">
        <f t="shared" si="5"/>
        <v>56-4</v>
      </c>
      <c r="AD108" s="21" t="s">
        <v>72</v>
      </c>
      <c r="AE108">
        <f>+DB!X108</f>
        <v>0</v>
      </c>
      <c r="AF108" s="22">
        <f>+DB!Y108</f>
        <v>0</v>
      </c>
      <c r="AG108">
        <f>+DB!AK108</f>
        <v>0</v>
      </c>
    </row>
    <row r="109" spans="1:33" x14ac:dyDescent="0.2">
      <c r="A109">
        <f>+DB!C109</f>
        <v>26</v>
      </c>
      <c r="B109" t="str">
        <f>+DB!D109</f>
        <v>PS1-0</v>
      </c>
      <c r="C109">
        <f>+DB!E109</f>
        <v>0</v>
      </c>
      <c r="D109">
        <f t="shared" si="3"/>
        <v>0</v>
      </c>
      <c r="E109">
        <f>+DB!G109</f>
        <v>4527.13</v>
      </c>
      <c r="F109">
        <f>+DB!H109</f>
        <v>271.5</v>
      </c>
      <c r="G109">
        <f>+DB!N109</f>
        <v>316.99</v>
      </c>
      <c r="H109">
        <f>+DB!O109</f>
        <v>164.74</v>
      </c>
      <c r="I109">
        <f>+DB!I109</f>
        <v>0</v>
      </c>
      <c r="J109" t="str">
        <f>+DB!J109</f>
        <v>0°</v>
      </c>
      <c r="K109">
        <f>+DB!L109</f>
        <v>1</v>
      </c>
      <c r="L109" t="str">
        <f t="shared" si="4"/>
        <v>13</v>
      </c>
      <c r="M109" t="str">
        <f>+IF(LEFT(DB!M109,3)="13/","CAC","MAD")</f>
        <v>CAC</v>
      </c>
      <c r="N109" t="str">
        <f>+RIGHT(DB!M109,6)</f>
        <v>13/200</v>
      </c>
      <c r="O109">
        <v>95</v>
      </c>
      <c r="P109">
        <v>5</v>
      </c>
      <c r="Q109">
        <f>+DB!AB109</f>
        <v>0</v>
      </c>
      <c r="R109">
        <f>+DB!K109</f>
        <v>185.75</v>
      </c>
      <c r="S109" t="str">
        <f>+DB!F109</f>
        <v>AAAC-35</v>
      </c>
      <c r="T109">
        <f>+IF(DB!F109="AAAC-35",1,3)</f>
        <v>1</v>
      </c>
      <c r="U109">
        <f>+DB!R109</f>
        <v>0</v>
      </c>
      <c r="V109">
        <f>+IF(DB!P109="1RI",1,0)+IF(DB!P109="2RI",2,0)</f>
        <v>0</v>
      </c>
      <c r="W109">
        <f>+IF(DB!P109="1RV",1,0)+IF(DB!P109="2RV",2,0)</f>
        <v>0</v>
      </c>
      <c r="X109">
        <f>+IF(DB!P109="RYI",1,0)</f>
        <v>0</v>
      </c>
      <c r="Y109">
        <f>+IF(DB!P109="RYV",1,0)</f>
        <v>0</v>
      </c>
      <c r="Z109" t="str">
        <f>+DB!U109</f>
        <v>PAT-0</v>
      </c>
      <c r="AA109">
        <f>+IF(DB!F109="AAAC-35",19.5,33)</f>
        <v>19.5</v>
      </c>
      <c r="AB109" t="str">
        <f>+DB!V109</f>
        <v>CIM3</v>
      </c>
      <c r="AC109" t="str">
        <f t="shared" si="5"/>
        <v>56-4</v>
      </c>
      <c r="AD109" s="21" t="s">
        <v>72</v>
      </c>
      <c r="AE109">
        <f>+DB!X109</f>
        <v>0</v>
      </c>
      <c r="AF109" s="22">
        <f>+DB!Y109</f>
        <v>0</v>
      </c>
      <c r="AG109">
        <f>+DB!AK109</f>
        <v>0</v>
      </c>
    </row>
    <row r="110" spans="1:33" x14ac:dyDescent="0.2">
      <c r="A110">
        <f>+DB!C110</f>
        <v>27</v>
      </c>
      <c r="B110" t="str">
        <f>+DB!D110</f>
        <v>PR3-0</v>
      </c>
      <c r="C110">
        <f>+DB!E110</f>
        <v>0</v>
      </c>
      <c r="D110">
        <f t="shared" si="3"/>
        <v>0</v>
      </c>
      <c r="E110">
        <f>+DB!G110</f>
        <v>4712.88</v>
      </c>
      <c r="F110">
        <f>+DB!H110</f>
        <v>257.18</v>
      </c>
      <c r="G110">
        <f>+DB!N110</f>
        <v>74.59</v>
      </c>
      <c r="H110">
        <f>+DB!O110</f>
        <v>237.28</v>
      </c>
      <c r="I110" t="str">
        <f>+DB!I110</f>
        <v>v5</v>
      </c>
      <c r="J110" t="str">
        <f>+DB!J110</f>
        <v>33°42'24.53"</v>
      </c>
      <c r="K110">
        <f>+DB!L110</f>
        <v>1</v>
      </c>
      <c r="L110" t="str">
        <f t="shared" si="4"/>
        <v>13</v>
      </c>
      <c r="M110" t="str">
        <f>+IF(LEFT(DB!M110,3)="13/","CAC","MAD")</f>
        <v>CAC</v>
      </c>
      <c r="N110" t="str">
        <f>+RIGHT(DB!M110,6)</f>
        <v>13/300</v>
      </c>
      <c r="O110">
        <v>95</v>
      </c>
      <c r="P110">
        <v>5</v>
      </c>
      <c r="Q110">
        <f>+DB!AB110</f>
        <v>0</v>
      </c>
      <c r="R110">
        <f>+DB!K110</f>
        <v>288.82</v>
      </c>
      <c r="S110" t="str">
        <f>+DB!F110</f>
        <v>AAAC-35</v>
      </c>
      <c r="T110">
        <f>+IF(DB!F110="AAAC-35",1,3)</f>
        <v>1</v>
      </c>
      <c r="U110">
        <f>+DB!R110</f>
        <v>0</v>
      </c>
      <c r="V110">
        <f>+IF(DB!P110="1RI",1,0)+IF(DB!P110="2RI",2,0)</f>
        <v>2</v>
      </c>
      <c r="W110">
        <f>+IF(DB!P110="1RV",1,0)+IF(DB!P110="2RV",2,0)</f>
        <v>0</v>
      </c>
      <c r="X110">
        <f>+IF(DB!P110="RYI",1,0)</f>
        <v>0</v>
      </c>
      <c r="Y110">
        <f>+IF(DB!P110="RYV",1,0)</f>
        <v>0</v>
      </c>
      <c r="Z110" t="str">
        <f>+DB!U110</f>
        <v>PAT-0</v>
      </c>
      <c r="AA110">
        <f>+IF(DB!F110="AAAC-35",19.5,33)</f>
        <v>19.5</v>
      </c>
      <c r="AB110" t="str">
        <f>+DB!V110</f>
        <v>CIM3</v>
      </c>
      <c r="AC110" t="str">
        <f t="shared" si="5"/>
        <v>56-4</v>
      </c>
      <c r="AD110" s="21" t="s">
        <v>72</v>
      </c>
      <c r="AE110">
        <f>+DB!X110</f>
        <v>0</v>
      </c>
      <c r="AF110" s="22">
        <f>+DB!Y110</f>
        <v>0</v>
      </c>
      <c r="AG110">
        <f>+DB!AK110</f>
        <v>0</v>
      </c>
    </row>
    <row r="111" spans="1:33" x14ac:dyDescent="0.2">
      <c r="A111">
        <f>+DB!C111</f>
        <v>28</v>
      </c>
      <c r="B111" t="str">
        <f>+DB!D111</f>
        <v>PS1-0</v>
      </c>
      <c r="C111">
        <f>+DB!E111</f>
        <v>0</v>
      </c>
      <c r="D111">
        <f t="shared" si="3"/>
        <v>0</v>
      </c>
      <c r="E111">
        <f>+DB!G111</f>
        <v>5001.6899999999996</v>
      </c>
      <c r="F111">
        <f>+DB!H111</f>
        <v>267.3</v>
      </c>
      <c r="G111">
        <f>+DB!N111</f>
        <v>421.02</v>
      </c>
      <c r="H111">
        <f>+DB!O111</f>
        <v>257.55</v>
      </c>
      <c r="I111">
        <f>+DB!I111</f>
        <v>0</v>
      </c>
      <c r="J111" t="str">
        <f>+DB!J111</f>
        <v>0°</v>
      </c>
      <c r="K111">
        <f>+DB!L111</f>
        <v>1</v>
      </c>
      <c r="L111" t="str">
        <f t="shared" si="4"/>
        <v>13</v>
      </c>
      <c r="M111" t="str">
        <f>+IF(LEFT(DB!M111,3)="13/","CAC","MAD")</f>
        <v>CAC</v>
      </c>
      <c r="N111" t="str">
        <f>+RIGHT(DB!M111,6)</f>
        <v>13/200</v>
      </c>
      <c r="O111">
        <v>95</v>
      </c>
      <c r="P111">
        <v>5</v>
      </c>
      <c r="Q111">
        <f>+DB!AB111</f>
        <v>0</v>
      </c>
      <c r="R111">
        <f>+DB!K111</f>
        <v>226.28</v>
      </c>
      <c r="S111" t="str">
        <f>+DB!F111</f>
        <v>AAAC-35</v>
      </c>
      <c r="T111">
        <f>+IF(DB!F111="AAAC-35",1,3)</f>
        <v>1</v>
      </c>
      <c r="U111">
        <f>+DB!R111</f>
        <v>0</v>
      </c>
      <c r="V111">
        <f>+IF(DB!P111="1RI",1,0)+IF(DB!P111="2RI",2,0)</f>
        <v>0</v>
      </c>
      <c r="W111">
        <f>+IF(DB!P111="1RV",1,0)+IF(DB!P111="2RV",2,0)</f>
        <v>0</v>
      </c>
      <c r="X111">
        <f>+IF(DB!P111="RYI",1,0)</f>
        <v>0</v>
      </c>
      <c r="Y111">
        <f>+IF(DB!P111="RYV",1,0)</f>
        <v>0</v>
      </c>
      <c r="Z111" t="str">
        <f>+DB!U111</f>
        <v>PAT-0</v>
      </c>
      <c r="AA111">
        <f>+IF(DB!F111="AAAC-35",19.5,33)</f>
        <v>19.5</v>
      </c>
      <c r="AB111" t="str">
        <f>+DB!V111</f>
        <v>CIM3</v>
      </c>
      <c r="AC111" t="str">
        <f t="shared" si="5"/>
        <v>56-4</v>
      </c>
      <c r="AD111" s="21" t="s">
        <v>72</v>
      </c>
      <c r="AE111">
        <f>+DB!X111</f>
        <v>0</v>
      </c>
      <c r="AF111" s="22">
        <f>+DB!Y111</f>
        <v>0</v>
      </c>
      <c r="AG111">
        <f>+DB!AK111</f>
        <v>0</v>
      </c>
    </row>
    <row r="112" spans="1:33" x14ac:dyDescent="0.2">
      <c r="A112">
        <f>+DB!C112</f>
        <v>29</v>
      </c>
      <c r="B112" t="str">
        <f>+DB!D112</f>
        <v>PS1-0</v>
      </c>
      <c r="C112">
        <f>+DB!E112</f>
        <v>0</v>
      </c>
      <c r="D112">
        <f t="shared" si="3"/>
        <v>0</v>
      </c>
      <c r="E112">
        <f>+DB!G112</f>
        <v>5227.97</v>
      </c>
      <c r="F112">
        <f>+DB!H112</f>
        <v>250.98</v>
      </c>
      <c r="G112">
        <f>+DB!N112</f>
        <v>146.86000000000001</v>
      </c>
      <c r="H112">
        <f>+DB!O112</f>
        <v>311</v>
      </c>
      <c r="I112">
        <f>+DB!I112</f>
        <v>0</v>
      </c>
      <c r="J112" t="str">
        <f>+DB!J112</f>
        <v>0°</v>
      </c>
      <c r="K112">
        <f>+DB!L112</f>
        <v>1</v>
      </c>
      <c r="L112" t="str">
        <f t="shared" si="4"/>
        <v>13</v>
      </c>
      <c r="M112" t="str">
        <f>+IF(LEFT(DB!M112,3)="13/","CAC","MAD")</f>
        <v>CAC</v>
      </c>
      <c r="N112" t="str">
        <f>+RIGHT(DB!M112,6)</f>
        <v>13/200</v>
      </c>
      <c r="O112">
        <v>95</v>
      </c>
      <c r="P112">
        <v>5</v>
      </c>
      <c r="Q112">
        <f>+DB!AB112</f>
        <v>0</v>
      </c>
      <c r="R112">
        <f>+DB!K112</f>
        <v>395.73</v>
      </c>
      <c r="S112" t="str">
        <f>+DB!F112</f>
        <v>AAAC-35</v>
      </c>
      <c r="T112">
        <f>+IF(DB!F112="AAAC-35",1,3)</f>
        <v>1</v>
      </c>
      <c r="U112">
        <f>+DB!R112</f>
        <v>2</v>
      </c>
      <c r="V112">
        <f>+IF(DB!P112="1RI",1,0)+IF(DB!P112="2RI",2,0)</f>
        <v>0</v>
      </c>
      <c r="W112">
        <f>+IF(DB!P112="1RV",1,0)+IF(DB!P112="2RV",2,0)</f>
        <v>0</v>
      </c>
      <c r="X112">
        <f>+IF(DB!P112="RYI",1,0)</f>
        <v>0</v>
      </c>
      <c r="Y112">
        <f>+IF(DB!P112="RYV",1,0)</f>
        <v>0</v>
      </c>
      <c r="Z112" t="str">
        <f>+DB!U112</f>
        <v>PAT-0</v>
      </c>
      <c r="AA112">
        <f>+IF(DB!F112="AAAC-35",19.5,33)</f>
        <v>19.5</v>
      </c>
      <c r="AB112" t="str">
        <f>+DB!V112</f>
        <v>CIM3</v>
      </c>
      <c r="AC112" t="str">
        <f t="shared" si="5"/>
        <v>56-4</v>
      </c>
      <c r="AD112" s="21" t="s">
        <v>72</v>
      </c>
      <c r="AE112">
        <f>+DB!X112</f>
        <v>0</v>
      </c>
      <c r="AF112" s="22">
        <f>+DB!Y112</f>
        <v>0</v>
      </c>
      <c r="AG112">
        <f>+DB!AK112</f>
        <v>0</v>
      </c>
    </row>
    <row r="113" spans="1:33" x14ac:dyDescent="0.2">
      <c r="A113">
        <f>+DB!C113</f>
        <v>30</v>
      </c>
      <c r="B113" t="str">
        <f>+DB!D113</f>
        <v>PS1-0</v>
      </c>
      <c r="C113">
        <f>+DB!E113</f>
        <v>0</v>
      </c>
      <c r="D113">
        <f t="shared" si="3"/>
        <v>0</v>
      </c>
      <c r="E113">
        <f>+DB!G113</f>
        <v>5623.7</v>
      </c>
      <c r="F113">
        <f>+DB!H113</f>
        <v>264.74</v>
      </c>
      <c r="G113">
        <f>+DB!N113</f>
        <v>452.08</v>
      </c>
      <c r="H113">
        <f>+DB!O113</f>
        <v>318.06</v>
      </c>
      <c r="I113">
        <f>+DB!I113</f>
        <v>0</v>
      </c>
      <c r="J113" t="str">
        <f>+DB!J113</f>
        <v>0°</v>
      </c>
      <c r="K113">
        <f>+DB!L113</f>
        <v>1</v>
      </c>
      <c r="L113" t="str">
        <f t="shared" si="4"/>
        <v>13</v>
      </c>
      <c r="M113" t="str">
        <f>+IF(LEFT(DB!M113,3)="13/","CAC","MAD")</f>
        <v>CAC</v>
      </c>
      <c r="N113" t="str">
        <f>+RIGHT(DB!M113,6)</f>
        <v>13/200</v>
      </c>
      <c r="O113">
        <v>95</v>
      </c>
      <c r="P113">
        <v>5</v>
      </c>
      <c r="Q113">
        <f>+DB!AB113</f>
        <v>0</v>
      </c>
      <c r="R113">
        <f>+DB!K113</f>
        <v>240.4</v>
      </c>
      <c r="S113" t="str">
        <f>+DB!F113</f>
        <v>AAAC-35</v>
      </c>
      <c r="T113">
        <f>+IF(DB!F113="AAAC-35",1,3)</f>
        <v>1</v>
      </c>
      <c r="U113">
        <f>+DB!R113</f>
        <v>0</v>
      </c>
      <c r="V113">
        <f>+IF(DB!P113="1RI",1,0)+IF(DB!P113="2RI",2,0)</f>
        <v>0</v>
      </c>
      <c r="W113">
        <f>+IF(DB!P113="1RV",1,0)+IF(DB!P113="2RV",2,0)</f>
        <v>0</v>
      </c>
      <c r="X113">
        <f>+IF(DB!P113="RYI",1,0)</f>
        <v>0</v>
      </c>
      <c r="Y113">
        <f>+IF(DB!P113="RYV",1,0)</f>
        <v>0</v>
      </c>
      <c r="Z113" t="str">
        <f>+DB!U113</f>
        <v>PAT-0</v>
      </c>
      <c r="AA113">
        <f>+IF(DB!F113="AAAC-35",19.5,33)</f>
        <v>19.5</v>
      </c>
      <c r="AB113" t="str">
        <f>+DB!V113</f>
        <v>CIM3</v>
      </c>
      <c r="AC113" t="str">
        <f t="shared" si="5"/>
        <v>56-4</v>
      </c>
      <c r="AD113" s="21" t="s">
        <v>72</v>
      </c>
      <c r="AE113">
        <f>+DB!X113</f>
        <v>0</v>
      </c>
      <c r="AF113" s="22">
        <f>+DB!Y113</f>
        <v>0</v>
      </c>
      <c r="AG113">
        <f>+DB!AK113</f>
        <v>0</v>
      </c>
    </row>
    <row r="114" spans="1:33" x14ac:dyDescent="0.2">
      <c r="A114">
        <f>+DB!C114</f>
        <v>31</v>
      </c>
      <c r="B114" t="str">
        <f>+DB!D114</f>
        <v>PS1-0</v>
      </c>
      <c r="C114">
        <f>+DB!E114</f>
        <v>0</v>
      </c>
      <c r="D114">
        <f t="shared" si="3"/>
        <v>0</v>
      </c>
      <c r="E114">
        <f>+DB!G114</f>
        <v>5864.1</v>
      </c>
      <c r="F114">
        <f>+DB!H114</f>
        <v>252.99</v>
      </c>
      <c r="G114">
        <f>+DB!N114</f>
        <v>65.62</v>
      </c>
      <c r="H114">
        <f>+DB!O114</f>
        <v>257.12</v>
      </c>
      <c r="I114">
        <f>+DB!I114</f>
        <v>0</v>
      </c>
      <c r="J114" t="str">
        <f>+DB!J114</f>
        <v>0°</v>
      </c>
      <c r="K114">
        <f>+DB!L114</f>
        <v>1</v>
      </c>
      <c r="L114" t="str">
        <f t="shared" si="4"/>
        <v>13</v>
      </c>
      <c r="M114" t="str">
        <f>+IF(LEFT(DB!M114,3)="13/","CAC","MAD")</f>
        <v>CAC</v>
      </c>
      <c r="N114" t="str">
        <f>+RIGHT(DB!M114,6)</f>
        <v>13/200</v>
      </c>
      <c r="O114">
        <v>95</v>
      </c>
      <c r="P114">
        <v>5</v>
      </c>
      <c r="Q114">
        <f>+DB!AB114</f>
        <v>0</v>
      </c>
      <c r="R114">
        <f>+DB!K114</f>
        <v>273.85000000000002</v>
      </c>
      <c r="S114" t="str">
        <f>+DB!F114</f>
        <v>AAAC-35</v>
      </c>
      <c r="T114">
        <f>+IF(DB!F114="AAAC-35",1,3)</f>
        <v>1</v>
      </c>
      <c r="U114">
        <f>+DB!R114</f>
        <v>0</v>
      </c>
      <c r="V114">
        <f>+IF(DB!P114="1RI",1,0)+IF(DB!P114="2RI",2,0)</f>
        <v>0</v>
      </c>
      <c r="W114">
        <f>+IF(DB!P114="1RV",1,0)+IF(DB!P114="2RV",2,0)</f>
        <v>0</v>
      </c>
      <c r="X114">
        <f>+IF(DB!P114="RYI",1,0)</f>
        <v>0</v>
      </c>
      <c r="Y114">
        <f>+IF(DB!P114="RYV",1,0)</f>
        <v>0</v>
      </c>
      <c r="Z114" t="str">
        <f>+DB!U114</f>
        <v>PAT-0</v>
      </c>
      <c r="AA114">
        <f>+IF(DB!F114="AAAC-35",19.5,33)</f>
        <v>19.5</v>
      </c>
      <c r="AB114" t="str">
        <f>+DB!V114</f>
        <v>CIM3</v>
      </c>
      <c r="AC114" t="str">
        <f t="shared" si="5"/>
        <v>56-4</v>
      </c>
      <c r="AD114" s="21" t="s">
        <v>72</v>
      </c>
      <c r="AE114">
        <f>+DB!X114</f>
        <v>0</v>
      </c>
      <c r="AF114" s="22">
        <f>+DB!Y114</f>
        <v>0</v>
      </c>
      <c r="AG114">
        <f>+DB!AK114</f>
        <v>0</v>
      </c>
    </row>
    <row r="115" spans="1:33" x14ac:dyDescent="0.2">
      <c r="A115">
        <f>+DB!C115</f>
        <v>32</v>
      </c>
      <c r="B115" t="str">
        <f>+DB!D115</f>
        <v>PS1-0</v>
      </c>
      <c r="C115">
        <f>+DB!E115</f>
        <v>0</v>
      </c>
      <c r="D115">
        <f t="shared" si="3"/>
        <v>0</v>
      </c>
      <c r="E115">
        <f>+DB!G115</f>
        <v>6137.94</v>
      </c>
      <c r="F115">
        <f>+DB!H115</f>
        <v>273.99</v>
      </c>
      <c r="G115">
        <f>+DB!N115</f>
        <v>335.67</v>
      </c>
      <c r="H115">
        <f>+DB!O115</f>
        <v>200.08</v>
      </c>
      <c r="I115">
        <f>+DB!I115</f>
        <v>0</v>
      </c>
      <c r="J115" t="str">
        <f>+DB!J115</f>
        <v>0°</v>
      </c>
      <c r="K115">
        <f>+DB!L115</f>
        <v>1</v>
      </c>
      <c r="L115" t="str">
        <f t="shared" si="4"/>
        <v>13</v>
      </c>
      <c r="M115" t="str">
        <f>+IF(LEFT(DB!M115,3)="13/","CAC","MAD")</f>
        <v>CAC</v>
      </c>
      <c r="N115" t="str">
        <f>+RIGHT(DB!M115,6)</f>
        <v>13/200</v>
      </c>
      <c r="O115">
        <v>95</v>
      </c>
      <c r="P115">
        <v>5</v>
      </c>
      <c r="Q115">
        <f>+DB!AB115</f>
        <v>0</v>
      </c>
      <c r="R115">
        <f>+DB!K115</f>
        <v>126.31</v>
      </c>
      <c r="S115" t="str">
        <f>+DB!F115</f>
        <v>AAAC-35</v>
      </c>
      <c r="T115">
        <f>+IF(DB!F115="AAAC-35",1,3)</f>
        <v>1</v>
      </c>
      <c r="U115">
        <f>+DB!R115</f>
        <v>0</v>
      </c>
      <c r="V115">
        <f>+IF(DB!P115="1RI",1,0)+IF(DB!P115="2RI",2,0)</f>
        <v>0</v>
      </c>
      <c r="W115">
        <f>+IF(DB!P115="1RV",1,0)+IF(DB!P115="2RV",2,0)</f>
        <v>0</v>
      </c>
      <c r="X115">
        <f>+IF(DB!P115="RYI",1,0)</f>
        <v>0</v>
      </c>
      <c r="Y115">
        <f>+IF(DB!P115="RYV",1,0)</f>
        <v>0</v>
      </c>
      <c r="Z115" t="str">
        <f>+DB!U115</f>
        <v>PAT-0</v>
      </c>
      <c r="AA115">
        <f>+IF(DB!F115="AAAC-35",19.5,33)</f>
        <v>19.5</v>
      </c>
      <c r="AB115" t="str">
        <f>+DB!V115</f>
        <v>CIM3</v>
      </c>
      <c r="AC115" t="str">
        <f t="shared" si="5"/>
        <v>56-4</v>
      </c>
      <c r="AD115" s="21" t="s">
        <v>72</v>
      </c>
      <c r="AE115">
        <f>+DB!X115</f>
        <v>0</v>
      </c>
      <c r="AF115" s="22">
        <f>+DB!Y115</f>
        <v>0</v>
      </c>
      <c r="AG115">
        <f>+DB!AK115</f>
        <v>0</v>
      </c>
    </row>
    <row r="116" spans="1:33" x14ac:dyDescent="0.2">
      <c r="A116">
        <f>+DB!C116</f>
        <v>33</v>
      </c>
      <c r="B116" t="str">
        <f>+DB!D116</f>
        <v>PA3-0</v>
      </c>
      <c r="C116">
        <f>+DB!E116</f>
        <v>0</v>
      </c>
      <c r="D116">
        <f t="shared" si="3"/>
        <v>0</v>
      </c>
      <c r="E116">
        <f>+DB!G116</f>
        <v>6264.25</v>
      </c>
      <c r="F116">
        <f>+DB!H116</f>
        <v>272.60000000000002</v>
      </c>
      <c r="G116">
        <f>+DB!N116</f>
        <v>97.99</v>
      </c>
      <c r="H116">
        <f>+DB!O116</f>
        <v>154.9</v>
      </c>
      <c r="I116" t="str">
        <f>+DB!I116</f>
        <v>v6</v>
      </c>
      <c r="J116" t="str">
        <f>+DB!J116</f>
        <v>69°0'22.91"</v>
      </c>
      <c r="K116">
        <f>+DB!L116</f>
        <v>1</v>
      </c>
      <c r="L116" t="str">
        <f t="shared" si="4"/>
        <v>13</v>
      </c>
      <c r="M116" t="str">
        <f>+IF(LEFT(DB!M116,3)="13/","CAC","MAD")</f>
        <v>CAC</v>
      </c>
      <c r="N116" t="str">
        <f>+RIGHT(DB!M116,6)</f>
        <v>13/300</v>
      </c>
      <c r="O116">
        <v>95</v>
      </c>
      <c r="P116">
        <v>5</v>
      </c>
      <c r="Q116">
        <f>+DB!AB116</f>
        <v>0</v>
      </c>
      <c r="R116">
        <f>+DB!K116</f>
        <v>183.49</v>
      </c>
      <c r="S116" t="str">
        <f>+DB!F116</f>
        <v>AAAC-35</v>
      </c>
      <c r="T116">
        <f>+IF(DB!F116="AAAC-35",1,3)</f>
        <v>1</v>
      </c>
      <c r="U116">
        <f>+DB!R116</f>
        <v>0</v>
      </c>
      <c r="V116">
        <f>+IF(DB!P116="1RI",1,0)+IF(DB!P116="2RI",2,0)</f>
        <v>2</v>
      </c>
      <c r="W116">
        <f>+IF(DB!P116="1RV",1,0)+IF(DB!P116="2RV",2,0)</f>
        <v>0</v>
      </c>
      <c r="X116">
        <f>+IF(DB!P116="RYI",1,0)</f>
        <v>0</v>
      </c>
      <c r="Y116">
        <f>+IF(DB!P116="RYV",1,0)</f>
        <v>0</v>
      </c>
      <c r="Z116" t="str">
        <f>+DB!U116</f>
        <v>PAT-0</v>
      </c>
      <c r="AA116">
        <f>+IF(DB!F116="AAAC-35",19.5,33)</f>
        <v>19.5</v>
      </c>
      <c r="AB116" t="str">
        <f>+DB!V116</f>
        <v>CIM3</v>
      </c>
      <c r="AC116" t="str">
        <f t="shared" si="5"/>
        <v>56-4</v>
      </c>
      <c r="AD116" s="21" t="s">
        <v>72</v>
      </c>
      <c r="AE116">
        <f>+DB!X116</f>
        <v>0</v>
      </c>
      <c r="AF116" s="22">
        <f>+DB!Y116</f>
        <v>0</v>
      </c>
      <c r="AG116">
        <f>+DB!AK116</f>
        <v>0</v>
      </c>
    </row>
    <row r="117" spans="1:33" x14ac:dyDescent="0.2">
      <c r="A117">
        <f>+DB!C117</f>
        <v>34</v>
      </c>
      <c r="B117" t="str">
        <f>+DB!D117</f>
        <v>PS1-0</v>
      </c>
      <c r="C117">
        <f>+DB!E117</f>
        <v>0</v>
      </c>
      <c r="D117">
        <f t="shared" si="3"/>
        <v>0</v>
      </c>
      <c r="E117">
        <f>+DB!G117</f>
        <v>6447.74</v>
      </c>
      <c r="F117">
        <f>+DB!H117</f>
        <v>277.98</v>
      </c>
      <c r="G117">
        <f>+DB!N117</f>
        <v>307.38</v>
      </c>
      <c r="H117">
        <f>+DB!O117</f>
        <v>206.22</v>
      </c>
      <c r="I117">
        <f>+DB!I117</f>
        <v>0</v>
      </c>
      <c r="J117" t="str">
        <f>+DB!J117</f>
        <v>0°</v>
      </c>
      <c r="K117">
        <f>+DB!L117</f>
        <v>1</v>
      </c>
      <c r="L117" t="str">
        <f t="shared" si="4"/>
        <v>13</v>
      </c>
      <c r="M117" t="str">
        <f>+IF(LEFT(DB!M117,3)="13/","CAC","MAD")</f>
        <v>CAC</v>
      </c>
      <c r="N117" t="str">
        <f>+RIGHT(DB!M117,6)</f>
        <v>13/200</v>
      </c>
      <c r="O117">
        <v>95</v>
      </c>
      <c r="P117">
        <v>5</v>
      </c>
      <c r="Q117">
        <f>+DB!AB117</f>
        <v>0</v>
      </c>
      <c r="R117">
        <f>+DB!K117</f>
        <v>228.94</v>
      </c>
      <c r="S117" t="str">
        <f>+DB!F117</f>
        <v>AAAC-35</v>
      </c>
      <c r="T117">
        <f>+IF(DB!F117="AAAC-35",1,3)</f>
        <v>1</v>
      </c>
      <c r="U117">
        <f>+DB!R117</f>
        <v>0</v>
      </c>
      <c r="V117">
        <f>+IF(DB!P117="1RI",1,0)+IF(DB!P117="2RI",2,0)</f>
        <v>0</v>
      </c>
      <c r="W117">
        <f>+IF(DB!P117="1RV",1,0)+IF(DB!P117="2RV",2,0)</f>
        <v>0</v>
      </c>
      <c r="X117">
        <f>+IF(DB!P117="RYI",1,0)</f>
        <v>0</v>
      </c>
      <c r="Y117">
        <f>+IF(DB!P117="RYV",1,0)</f>
        <v>0</v>
      </c>
      <c r="Z117" t="str">
        <f>+DB!U117</f>
        <v>PAT-0</v>
      </c>
      <c r="AA117">
        <f>+IF(DB!F117="AAAC-35",19.5,33)</f>
        <v>19.5</v>
      </c>
      <c r="AB117" t="str">
        <f>+DB!V117</f>
        <v>CIM3</v>
      </c>
      <c r="AC117" t="str">
        <f t="shared" si="5"/>
        <v>56-4</v>
      </c>
      <c r="AD117" s="21" t="s">
        <v>72</v>
      </c>
      <c r="AE117">
        <f>+DB!X117</f>
        <v>0</v>
      </c>
      <c r="AF117" s="22">
        <f>+DB!Y117</f>
        <v>0</v>
      </c>
      <c r="AG117">
        <f>+DB!AK117</f>
        <v>0</v>
      </c>
    </row>
    <row r="118" spans="1:33" x14ac:dyDescent="0.2">
      <c r="A118">
        <f>+DB!C118</f>
        <v>35</v>
      </c>
      <c r="B118" t="str">
        <f>+DB!D118</f>
        <v>PS1-0</v>
      </c>
      <c r="C118">
        <f>+DB!E118</f>
        <v>0</v>
      </c>
      <c r="D118">
        <f t="shared" si="3"/>
        <v>0</v>
      </c>
      <c r="E118">
        <f>+DB!G118</f>
        <v>6676.68</v>
      </c>
      <c r="F118">
        <f>+DB!H118</f>
        <v>268.7</v>
      </c>
      <c r="G118">
        <f>+DB!N118</f>
        <v>225.8</v>
      </c>
      <c r="H118">
        <f>+DB!O118</f>
        <v>263.12</v>
      </c>
      <c r="I118">
        <f>+DB!I118</f>
        <v>0</v>
      </c>
      <c r="J118" t="str">
        <f>+DB!J118</f>
        <v>0°</v>
      </c>
      <c r="K118">
        <f>+DB!L118</f>
        <v>1</v>
      </c>
      <c r="L118" t="str">
        <f t="shared" si="4"/>
        <v>13</v>
      </c>
      <c r="M118" t="str">
        <f>+IF(LEFT(DB!M118,3)="13/","CAC","MAD")</f>
        <v>CAC</v>
      </c>
      <c r="N118" t="str">
        <f>+RIGHT(DB!M118,6)</f>
        <v>13/200</v>
      </c>
      <c r="O118">
        <v>95</v>
      </c>
      <c r="P118">
        <v>5</v>
      </c>
      <c r="Q118">
        <f>+DB!AB118</f>
        <v>0</v>
      </c>
      <c r="R118">
        <f>+DB!K118</f>
        <v>297.3</v>
      </c>
      <c r="S118" t="str">
        <f>+DB!F118</f>
        <v>AAAC-35</v>
      </c>
      <c r="T118">
        <f>+IF(DB!F118="AAAC-35",1,3)</f>
        <v>1</v>
      </c>
      <c r="U118">
        <f>+DB!R118</f>
        <v>0</v>
      </c>
      <c r="V118">
        <f>+IF(DB!P118="1RI",1,0)+IF(DB!P118="2RI",2,0)</f>
        <v>0</v>
      </c>
      <c r="W118">
        <f>+IF(DB!P118="1RV",1,0)+IF(DB!P118="2RV",2,0)</f>
        <v>0</v>
      </c>
      <c r="X118">
        <f>+IF(DB!P118="RYI",1,0)</f>
        <v>0</v>
      </c>
      <c r="Y118">
        <f>+IF(DB!P118="RYV",1,0)</f>
        <v>0</v>
      </c>
      <c r="Z118" t="str">
        <f>+DB!U118</f>
        <v>PAT-0</v>
      </c>
      <c r="AA118">
        <f>+IF(DB!F118="AAAC-35",19.5,33)</f>
        <v>19.5</v>
      </c>
      <c r="AB118" t="str">
        <f>+DB!V118</f>
        <v>CIM3</v>
      </c>
      <c r="AC118" t="str">
        <f t="shared" si="5"/>
        <v>56-4</v>
      </c>
      <c r="AD118" s="21" t="s">
        <v>72</v>
      </c>
      <c r="AE118">
        <f>+DB!X118</f>
        <v>0</v>
      </c>
      <c r="AF118" s="22">
        <f>+DB!Y118</f>
        <v>0</v>
      </c>
      <c r="AG118">
        <f>+DB!AK118</f>
        <v>0</v>
      </c>
    </row>
    <row r="119" spans="1:33" x14ac:dyDescent="0.2">
      <c r="A119">
        <f>+DB!C119</f>
        <v>36</v>
      </c>
      <c r="B119" t="str">
        <f>+DB!D119</f>
        <v>PS1-0</v>
      </c>
      <c r="C119">
        <f>+DB!E119</f>
        <v>0</v>
      </c>
      <c r="D119">
        <f t="shared" si="3"/>
        <v>0</v>
      </c>
      <c r="E119">
        <f>+DB!G119</f>
        <v>6973.98</v>
      </c>
      <c r="F119">
        <f>+DB!H119</f>
        <v>264.76</v>
      </c>
      <c r="G119">
        <f>+DB!N119</f>
        <v>145.41999999999999</v>
      </c>
      <c r="H119">
        <f>+DB!O119</f>
        <v>208.73</v>
      </c>
      <c r="I119">
        <f>+DB!I119</f>
        <v>0</v>
      </c>
      <c r="J119" t="str">
        <f>+DB!J119</f>
        <v>0°</v>
      </c>
      <c r="K119">
        <f>+DB!L119</f>
        <v>1</v>
      </c>
      <c r="L119" t="str">
        <f t="shared" si="4"/>
        <v>13</v>
      </c>
      <c r="M119" t="str">
        <f>+IF(LEFT(DB!M119,3)="13/","CAC","MAD")</f>
        <v>CAC</v>
      </c>
      <c r="N119" t="str">
        <f>+RIGHT(DB!M119,6)</f>
        <v>13/200</v>
      </c>
      <c r="O119">
        <v>95</v>
      </c>
      <c r="P119">
        <v>5</v>
      </c>
      <c r="Q119">
        <f>+DB!AB119</f>
        <v>0</v>
      </c>
      <c r="R119">
        <f>+DB!K119</f>
        <v>120.16</v>
      </c>
      <c r="S119" t="str">
        <f>+DB!F119</f>
        <v>AAAC-35</v>
      </c>
      <c r="T119">
        <f>+IF(DB!F119="AAAC-35",1,3)</f>
        <v>1</v>
      </c>
      <c r="U119">
        <f>+DB!R119</f>
        <v>0</v>
      </c>
      <c r="V119">
        <f>+IF(DB!P119="1RI",1,0)+IF(DB!P119="2RI",2,0)</f>
        <v>0</v>
      </c>
      <c r="W119">
        <f>+IF(DB!P119="1RV",1,0)+IF(DB!P119="2RV",2,0)</f>
        <v>0</v>
      </c>
      <c r="X119">
        <f>+IF(DB!P119="RYI",1,0)</f>
        <v>0</v>
      </c>
      <c r="Y119">
        <f>+IF(DB!P119="RYV",1,0)</f>
        <v>0</v>
      </c>
      <c r="Z119" t="str">
        <f>+DB!U119</f>
        <v>PAT-0</v>
      </c>
      <c r="AA119">
        <f>+IF(DB!F119="AAAC-35",19.5,33)</f>
        <v>19.5</v>
      </c>
      <c r="AB119" t="str">
        <f>+DB!V119</f>
        <v>CIM3</v>
      </c>
      <c r="AC119" t="str">
        <f t="shared" si="5"/>
        <v>56-4</v>
      </c>
      <c r="AD119" s="21" t="s">
        <v>72</v>
      </c>
      <c r="AE119">
        <f>+DB!X119</f>
        <v>0</v>
      </c>
      <c r="AF119" s="22">
        <f>+DB!Y119</f>
        <v>0</v>
      </c>
      <c r="AG119">
        <f>+DB!AK119</f>
        <v>0</v>
      </c>
    </row>
    <row r="120" spans="1:33" x14ac:dyDescent="0.2">
      <c r="A120">
        <f>+DB!C120</f>
        <v>37</v>
      </c>
      <c r="B120" t="str">
        <f>+DB!D120</f>
        <v>PA1-0</v>
      </c>
      <c r="C120">
        <f>+DB!E120</f>
        <v>0</v>
      </c>
      <c r="D120">
        <f t="shared" si="3"/>
        <v>0</v>
      </c>
      <c r="E120">
        <f>+DB!G120</f>
        <v>7094.14</v>
      </c>
      <c r="F120">
        <f>+DB!H120</f>
        <v>269.8</v>
      </c>
      <c r="G120">
        <f>+DB!N120</f>
        <v>345.57</v>
      </c>
      <c r="H120">
        <f>+DB!O120</f>
        <v>222.73</v>
      </c>
      <c r="I120" t="str">
        <f>+DB!I120</f>
        <v>v7</v>
      </c>
      <c r="J120" t="str">
        <f>+DB!J120</f>
        <v>20°42'57.20"</v>
      </c>
      <c r="K120">
        <f>+DB!L120</f>
        <v>1</v>
      </c>
      <c r="L120" t="str">
        <f t="shared" si="4"/>
        <v>13</v>
      </c>
      <c r="M120" t="str">
        <f>+IF(LEFT(DB!M120,3)="13/","CAC","MAD")</f>
        <v>CAC</v>
      </c>
      <c r="N120" t="str">
        <f>+RIGHT(DB!M120,6)</f>
        <v>13/200</v>
      </c>
      <c r="O120">
        <v>95</v>
      </c>
      <c r="P120">
        <v>5</v>
      </c>
      <c r="Q120">
        <f>+DB!AB120</f>
        <v>0</v>
      </c>
      <c r="R120">
        <f>+DB!K120</f>
        <v>325.31</v>
      </c>
      <c r="S120" t="str">
        <f>+DB!F120</f>
        <v>AAAC-35</v>
      </c>
      <c r="T120">
        <f>+IF(DB!F120="AAAC-35",1,3)</f>
        <v>1</v>
      </c>
      <c r="U120">
        <f>+DB!R120</f>
        <v>2</v>
      </c>
      <c r="V120">
        <f>+IF(DB!P120="1RI",1,0)+IF(DB!P120="2RI",2,0)</f>
        <v>1</v>
      </c>
      <c r="W120">
        <f>+IF(DB!P120="1RV",1,0)+IF(DB!P120="2RV",2,0)</f>
        <v>0</v>
      </c>
      <c r="X120">
        <f>+IF(DB!P120="RYI",1,0)</f>
        <v>0</v>
      </c>
      <c r="Y120">
        <f>+IF(DB!P120="RYV",1,0)</f>
        <v>0</v>
      </c>
      <c r="Z120" t="str">
        <f>+DB!U120</f>
        <v>PAT-0</v>
      </c>
      <c r="AA120">
        <f>+IF(DB!F120="AAAC-35",19.5,33)</f>
        <v>19.5</v>
      </c>
      <c r="AB120" t="str">
        <f>+DB!V120</f>
        <v>CIM3</v>
      </c>
      <c r="AC120" t="str">
        <f t="shared" si="5"/>
        <v>56-4</v>
      </c>
      <c r="AD120" s="21" t="s">
        <v>72</v>
      </c>
      <c r="AE120">
        <f>+DB!X120</f>
        <v>0</v>
      </c>
      <c r="AF120" s="22">
        <f>+DB!Y120</f>
        <v>0</v>
      </c>
      <c r="AG120">
        <f>+DB!AK120</f>
        <v>0</v>
      </c>
    </row>
    <row r="121" spans="1:33" x14ac:dyDescent="0.2">
      <c r="A121">
        <f>+DB!C121</f>
        <v>38</v>
      </c>
      <c r="B121" t="str">
        <f>+DB!D121</f>
        <v>PS1-0</v>
      </c>
      <c r="C121">
        <f>+DB!E121</f>
        <v>0</v>
      </c>
      <c r="D121">
        <f t="shared" si="3"/>
        <v>0</v>
      </c>
      <c r="E121">
        <f>+DB!G121</f>
        <v>7419.45</v>
      </c>
      <c r="F121">
        <f>+DB!H121</f>
        <v>254.05</v>
      </c>
      <c r="G121">
        <f>+DB!N121</f>
        <v>227.48</v>
      </c>
      <c r="H121">
        <f>+DB!O121</f>
        <v>234.77</v>
      </c>
      <c r="I121">
        <f>+DB!I121</f>
        <v>0</v>
      </c>
      <c r="J121" t="str">
        <f>+DB!J121</f>
        <v>0°</v>
      </c>
      <c r="K121">
        <f>+DB!L121</f>
        <v>1</v>
      </c>
      <c r="L121" t="str">
        <f t="shared" si="4"/>
        <v>13</v>
      </c>
      <c r="M121" t="str">
        <f>+IF(LEFT(DB!M121,3)="13/","CAC","MAD")</f>
        <v>CAC</v>
      </c>
      <c r="N121" t="str">
        <f>+RIGHT(DB!M121,6)</f>
        <v>13/200</v>
      </c>
      <c r="O121">
        <v>95</v>
      </c>
      <c r="P121">
        <v>5</v>
      </c>
      <c r="Q121">
        <f>+DB!AB121</f>
        <v>0</v>
      </c>
      <c r="R121">
        <f>+DB!K121</f>
        <v>144.22999999999999</v>
      </c>
      <c r="S121" t="str">
        <f>+DB!F121</f>
        <v>AAAC-35</v>
      </c>
      <c r="T121">
        <f>+IF(DB!F121="AAAC-35",1,3)</f>
        <v>1</v>
      </c>
      <c r="U121">
        <f>+DB!R121</f>
        <v>0</v>
      </c>
      <c r="V121">
        <f>+IF(DB!P121="1RI",1,0)+IF(DB!P121="2RI",2,0)</f>
        <v>0</v>
      </c>
      <c r="W121">
        <f>+IF(DB!P121="1RV",1,0)+IF(DB!P121="2RV",2,0)</f>
        <v>0</v>
      </c>
      <c r="X121">
        <f>+IF(DB!P121="RYI",1,0)</f>
        <v>0</v>
      </c>
      <c r="Y121">
        <f>+IF(DB!P121="RYV",1,0)</f>
        <v>0</v>
      </c>
      <c r="Z121" t="str">
        <f>+DB!U121</f>
        <v>PAT-0</v>
      </c>
      <c r="AA121">
        <f>+IF(DB!F121="AAAC-35",19.5,33)</f>
        <v>19.5</v>
      </c>
      <c r="AB121" t="str">
        <f>+DB!V121</f>
        <v>CIM3</v>
      </c>
      <c r="AC121" t="str">
        <f t="shared" si="5"/>
        <v>56-4</v>
      </c>
      <c r="AD121" s="21" t="s">
        <v>72</v>
      </c>
      <c r="AE121">
        <f>+DB!X121</f>
        <v>0</v>
      </c>
      <c r="AF121" s="22">
        <f>+DB!Y121</f>
        <v>0</v>
      </c>
      <c r="AG121">
        <f>+DB!AK121</f>
        <v>0</v>
      </c>
    </row>
    <row r="122" spans="1:33" x14ac:dyDescent="0.2">
      <c r="A122">
        <f>+DB!C122</f>
        <v>39</v>
      </c>
      <c r="B122" t="str">
        <f>+DB!D122</f>
        <v>PS1-0</v>
      </c>
      <c r="C122">
        <f>+DB!E122</f>
        <v>0</v>
      </c>
      <c r="D122">
        <f t="shared" si="3"/>
        <v>0</v>
      </c>
      <c r="E122">
        <f>+DB!G122</f>
        <v>7563.68</v>
      </c>
      <c r="F122">
        <f>+DB!H122</f>
        <v>244.98</v>
      </c>
      <c r="G122">
        <f>+DB!N122</f>
        <v>-0.21</v>
      </c>
      <c r="H122">
        <f>+DB!O122</f>
        <v>149.96</v>
      </c>
      <c r="I122">
        <f>+DB!I122</f>
        <v>0</v>
      </c>
      <c r="J122" t="str">
        <f>+DB!J122</f>
        <v>0°</v>
      </c>
      <c r="K122">
        <f>+DB!L122</f>
        <v>1</v>
      </c>
      <c r="L122" t="str">
        <f t="shared" si="4"/>
        <v>13</v>
      </c>
      <c r="M122" t="str">
        <f>+IF(LEFT(DB!M122,3)="13/","CAC","MAD")</f>
        <v>CAC</v>
      </c>
      <c r="N122" t="str">
        <f>+RIGHT(DB!M122,6)</f>
        <v>13/200</v>
      </c>
      <c r="O122">
        <v>95</v>
      </c>
      <c r="P122">
        <v>5</v>
      </c>
      <c r="Q122">
        <f>+DB!AB122</f>
        <v>0</v>
      </c>
      <c r="R122">
        <f>+DB!K122</f>
        <v>155.69999999999999</v>
      </c>
      <c r="S122" t="str">
        <f>+DB!F122</f>
        <v>AAAC-35</v>
      </c>
      <c r="T122">
        <f>+IF(DB!F122="AAAC-35",1,3)</f>
        <v>1</v>
      </c>
      <c r="U122">
        <f>+DB!R122</f>
        <v>0</v>
      </c>
      <c r="V122">
        <f>+IF(DB!P122="1RI",1,0)+IF(DB!P122="2RI",2,0)</f>
        <v>0</v>
      </c>
      <c r="W122">
        <f>+IF(DB!P122="1RV",1,0)+IF(DB!P122="2RV",2,0)</f>
        <v>0</v>
      </c>
      <c r="X122">
        <f>+IF(DB!P122="RYI",1,0)</f>
        <v>0</v>
      </c>
      <c r="Y122">
        <f>+IF(DB!P122="RYV",1,0)</f>
        <v>0</v>
      </c>
      <c r="Z122" t="str">
        <f>+DB!U122</f>
        <v>PAT-0</v>
      </c>
      <c r="AA122">
        <f>+IF(DB!F122="AAAC-35",19.5,33)</f>
        <v>19.5</v>
      </c>
      <c r="AB122" t="str">
        <f>+DB!V122</f>
        <v>CIM3</v>
      </c>
      <c r="AC122" t="str">
        <f t="shared" si="5"/>
        <v>56-4</v>
      </c>
      <c r="AD122" s="21" t="s">
        <v>72</v>
      </c>
      <c r="AE122">
        <f>+DB!X122</f>
        <v>0</v>
      </c>
      <c r="AF122" s="22">
        <f>+DB!Y122</f>
        <v>0</v>
      </c>
      <c r="AG122">
        <f>+DB!AK122</f>
        <v>0</v>
      </c>
    </row>
    <row r="123" spans="1:33" x14ac:dyDescent="0.2">
      <c r="A123">
        <f>+DB!C123</f>
        <v>40</v>
      </c>
      <c r="B123" t="str">
        <f>+DB!D123</f>
        <v>PTV-0</v>
      </c>
      <c r="C123">
        <f>+DB!E123</f>
        <v>0</v>
      </c>
      <c r="D123">
        <f t="shared" si="3"/>
        <v>0</v>
      </c>
      <c r="E123">
        <f>+DB!G123</f>
        <v>7719.38</v>
      </c>
      <c r="F123">
        <f>+DB!H123</f>
        <v>255.62</v>
      </c>
      <c r="G123">
        <f>+DB!N123</f>
        <v>156.63999999999999</v>
      </c>
      <c r="H123">
        <f>+DB!O123</f>
        <v>77.849999999999994</v>
      </c>
      <c r="I123" t="str">
        <f>+DB!I123</f>
        <v>FL</v>
      </c>
      <c r="J123" t="str">
        <f>+DB!J123</f>
        <v>0°</v>
      </c>
      <c r="K123">
        <f>+DB!L123</f>
        <v>1</v>
      </c>
      <c r="L123" t="str">
        <f t="shared" si="4"/>
        <v>13</v>
      </c>
      <c r="M123" t="str">
        <f>+IF(LEFT(DB!M123,3)="13/","CAC","MAD")</f>
        <v>CAC</v>
      </c>
      <c r="N123" t="str">
        <f>+RIGHT(DB!M123,6)</f>
        <v>13/300</v>
      </c>
      <c r="O123">
        <v>95</v>
      </c>
      <c r="P123">
        <v>5</v>
      </c>
      <c r="Q123">
        <f>+DB!AB123</f>
        <v>0</v>
      </c>
      <c r="R123">
        <f>+DB!K123</f>
        <v>0</v>
      </c>
      <c r="S123" t="str">
        <f>+DB!F123</f>
        <v>AAAC-35</v>
      </c>
      <c r="T123">
        <f>+IF(DB!F123="AAAC-35",1,3)</f>
        <v>1</v>
      </c>
      <c r="U123">
        <f>+DB!R123</f>
        <v>0</v>
      </c>
      <c r="V123">
        <f>+IF(DB!P123="1RI",1,0)+IF(DB!P123="2RI",2,0)</f>
        <v>1</v>
      </c>
      <c r="W123">
        <f>+IF(DB!P123="1RV",1,0)+IF(DB!P123="2RV",2,0)</f>
        <v>0</v>
      </c>
      <c r="X123">
        <f>+IF(DB!P123="RYI",1,0)</f>
        <v>0</v>
      </c>
      <c r="Y123">
        <f>+IF(DB!P123="RYV",1,0)</f>
        <v>0</v>
      </c>
      <c r="Z123" t="str">
        <f>+DB!U123</f>
        <v>PAT-0</v>
      </c>
      <c r="AA123">
        <f>+IF(DB!F123="AAAC-35",19.5,33)</f>
        <v>19.5</v>
      </c>
      <c r="AB123" t="str">
        <f>+DB!V123</f>
        <v>CIM3</v>
      </c>
      <c r="AC123" t="str">
        <f t="shared" si="5"/>
        <v>56-4</v>
      </c>
      <c r="AD123" s="21" t="s">
        <v>72</v>
      </c>
      <c r="AE123">
        <f>+DB!X123</f>
        <v>0</v>
      </c>
      <c r="AF123" s="22">
        <f>+DB!Y123</f>
        <v>0</v>
      </c>
      <c r="AG123">
        <f>+DB!AK123</f>
        <v>0</v>
      </c>
    </row>
    <row r="124" spans="1:33" x14ac:dyDescent="0.2">
      <c r="A124">
        <f>+DB!C124</f>
        <v>0</v>
      </c>
      <c r="B124">
        <f>+DB!D124</f>
        <v>0</v>
      </c>
      <c r="C124">
        <f>+DB!E124</f>
        <v>0</v>
      </c>
      <c r="D124">
        <f t="shared" si="3"/>
        <v>0</v>
      </c>
      <c r="E124">
        <f>+DB!G124</f>
        <v>0</v>
      </c>
      <c r="F124">
        <f>+DB!H124</f>
        <v>0</v>
      </c>
      <c r="G124">
        <f>+DB!N124</f>
        <v>0</v>
      </c>
      <c r="H124">
        <f>+DB!O124</f>
        <v>0</v>
      </c>
      <c r="I124">
        <f>+DB!I124</f>
        <v>0</v>
      </c>
      <c r="J124">
        <f>+DB!J124</f>
        <v>0</v>
      </c>
      <c r="K124">
        <f>+DB!L124</f>
        <v>0</v>
      </c>
      <c r="L124" t="str">
        <f t="shared" si="4"/>
        <v/>
      </c>
      <c r="M124" t="str">
        <f>+IF(LEFT(DB!M124,3)="13/","CAC","MAD")</f>
        <v>MAD</v>
      </c>
      <c r="N124" t="str">
        <f>+RIGHT(DB!M124,6)</f>
        <v/>
      </c>
      <c r="O124">
        <v>95</v>
      </c>
      <c r="P124">
        <v>5</v>
      </c>
      <c r="Q124">
        <f>+DB!AB124</f>
        <v>0</v>
      </c>
      <c r="R124">
        <f>+DB!K124</f>
        <v>0</v>
      </c>
      <c r="S124">
        <f>+DB!F124</f>
        <v>0</v>
      </c>
      <c r="T124">
        <f>+IF(DB!F124="AAAC-35",1,3)</f>
        <v>3</v>
      </c>
      <c r="U124">
        <f>+DB!R124</f>
        <v>0</v>
      </c>
      <c r="V124">
        <f>+IF(DB!P124="1RI",1,0)+IF(DB!P124="2RI",2,0)</f>
        <v>0</v>
      </c>
      <c r="W124">
        <f>+IF(DB!P124="1RV",1,0)+IF(DB!P124="2RV",2,0)</f>
        <v>0</v>
      </c>
      <c r="X124">
        <f>+IF(DB!P124="RYI",1,0)</f>
        <v>0</v>
      </c>
      <c r="Y124">
        <f>+IF(DB!P124="RYV",1,0)</f>
        <v>0</v>
      </c>
      <c r="Z124">
        <f>+DB!U124</f>
        <v>0</v>
      </c>
      <c r="AA124">
        <f>+IF(DB!F124="AAAC-35",19.5,33)</f>
        <v>33</v>
      </c>
      <c r="AB124">
        <f>+DB!V124</f>
        <v>0</v>
      </c>
      <c r="AC124" t="str">
        <f t="shared" si="5"/>
        <v>56-4</v>
      </c>
      <c r="AD124" s="21" t="s">
        <v>72</v>
      </c>
      <c r="AE124">
        <f>+DB!X124</f>
        <v>0</v>
      </c>
      <c r="AF124" s="22">
        <f>+DB!Y124</f>
        <v>0</v>
      </c>
      <c r="AG124">
        <f>+DB!AK124</f>
        <v>0</v>
      </c>
    </row>
    <row r="125" spans="1:33" x14ac:dyDescent="0.2">
      <c r="A125">
        <f>+DB!C125</f>
        <v>0</v>
      </c>
      <c r="B125">
        <f>+DB!D125</f>
        <v>0</v>
      </c>
      <c r="C125">
        <f>+DB!E125</f>
        <v>0</v>
      </c>
      <c r="D125">
        <f t="shared" si="3"/>
        <v>0</v>
      </c>
      <c r="E125">
        <f>+DB!G125</f>
        <v>0</v>
      </c>
      <c r="F125">
        <f>+DB!H125</f>
        <v>0</v>
      </c>
      <c r="G125">
        <f>+DB!N125</f>
        <v>0</v>
      </c>
      <c r="H125">
        <f>+DB!O125</f>
        <v>0</v>
      </c>
      <c r="I125">
        <f>+DB!I125</f>
        <v>0</v>
      </c>
      <c r="J125">
        <f>+DB!J125</f>
        <v>0</v>
      </c>
      <c r="K125">
        <f>+DB!L125</f>
        <v>0</v>
      </c>
      <c r="L125" t="str">
        <f t="shared" si="4"/>
        <v/>
      </c>
      <c r="M125" t="str">
        <f>+IF(LEFT(DB!M125,3)="13/","CAC","MAD")</f>
        <v>MAD</v>
      </c>
      <c r="N125" t="str">
        <f>+RIGHT(DB!M125,6)</f>
        <v/>
      </c>
      <c r="O125">
        <v>95</v>
      </c>
      <c r="P125">
        <v>5</v>
      </c>
      <c r="Q125">
        <f>+DB!AB125</f>
        <v>0</v>
      </c>
      <c r="R125">
        <f>+DB!K125</f>
        <v>0</v>
      </c>
      <c r="S125">
        <f>+DB!F125</f>
        <v>0</v>
      </c>
      <c r="T125">
        <f>+IF(DB!F125="AAAC-35",1,3)</f>
        <v>3</v>
      </c>
      <c r="U125">
        <f>+DB!R125</f>
        <v>0</v>
      </c>
      <c r="V125">
        <f>+IF(DB!P125="1RI",1,0)+IF(DB!P125="2RI",2,0)</f>
        <v>0</v>
      </c>
      <c r="W125">
        <f>+IF(DB!P125="1RV",1,0)+IF(DB!P125="2RV",2,0)</f>
        <v>0</v>
      </c>
      <c r="X125">
        <f>+IF(DB!P125="RYI",1,0)</f>
        <v>0</v>
      </c>
      <c r="Y125">
        <f>+IF(DB!P125="RYV",1,0)</f>
        <v>0</v>
      </c>
      <c r="Z125">
        <f>+DB!U125</f>
        <v>0</v>
      </c>
      <c r="AA125">
        <f>+IF(DB!F125="AAAC-35",19.5,33)</f>
        <v>33</v>
      </c>
      <c r="AB125">
        <f>+DB!V125</f>
        <v>0</v>
      </c>
      <c r="AC125" t="str">
        <f t="shared" si="5"/>
        <v>56-4</v>
      </c>
      <c r="AD125" s="21" t="s">
        <v>72</v>
      </c>
      <c r="AE125">
        <f>+DB!X125</f>
        <v>0</v>
      </c>
      <c r="AF125" s="22">
        <f>+DB!Y125</f>
        <v>0</v>
      </c>
      <c r="AG125">
        <f>+DB!AK125</f>
        <v>0</v>
      </c>
    </row>
    <row r="126" spans="1:33" x14ac:dyDescent="0.2">
      <c r="A126">
        <f>+DB!C126</f>
        <v>0</v>
      </c>
      <c r="B126">
        <f>+DB!D126</f>
        <v>0</v>
      </c>
      <c r="C126">
        <f>+DB!E126</f>
        <v>0</v>
      </c>
      <c r="D126">
        <f t="shared" si="3"/>
        <v>0</v>
      </c>
      <c r="E126">
        <f>+DB!G126</f>
        <v>0</v>
      </c>
      <c r="F126">
        <f>+DB!H126</f>
        <v>0</v>
      </c>
      <c r="G126">
        <f>+DB!N126</f>
        <v>0</v>
      </c>
      <c r="H126">
        <f>+DB!O126</f>
        <v>0</v>
      </c>
      <c r="I126">
        <f>+DB!I126</f>
        <v>0</v>
      </c>
      <c r="J126">
        <f>+DB!J126</f>
        <v>0</v>
      </c>
      <c r="K126">
        <f>+DB!L126</f>
        <v>0</v>
      </c>
      <c r="L126" t="str">
        <f t="shared" si="4"/>
        <v/>
      </c>
      <c r="M126" t="str">
        <f>+IF(LEFT(DB!M126,3)="13/","CAC","MAD")</f>
        <v>MAD</v>
      </c>
      <c r="N126" t="str">
        <f>+RIGHT(DB!M126,6)</f>
        <v/>
      </c>
      <c r="O126">
        <v>95</v>
      </c>
      <c r="P126">
        <v>5</v>
      </c>
      <c r="Q126">
        <f>+DB!AB126</f>
        <v>0</v>
      </c>
      <c r="R126">
        <f>+DB!K126</f>
        <v>0</v>
      </c>
      <c r="S126">
        <f>+DB!F126</f>
        <v>0</v>
      </c>
      <c r="T126">
        <f>+IF(DB!F126="AAAC-35",1,3)</f>
        <v>3</v>
      </c>
      <c r="U126">
        <f>+DB!R126</f>
        <v>0</v>
      </c>
      <c r="V126">
        <f>+IF(DB!P126="1RI",1,0)+IF(DB!P126="2RI",2,0)</f>
        <v>0</v>
      </c>
      <c r="W126">
        <f>+IF(DB!P126="1RV",1,0)+IF(DB!P126="2RV",2,0)</f>
        <v>0</v>
      </c>
      <c r="X126">
        <f>+IF(DB!P126="RYI",1,0)</f>
        <v>0</v>
      </c>
      <c r="Y126">
        <f>+IF(DB!P126="RYV",1,0)</f>
        <v>0</v>
      </c>
      <c r="Z126">
        <f>+DB!U126</f>
        <v>0</v>
      </c>
      <c r="AA126">
        <f>+IF(DB!F126="AAAC-35",19.5,33)</f>
        <v>33</v>
      </c>
      <c r="AB126">
        <f>+DB!V126</f>
        <v>0</v>
      </c>
      <c r="AC126" t="str">
        <f t="shared" si="5"/>
        <v>56-4</v>
      </c>
      <c r="AD126" s="21" t="s">
        <v>72</v>
      </c>
      <c r="AE126">
        <f>+DB!X126</f>
        <v>0</v>
      </c>
      <c r="AF126" s="22">
        <f>+DB!Y126</f>
        <v>0</v>
      </c>
      <c r="AG126">
        <f>+DB!AK126</f>
        <v>0</v>
      </c>
    </row>
    <row r="127" spans="1:33" x14ac:dyDescent="0.2">
      <c r="A127">
        <f>+DB!C127</f>
        <v>0</v>
      </c>
      <c r="B127">
        <f>+DB!D127</f>
        <v>0</v>
      </c>
      <c r="C127">
        <f>+DB!E127</f>
        <v>0</v>
      </c>
      <c r="D127">
        <f t="shared" si="3"/>
        <v>0</v>
      </c>
      <c r="E127">
        <f>+DB!G127</f>
        <v>0</v>
      </c>
      <c r="F127">
        <f>+DB!H127</f>
        <v>0</v>
      </c>
      <c r="G127">
        <f>+DB!N127</f>
        <v>0</v>
      </c>
      <c r="H127">
        <f>+DB!O127</f>
        <v>0</v>
      </c>
      <c r="I127">
        <f>+DB!I127</f>
        <v>0</v>
      </c>
      <c r="J127">
        <f>+DB!J127</f>
        <v>0</v>
      </c>
      <c r="K127">
        <f>+DB!L127</f>
        <v>0</v>
      </c>
      <c r="L127" t="str">
        <f t="shared" si="4"/>
        <v/>
      </c>
      <c r="M127" t="str">
        <f>+IF(LEFT(DB!M127,3)="13/","CAC","MAD")</f>
        <v>MAD</v>
      </c>
      <c r="N127" t="str">
        <f>+RIGHT(DB!M127,6)</f>
        <v/>
      </c>
      <c r="O127">
        <v>95</v>
      </c>
      <c r="P127">
        <v>5</v>
      </c>
      <c r="Q127">
        <f>+DB!AB127</f>
        <v>0</v>
      </c>
      <c r="R127">
        <f>+DB!K127</f>
        <v>0</v>
      </c>
      <c r="S127">
        <f>+DB!F127</f>
        <v>0</v>
      </c>
      <c r="T127">
        <f>+IF(DB!F127="AAAC-35",1,3)</f>
        <v>3</v>
      </c>
      <c r="U127">
        <f>+DB!R127</f>
        <v>0</v>
      </c>
      <c r="V127">
        <f>+IF(DB!P127="1RI",1,0)+IF(DB!P127="2RI",2,0)</f>
        <v>0</v>
      </c>
      <c r="W127">
        <f>+IF(DB!P127="1RV",1,0)+IF(DB!P127="2RV",2,0)</f>
        <v>0</v>
      </c>
      <c r="X127">
        <f>+IF(DB!P127="RYI",1,0)</f>
        <v>0</v>
      </c>
      <c r="Y127">
        <f>+IF(DB!P127="RYV",1,0)</f>
        <v>0</v>
      </c>
      <c r="Z127">
        <f>+DB!U127</f>
        <v>0</v>
      </c>
      <c r="AA127">
        <f>+IF(DB!F127="AAAC-35",19.5,33)</f>
        <v>33</v>
      </c>
      <c r="AB127">
        <f>+DB!V127</f>
        <v>0</v>
      </c>
      <c r="AC127" t="str">
        <f t="shared" si="5"/>
        <v>56-4</v>
      </c>
      <c r="AD127" s="21" t="s">
        <v>72</v>
      </c>
      <c r="AE127">
        <f>+DB!X127</f>
        <v>0</v>
      </c>
      <c r="AF127" s="22">
        <f>+DB!Y127</f>
        <v>0</v>
      </c>
      <c r="AG127">
        <f>+DB!AK127</f>
        <v>0</v>
      </c>
    </row>
    <row r="128" spans="1:33" x14ac:dyDescent="0.2">
      <c r="A128">
        <f>+DB!C128</f>
        <v>0</v>
      </c>
      <c r="B128">
        <f>+DB!D128</f>
        <v>0</v>
      </c>
      <c r="C128">
        <f>+DB!E128</f>
        <v>0</v>
      </c>
      <c r="D128">
        <f t="shared" si="3"/>
        <v>0</v>
      </c>
      <c r="E128">
        <f>+DB!G128</f>
        <v>0</v>
      </c>
      <c r="F128">
        <f>+DB!H128</f>
        <v>0</v>
      </c>
      <c r="G128">
        <f>+DB!N128</f>
        <v>0</v>
      </c>
      <c r="H128">
        <f>+DB!O128</f>
        <v>0</v>
      </c>
      <c r="I128">
        <f>+DB!I128</f>
        <v>0</v>
      </c>
      <c r="J128">
        <f>+DB!J128</f>
        <v>0</v>
      </c>
      <c r="K128">
        <f>+DB!L128</f>
        <v>0</v>
      </c>
      <c r="L128" t="str">
        <f t="shared" si="4"/>
        <v/>
      </c>
      <c r="M128" t="str">
        <f>+IF(LEFT(DB!M128,3)="13/","CAC","MAD")</f>
        <v>MAD</v>
      </c>
      <c r="N128" t="str">
        <f>+RIGHT(DB!M128,6)</f>
        <v/>
      </c>
      <c r="O128">
        <v>95</v>
      </c>
      <c r="P128">
        <v>5</v>
      </c>
      <c r="Q128">
        <f>+DB!AB128</f>
        <v>0</v>
      </c>
      <c r="R128">
        <f>+DB!K128</f>
        <v>0</v>
      </c>
      <c r="S128">
        <f>+DB!F128</f>
        <v>0</v>
      </c>
      <c r="T128">
        <f>+IF(DB!F128="AAAC-35",1,3)</f>
        <v>3</v>
      </c>
      <c r="U128">
        <f>+DB!R128</f>
        <v>0</v>
      </c>
      <c r="V128">
        <f>+IF(DB!P128="1RI",1,0)+IF(DB!P128="2RI",2,0)</f>
        <v>0</v>
      </c>
      <c r="W128">
        <f>+IF(DB!P128="1RV",1,0)+IF(DB!P128="2RV",2,0)</f>
        <v>0</v>
      </c>
      <c r="X128">
        <f>+IF(DB!P128="RYI",1,0)</f>
        <v>0</v>
      </c>
      <c r="Y128">
        <f>+IF(DB!P128="RYV",1,0)</f>
        <v>0</v>
      </c>
      <c r="Z128">
        <f>+DB!U128</f>
        <v>0</v>
      </c>
      <c r="AA128">
        <f>+IF(DB!F128="AAAC-35",19.5,33)</f>
        <v>33</v>
      </c>
      <c r="AB128">
        <f>+DB!V128</f>
        <v>0</v>
      </c>
      <c r="AC128" t="str">
        <f t="shared" si="5"/>
        <v>56-4</v>
      </c>
      <c r="AD128" s="21" t="s">
        <v>72</v>
      </c>
      <c r="AE128">
        <f>+DB!X128</f>
        <v>0</v>
      </c>
      <c r="AF128" s="22">
        <f>+DB!Y128</f>
        <v>0</v>
      </c>
      <c r="AG128">
        <f>+DB!AK128</f>
        <v>0</v>
      </c>
    </row>
    <row r="129" spans="1:33" x14ac:dyDescent="0.2">
      <c r="A129">
        <f>+DB!C129</f>
        <v>0</v>
      </c>
      <c r="B129">
        <f>+DB!D129</f>
        <v>0</v>
      </c>
      <c r="C129">
        <f>+DB!E129</f>
        <v>0</v>
      </c>
      <c r="D129">
        <f t="shared" si="3"/>
        <v>0</v>
      </c>
      <c r="E129">
        <f>+DB!G129</f>
        <v>0</v>
      </c>
      <c r="F129">
        <f>+DB!H129</f>
        <v>0</v>
      </c>
      <c r="G129">
        <f>+DB!N129</f>
        <v>0</v>
      </c>
      <c r="H129">
        <f>+DB!O129</f>
        <v>0</v>
      </c>
      <c r="I129">
        <f>+DB!I129</f>
        <v>0</v>
      </c>
      <c r="J129">
        <f>+DB!J129</f>
        <v>0</v>
      </c>
      <c r="K129">
        <f>+DB!L129</f>
        <v>0</v>
      </c>
      <c r="L129" t="str">
        <f t="shared" si="4"/>
        <v/>
      </c>
      <c r="M129" t="str">
        <f>+IF(LEFT(DB!M129,3)="13/","CAC","MAD")</f>
        <v>MAD</v>
      </c>
      <c r="N129" t="str">
        <f>+RIGHT(DB!M129,6)</f>
        <v/>
      </c>
      <c r="O129">
        <v>95</v>
      </c>
      <c r="P129">
        <v>5</v>
      </c>
      <c r="Q129">
        <f>+DB!AB129</f>
        <v>0</v>
      </c>
      <c r="R129">
        <f>+DB!K129</f>
        <v>0</v>
      </c>
      <c r="S129">
        <f>+DB!F129</f>
        <v>0</v>
      </c>
      <c r="T129">
        <f>+IF(DB!F129="AAAC-35",1,3)</f>
        <v>3</v>
      </c>
      <c r="U129">
        <f>+DB!R129</f>
        <v>0</v>
      </c>
      <c r="V129">
        <f>+IF(DB!P129="1RI",1,0)+IF(DB!P129="2RI",2,0)</f>
        <v>0</v>
      </c>
      <c r="W129">
        <f>+IF(DB!P129="1RV",1,0)+IF(DB!P129="2RV",2,0)</f>
        <v>0</v>
      </c>
      <c r="X129">
        <f>+IF(DB!P129="RYI",1,0)</f>
        <v>0</v>
      </c>
      <c r="Y129">
        <f>+IF(DB!P129="RYV",1,0)</f>
        <v>0</v>
      </c>
      <c r="Z129">
        <f>+DB!U129</f>
        <v>0</v>
      </c>
      <c r="AA129">
        <f>+IF(DB!F129="AAAC-35",19.5,33)</f>
        <v>33</v>
      </c>
      <c r="AB129">
        <f>+DB!V129</f>
        <v>0</v>
      </c>
      <c r="AC129" t="str">
        <f t="shared" si="5"/>
        <v>56-4</v>
      </c>
      <c r="AD129" s="21" t="s">
        <v>72</v>
      </c>
      <c r="AE129">
        <f>+DB!X129</f>
        <v>0</v>
      </c>
      <c r="AF129" s="22">
        <f>+DB!Y129</f>
        <v>0</v>
      </c>
      <c r="AG129">
        <f>+DB!AK129</f>
        <v>0</v>
      </c>
    </row>
    <row r="130" spans="1:33" x14ac:dyDescent="0.2">
      <c r="A130">
        <f>+DB!C130</f>
        <v>0</v>
      </c>
      <c r="B130">
        <f>+DB!D130</f>
        <v>0</v>
      </c>
      <c r="C130">
        <f>+DB!E130</f>
        <v>0</v>
      </c>
      <c r="D130">
        <f t="shared" si="3"/>
        <v>0</v>
      </c>
      <c r="E130">
        <f>+DB!G130</f>
        <v>0</v>
      </c>
      <c r="F130">
        <f>+DB!H130</f>
        <v>0</v>
      </c>
      <c r="G130">
        <f>+DB!N130</f>
        <v>0</v>
      </c>
      <c r="H130">
        <f>+DB!O130</f>
        <v>0</v>
      </c>
      <c r="I130">
        <f>+DB!I130</f>
        <v>0</v>
      </c>
      <c r="J130">
        <f>+DB!J130</f>
        <v>0</v>
      </c>
      <c r="K130">
        <f>+DB!L130</f>
        <v>0</v>
      </c>
      <c r="L130" t="str">
        <f t="shared" si="4"/>
        <v/>
      </c>
      <c r="M130" t="str">
        <f>+IF(LEFT(DB!M130,3)="13/","CAC","MAD")</f>
        <v>MAD</v>
      </c>
      <c r="N130" t="str">
        <f>+RIGHT(DB!M130,6)</f>
        <v/>
      </c>
      <c r="O130">
        <v>95</v>
      </c>
      <c r="P130">
        <v>5</v>
      </c>
      <c r="Q130">
        <f>+DB!AB130</f>
        <v>0</v>
      </c>
      <c r="R130">
        <f>+DB!K130</f>
        <v>0</v>
      </c>
      <c r="S130">
        <f>+DB!F130</f>
        <v>0</v>
      </c>
      <c r="T130">
        <f>+IF(DB!F130="AAAC-35",1,3)</f>
        <v>3</v>
      </c>
      <c r="U130">
        <f>+DB!R130</f>
        <v>0</v>
      </c>
      <c r="V130">
        <f>+IF(DB!P130="1RI",1,0)+IF(DB!P130="2RI",2,0)</f>
        <v>0</v>
      </c>
      <c r="W130">
        <f>+IF(DB!P130="1RV",1,0)+IF(DB!P130="2RV",2,0)</f>
        <v>0</v>
      </c>
      <c r="X130">
        <f>+IF(DB!P130="RYI",1,0)</f>
        <v>0</v>
      </c>
      <c r="Y130">
        <f>+IF(DB!P130="RYV",1,0)</f>
        <v>0</v>
      </c>
      <c r="Z130">
        <f>+DB!U130</f>
        <v>0</v>
      </c>
      <c r="AA130">
        <f>+IF(DB!F130="AAAC-35",19.5,33)</f>
        <v>33</v>
      </c>
      <c r="AB130">
        <f>+DB!V130</f>
        <v>0</v>
      </c>
      <c r="AC130" t="str">
        <f t="shared" si="5"/>
        <v>56-4</v>
      </c>
      <c r="AD130" s="21" t="s">
        <v>72</v>
      </c>
      <c r="AE130">
        <f>+DB!X130</f>
        <v>0</v>
      </c>
      <c r="AF130" s="22">
        <f>+DB!Y130</f>
        <v>0</v>
      </c>
      <c r="AG130">
        <f>+DB!AK130</f>
        <v>0</v>
      </c>
    </row>
    <row r="131" spans="1:33" x14ac:dyDescent="0.2">
      <c r="A131">
        <f>+DB!C131</f>
        <v>0</v>
      </c>
      <c r="B131">
        <f>+DB!D131</f>
        <v>0</v>
      </c>
      <c r="C131">
        <f>+DB!E131</f>
        <v>0</v>
      </c>
      <c r="D131">
        <f t="shared" ref="D131:D194" si="6">+IF(B131="PSEC-0PA","K",0)</f>
        <v>0</v>
      </c>
      <c r="E131">
        <f>+DB!G131</f>
        <v>0</v>
      </c>
      <c r="F131">
        <f>+DB!H131</f>
        <v>0</v>
      </c>
      <c r="G131">
        <f>+DB!N131</f>
        <v>0</v>
      </c>
      <c r="H131">
        <f>+DB!O131</f>
        <v>0</v>
      </c>
      <c r="I131">
        <f>+DB!I131</f>
        <v>0</v>
      </c>
      <c r="J131">
        <f>+DB!J131</f>
        <v>0</v>
      </c>
      <c r="K131">
        <f>+DB!L131</f>
        <v>0</v>
      </c>
      <c r="L131" t="str">
        <f t="shared" ref="L131:L194" si="7">+LEFT(N131,2)</f>
        <v/>
      </c>
      <c r="M131" t="str">
        <f>+IF(LEFT(DB!M131,3)="13/","CAC","MAD")</f>
        <v>MAD</v>
      </c>
      <c r="N131" t="str">
        <f>+RIGHT(DB!M131,6)</f>
        <v/>
      </c>
      <c r="O131">
        <v>95</v>
      </c>
      <c r="P131">
        <v>5</v>
      </c>
      <c r="Q131">
        <f>+DB!AB131</f>
        <v>0</v>
      </c>
      <c r="R131">
        <f>+DB!K131</f>
        <v>0</v>
      </c>
      <c r="S131">
        <f>+DB!F131</f>
        <v>0</v>
      </c>
      <c r="T131">
        <f>+IF(DB!F131="AAAC-35",1,3)</f>
        <v>3</v>
      </c>
      <c r="U131">
        <f>+DB!R131</f>
        <v>0</v>
      </c>
      <c r="V131">
        <f>+IF(DB!P131="1RI",1,0)+IF(DB!P131="2RI",2,0)</f>
        <v>0</v>
      </c>
      <c r="W131">
        <f>+IF(DB!P131="1RV",1,0)+IF(DB!P131="2RV",2,0)</f>
        <v>0</v>
      </c>
      <c r="X131">
        <f>+IF(DB!P131="RYI",1,0)</f>
        <v>0</v>
      </c>
      <c r="Y131">
        <f>+IF(DB!P131="RYV",1,0)</f>
        <v>0</v>
      </c>
      <c r="Z131">
        <f>+DB!U131</f>
        <v>0</v>
      </c>
      <c r="AA131">
        <f>+IF(DB!F131="AAAC-35",19.5,33)</f>
        <v>33</v>
      </c>
      <c r="AB131">
        <f>+DB!V131</f>
        <v>0</v>
      </c>
      <c r="AC131" t="str">
        <f t="shared" ref="AC131:AC194" si="8">+IF(F131&gt;1675,"56-5","56-4")</f>
        <v>56-4</v>
      </c>
      <c r="AD131" s="21" t="s">
        <v>72</v>
      </c>
      <c r="AE131">
        <f>+DB!X131</f>
        <v>0</v>
      </c>
      <c r="AF131" s="22">
        <f>+DB!Y131</f>
        <v>0</v>
      </c>
      <c r="AG131">
        <f>+DB!AK131</f>
        <v>0</v>
      </c>
    </row>
    <row r="132" spans="1:33" x14ac:dyDescent="0.2">
      <c r="A132">
        <f>+DB!C132</f>
        <v>0</v>
      </c>
      <c r="B132">
        <f>+DB!D132</f>
        <v>0</v>
      </c>
      <c r="C132">
        <f>+DB!E132</f>
        <v>0</v>
      </c>
      <c r="D132">
        <f t="shared" si="6"/>
        <v>0</v>
      </c>
      <c r="E132">
        <f>+DB!G132</f>
        <v>0</v>
      </c>
      <c r="F132">
        <f>+DB!H132</f>
        <v>0</v>
      </c>
      <c r="G132">
        <f>+DB!N132</f>
        <v>0</v>
      </c>
      <c r="H132">
        <f>+DB!O132</f>
        <v>0</v>
      </c>
      <c r="I132">
        <f>+DB!I132</f>
        <v>0</v>
      </c>
      <c r="J132">
        <f>+DB!J132</f>
        <v>0</v>
      </c>
      <c r="K132">
        <f>+DB!L132</f>
        <v>0</v>
      </c>
      <c r="L132" t="str">
        <f t="shared" si="7"/>
        <v/>
      </c>
      <c r="M132" t="str">
        <f>+IF(LEFT(DB!M132,3)="13/","CAC","MAD")</f>
        <v>MAD</v>
      </c>
      <c r="N132" t="str">
        <f>+RIGHT(DB!M132,6)</f>
        <v/>
      </c>
      <c r="O132">
        <v>95</v>
      </c>
      <c r="P132">
        <v>5</v>
      </c>
      <c r="Q132">
        <f>+DB!AB132</f>
        <v>0</v>
      </c>
      <c r="R132">
        <f>+DB!K132</f>
        <v>0</v>
      </c>
      <c r="S132">
        <f>+DB!F132</f>
        <v>0</v>
      </c>
      <c r="T132">
        <f>+IF(DB!F132="AAAC-35",1,3)</f>
        <v>3</v>
      </c>
      <c r="U132">
        <f>+DB!R132</f>
        <v>0</v>
      </c>
      <c r="V132">
        <f>+IF(DB!P132="1RI",1,0)+IF(DB!P132="2RI",2,0)</f>
        <v>0</v>
      </c>
      <c r="W132">
        <f>+IF(DB!P132="1RV",1,0)+IF(DB!P132="2RV",2,0)</f>
        <v>0</v>
      </c>
      <c r="X132">
        <f>+IF(DB!P132="RYI",1,0)</f>
        <v>0</v>
      </c>
      <c r="Y132">
        <f>+IF(DB!P132="RYV",1,0)</f>
        <v>0</v>
      </c>
      <c r="Z132">
        <f>+DB!U132</f>
        <v>0</v>
      </c>
      <c r="AA132">
        <f>+IF(DB!F132="AAAC-35",19.5,33)</f>
        <v>33</v>
      </c>
      <c r="AB132">
        <f>+DB!V132</f>
        <v>0</v>
      </c>
      <c r="AC132" t="str">
        <f t="shared" si="8"/>
        <v>56-4</v>
      </c>
      <c r="AD132" s="21" t="s">
        <v>72</v>
      </c>
      <c r="AE132">
        <f>+DB!X132</f>
        <v>0</v>
      </c>
      <c r="AF132" s="22">
        <f>+DB!Y132</f>
        <v>0</v>
      </c>
      <c r="AG132">
        <f>+DB!AK132</f>
        <v>0</v>
      </c>
    </row>
    <row r="133" spans="1:33" x14ac:dyDescent="0.2">
      <c r="A133">
        <f>+DB!C133</f>
        <v>0</v>
      </c>
      <c r="B133">
        <f>+DB!D133</f>
        <v>0</v>
      </c>
      <c r="C133">
        <f>+DB!E133</f>
        <v>0</v>
      </c>
      <c r="D133">
        <f t="shared" si="6"/>
        <v>0</v>
      </c>
      <c r="E133">
        <f>+DB!G133</f>
        <v>0</v>
      </c>
      <c r="F133">
        <f>+DB!H133</f>
        <v>0</v>
      </c>
      <c r="G133">
        <f>+DB!N133</f>
        <v>0</v>
      </c>
      <c r="H133">
        <f>+DB!O133</f>
        <v>0</v>
      </c>
      <c r="I133">
        <f>+DB!I133</f>
        <v>0</v>
      </c>
      <c r="J133">
        <f>+DB!J133</f>
        <v>0</v>
      </c>
      <c r="K133">
        <f>+DB!L133</f>
        <v>0</v>
      </c>
      <c r="L133" t="str">
        <f t="shared" si="7"/>
        <v/>
      </c>
      <c r="M133" t="str">
        <f>+IF(LEFT(DB!M133,3)="13/","CAC","MAD")</f>
        <v>MAD</v>
      </c>
      <c r="N133" t="str">
        <f>+RIGHT(DB!M133,6)</f>
        <v/>
      </c>
      <c r="O133">
        <v>95</v>
      </c>
      <c r="P133">
        <v>5</v>
      </c>
      <c r="Q133">
        <f>+DB!AB133</f>
        <v>0</v>
      </c>
      <c r="R133">
        <f>+DB!K133</f>
        <v>0</v>
      </c>
      <c r="S133">
        <f>+DB!F133</f>
        <v>0</v>
      </c>
      <c r="T133">
        <f>+IF(DB!F133="AAAC-35",1,3)</f>
        <v>3</v>
      </c>
      <c r="U133">
        <f>+DB!R133</f>
        <v>0</v>
      </c>
      <c r="V133">
        <f>+IF(DB!P133="1RI",1,0)+IF(DB!P133="2RI",2,0)</f>
        <v>0</v>
      </c>
      <c r="W133">
        <f>+IF(DB!P133="1RV",1,0)+IF(DB!P133="2RV",2,0)</f>
        <v>0</v>
      </c>
      <c r="X133">
        <f>+IF(DB!P133="RYI",1,0)</f>
        <v>0</v>
      </c>
      <c r="Y133">
        <f>+IF(DB!P133="RYV",1,0)</f>
        <v>0</v>
      </c>
      <c r="Z133">
        <f>+DB!U133</f>
        <v>0</v>
      </c>
      <c r="AA133">
        <f>+IF(DB!F133="AAAC-35",19.5,33)</f>
        <v>33</v>
      </c>
      <c r="AB133">
        <f>+DB!V133</f>
        <v>0</v>
      </c>
      <c r="AC133" t="str">
        <f t="shared" si="8"/>
        <v>56-4</v>
      </c>
      <c r="AD133" s="21" t="s">
        <v>72</v>
      </c>
      <c r="AE133">
        <f>+DB!X133</f>
        <v>0</v>
      </c>
      <c r="AF133" s="22">
        <f>+DB!Y133</f>
        <v>0</v>
      </c>
      <c r="AG133">
        <f>+DB!AK133</f>
        <v>0</v>
      </c>
    </row>
    <row r="134" spans="1:33" x14ac:dyDescent="0.2">
      <c r="A134">
        <f>+DB!C134</f>
        <v>0</v>
      </c>
      <c r="B134">
        <f>+DB!D134</f>
        <v>0</v>
      </c>
      <c r="C134">
        <f>+DB!E134</f>
        <v>0</v>
      </c>
      <c r="D134">
        <f t="shared" si="6"/>
        <v>0</v>
      </c>
      <c r="E134">
        <f>+DB!G134</f>
        <v>0</v>
      </c>
      <c r="F134">
        <f>+DB!H134</f>
        <v>0</v>
      </c>
      <c r="G134">
        <f>+DB!N134</f>
        <v>0</v>
      </c>
      <c r="H134">
        <f>+DB!O134</f>
        <v>0</v>
      </c>
      <c r="I134">
        <f>+DB!I134</f>
        <v>0</v>
      </c>
      <c r="J134">
        <f>+DB!J134</f>
        <v>0</v>
      </c>
      <c r="K134">
        <f>+DB!L134</f>
        <v>0</v>
      </c>
      <c r="L134" t="str">
        <f t="shared" si="7"/>
        <v/>
      </c>
      <c r="M134" t="str">
        <f>+IF(LEFT(DB!M134,3)="13/","CAC","MAD")</f>
        <v>MAD</v>
      </c>
      <c r="N134" t="str">
        <f>+RIGHT(DB!M134,6)</f>
        <v/>
      </c>
      <c r="O134">
        <v>95</v>
      </c>
      <c r="P134">
        <v>5</v>
      </c>
      <c r="Q134">
        <f>+DB!AB134</f>
        <v>0</v>
      </c>
      <c r="R134">
        <f>+DB!K134</f>
        <v>0</v>
      </c>
      <c r="S134">
        <f>+DB!F134</f>
        <v>0</v>
      </c>
      <c r="T134">
        <f>+IF(DB!F134="AAAC-35",1,3)</f>
        <v>3</v>
      </c>
      <c r="U134">
        <f>+DB!R134</f>
        <v>0</v>
      </c>
      <c r="V134">
        <f>+IF(DB!P134="1RI",1,0)+IF(DB!P134="2RI",2,0)</f>
        <v>0</v>
      </c>
      <c r="W134">
        <f>+IF(DB!P134="1RV",1,0)+IF(DB!P134="2RV",2,0)</f>
        <v>0</v>
      </c>
      <c r="X134">
        <f>+IF(DB!P134="RYI",1,0)</f>
        <v>0</v>
      </c>
      <c r="Y134">
        <f>+IF(DB!P134="RYV",1,0)</f>
        <v>0</v>
      </c>
      <c r="Z134">
        <f>+DB!U134</f>
        <v>0</v>
      </c>
      <c r="AA134">
        <f>+IF(DB!F134="AAAC-35",19.5,33)</f>
        <v>33</v>
      </c>
      <c r="AB134">
        <f>+DB!V134</f>
        <v>0</v>
      </c>
      <c r="AC134" t="str">
        <f t="shared" si="8"/>
        <v>56-4</v>
      </c>
      <c r="AD134" s="21" t="s">
        <v>72</v>
      </c>
      <c r="AE134">
        <f>+DB!X134</f>
        <v>0</v>
      </c>
      <c r="AF134" s="22">
        <f>+DB!Y134</f>
        <v>0</v>
      </c>
      <c r="AG134">
        <f>+DB!AK134</f>
        <v>0</v>
      </c>
    </row>
    <row r="135" spans="1:33" x14ac:dyDescent="0.2">
      <c r="A135">
        <f>+DB!C135</f>
        <v>0</v>
      </c>
      <c r="B135">
        <f>+DB!D135</f>
        <v>0</v>
      </c>
      <c r="C135">
        <f>+DB!E135</f>
        <v>0</v>
      </c>
      <c r="D135">
        <f t="shared" si="6"/>
        <v>0</v>
      </c>
      <c r="E135">
        <f>+DB!G135</f>
        <v>0</v>
      </c>
      <c r="F135">
        <f>+DB!H135</f>
        <v>0</v>
      </c>
      <c r="G135">
        <f>+DB!N135</f>
        <v>0</v>
      </c>
      <c r="H135">
        <f>+DB!O135</f>
        <v>0</v>
      </c>
      <c r="I135">
        <f>+DB!I135</f>
        <v>0</v>
      </c>
      <c r="J135">
        <f>+DB!J135</f>
        <v>0</v>
      </c>
      <c r="K135">
        <f>+DB!L135</f>
        <v>0</v>
      </c>
      <c r="L135" t="str">
        <f t="shared" si="7"/>
        <v/>
      </c>
      <c r="M135" t="str">
        <f>+IF(LEFT(DB!M135,3)="13/","CAC","MAD")</f>
        <v>MAD</v>
      </c>
      <c r="N135" t="str">
        <f>+RIGHT(DB!M135,6)</f>
        <v/>
      </c>
      <c r="O135">
        <v>95</v>
      </c>
      <c r="P135">
        <v>5</v>
      </c>
      <c r="Q135">
        <f>+DB!AB135</f>
        <v>0</v>
      </c>
      <c r="R135">
        <f>+DB!K135</f>
        <v>0</v>
      </c>
      <c r="S135">
        <f>+DB!F135</f>
        <v>0</v>
      </c>
      <c r="T135">
        <f>+IF(DB!F135="AAAC-35",1,3)</f>
        <v>3</v>
      </c>
      <c r="U135">
        <f>+DB!R135</f>
        <v>0</v>
      </c>
      <c r="V135">
        <f>+IF(DB!P135="1RI",1,0)+IF(DB!P135="2RI",2,0)</f>
        <v>0</v>
      </c>
      <c r="W135">
        <f>+IF(DB!P135="1RV",1,0)+IF(DB!P135="2RV",2,0)</f>
        <v>0</v>
      </c>
      <c r="X135">
        <f>+IF(DB!P135="RYI",1,0)</f>
        <v>0</v>
      </c>
      <c r="Y135">
        <f>+IF(DB!P135="RYV",1,0)</f>
        <v>0</v>
      </c>
      <c r="Z135">
        <f>+DB!U135</f>
        <v>0</v>
      </c>
      <c r="AA135">
        <f>+IF(DB!F135="AAAC-35",19.5,33)</f>
        <v>33</v>
      </c>
      <c r="AB135">
        <f>+DB!V135</f>
        <v>0</v>
      </c>
      <c r="AC135" t="str">
        <f t="shared" si="8"/>
        <v>56-4</v>
      </c>
      <c r="AD135" s="21" t="s">
        <v>72</v>
      </c>
      <c r="AE135">
        <f>+DB!X135</f>
        <v>0</v>
      </c>
      <c r="AF135" s="22">
        <f>+DB!Y135</f>
        <v>0</v>
      </c>
      <c r="AG135">
        <f>+DB!AK135</f>
        <v>0</v>
      </c>
    </row>
    <row r="136" spans="1:33" x14ac:dyDescent="0.2">
      <c r="A136">
        <f>+DB!C136</f>
        <v>0</v>
      </c>
      <c r="B136">
        <f>+DB!D136</f>
        <v>0</v>
      </c>
      <c r="C136">
        <f>+DB!E136</f>
        <v>0</v>
      </c>
      <c r="D136">
        <f t="shared" si="6"/>
        <v>0</v>
      </c>
      <c r="E136">
        <f>+DB!G136</f>
        <v>0</v>
      </c>
      <c r="F136">
        <f>+DB!H136</f>
        <v>0</v>
      </c>
      <c r="G136">
        <f>+DB!N136</f>
        <v>0</v>
      </c>
      <c r="H136">
        <f>+DB!O136</f>
        <v>0</v>
      </c>
      <c r="I136">
        <f>+DB!I136</f>
        <v>0</v>
      </c>
      <c r="J136">
        <f>+DB!J136</f>
        <v>0</v>
      </c>
      <c r="K136">
        <f>+DB!L136</f>
        <v>0</v>
      </c>
      <c r="L136" t="str">
        <f t="shared" si="7"/>
        <v/>
      </c>
      <c r="M136" t="str">
        <f>+IF(LEFT(DB!M136,3)="13/","CAC","MAD")</f>
        <v>MAD</v>
      </c>
      <c r="N136" t="str">
        <f>+RIGHT(DB!M136,6)</f>
        <v/>
      </c>
      <c r="O136">
        <v>95</v>
      </c>
      <c r="P136">
        <v>5</v>
      </c>
      <c r="Q136">
        <f>+DB!AB136</f>
        <v>0</v>
      </c>
      <c r="R136">
        <f>+DB!K136</f>
        <v>0</v>
      </c>
      <c r="S136">
        <f>+DB!F136</f>
        <v>0</v>
      </c>
      <c r="T136">
        <f>+IF(DB!F136="AAAC-35",1,3)</f>
        <v>3</v>
      </c>
      <c r="U136">
        <f>+DB!R136</f>
        <v>0</v>
      </c>
      <c r="V136">
        <f>+IF(DB!P136="1RI",1,0)+IF(DB!P136="2RI",2,0)</f>
        <v>0</v>
      </c>
      <c r="W136">
        <f>+IF(DB!P136="1RV",1,0)+IF(DB!P136="2RV",2,0)</f>
        <v>0</v>
      </c>
      <c r="X136">
        <f>+IF(DB!P136="RYI",1,0)</f>
        <v>0</v>
      </c>
      <c r="Y136">
        <f>+IF(DB!P136="RYV",1,0)</f>
        <v>0</v>
      </c>
      <c r="Z136">
        <f>+DB!U136</f>
        <v>0</v>
      </c>
      <c r="AA136">
        <f>+IF(DB!F136="AAAC-35",19.5,33)</f>
        <v>33</v>
      </c>
      <c r="AB136">
        <f>+DB!V136</f>
        <v>0</v>
      </c>
      <c r="AC136" t="str">
        <f t="shared" si="8"/>
        <v>56-4</v>
      </c>
      <c r="AD136" s="21" t="s">
        <v>72</v>
      </c>
      <c r="AE136">
        <f>+DB!X136</f>
        <v>0</v>
      </c>
      <c r="AF136" s="22">
        <f>+DB!Y136</f>
        <v>0</v>
      </c>
      <c r="AG136">
        <f>+DB!AK136</f>
        <v>0</v>
      </c>
    </row>
    <row r="137" spans="1:33" x14ac:dyDescent="0.2">
      <c r="A137">
        <f>+DB!C137</f>
        <v>0</v>
      </c>
      <c r="B137">
        <f>+DB!D137</f>
        <v>0</v>
      </c>
      <c r="C137">
        <f>+DB!E137</f>
        <v>0</v>
      </c>
      <c r="D137">
        <f t="shared" si="6"/>
        <v>0</v>
      </c>
      <c r="E137">
        <f>+DB!G137</f>
        <v>0</v>
      </c>
      <c r="F137">
        <f>+DB!H137</f>
        <v>0</v>
      </c>
      <c r="G137">
        <f>+DB!N137</f>
        <v>0</v>
      </c>
      <c r="H137">
        <f>+DB!O137</f>
        <v>0</v>
      </c>
      <c r="I137">
        <f>+DB!I137</f>
        <v>0</v>
      </c>
      <c r="J137">
        <f>+DB!J137</f>
        <v>0</v>
      </c>
      <c r="K137">
        <f>+DB!L137</f>
        <v>0</v>
      </c>
      <c r="L137" t="str">
        <f t="shared" si="7"/>
        <v/>
      </c>
      <c r="M137" t="str">
        <f>+IF(LEFT(DB!M137,3)="13/","CAC","MAD")</f>
        <v>MAD</v>
      </c>
      <c r="N137" t="str">
        <f>+RIGHT(DB!M137,6)</f>
        <v/>
      </c>
      <c r="O137">
        <v>95</v>
      </c>
      <c r="P137">
        <v>5</v>
      </c>
      <c r="Q137">
        <f>+DB!AB137</f>
        <v>0</v>
      </c>
      <c r="R137">
        <f>+DB!K137</f>
        <v>0</v>
      </c>
      <c r="S137">
        <f>+DB!F137</f>
        <v>0</v>
      </c>
      <c r="T137">
        <f>+IF(DB!F137="AAAC-35",1,3)</f>
        <v>3</v>
      </c>
      <c r="U137">
        <f>+DB!R137</f>
        <v>0</v>
      </c>
      <c r="V137">
        <f>+IF(DB!P137="1RI",1,0)+IF(DB!P137="2RI",2,0)</f>
        <v>0</v>
      </c>
      <c r="W137">
        <f>+IF(DB!P137="1RV",1,0)+IF(DB!P137="2RV",2,0)</f>
        <v>0</v>
      </c>
      <c r="X137">
        <f>+IF(DB!P137="RYI",1,0)</f>
        <v>0</v>
      </c>
      <c r="Y137">
        <f>+IF(DB!P137="RYV",1,0)</f>
        <v>0</v>
      </c>
      <c r="Z137">
        <f>+DB!U137</f>
        <v>0</v>
      </c>
      <c r="AA137">
        <f>+IF(DB!F137="AAAC-35",19.5,33)</f>
        <v>33</v>
      </c>
      <c r="AB137">
        <f>+DB!V137</f>
        <v>0</v>
      </c>
      <c r="AC137" t="str">
        <f t="shared" si="8"/>
        <v>56-4</v>
      </c>
      <c r="AD137" s="21" t="s">
        <v>72</v>
      </c>
      <c r="AE137">
        <f>+DB!X137</f>
        <v>0</v>
      </c>
      <c r="AF137" s="22">
        <f>+DB!Y137</f>
        <v>0</v>
      </c>
      <c r="AG137">
        <f>+DB!AK137</f>
        <v>0</v>
      </c>
    </row>
    <row r="138" spans="1:33" x14ac:dyDescent="0.2">
      <c r="A138">
        <f>+DB!C138</f>
        <v>0</v>
      </c>
      <c r="B138">
        <f>+DB!D138</f>
        <v>0</v>
      </c>
      <c r="C138">
        <f>+DB!E138</f>
        <v>0</v>
      </c>
      <c r="D138">
        <f t="shared" si="6"/>
        <v>0</v>
      </c>
      <c r="E138">
        <f>+DB!G138</f>
        <v>0</v>
      </c>
      <c r="F138">
        <f>+DB!H138</f>
        <v>0</v>
      </c>
      <c r="G138">
        <f>+DB!N138</f>
        <v>0</v>
      </c>
      <c r="H138">
        <f>+DB!O138</f>
        <v>0</v>
      </c>
      <c r="I138">
        <f>+DB!I138</f>
        <v>0</v>
      </c>
      <c r="J138">
        <f>+DB!J138</f>
        <v>0</v>
      </c>
      <c r="K138">
        <f>+DB!L138</f>
        <v>0</v>
      </c>
      <c r="L138" t="str">
        <f t="shared" si="7"/>
        <v/>
      </c>
      <c r="M138" t="str">
        <f>+IF(LEFT(DB!M138,3)="13/","CAC","MAD")</f>
        <v>MAD</v>
      </c>
      <c r="N138" t="str">
        <f>+RIGHT(DB!M138,6)</f>
        <v/>
      </c>
      <c r="O138">
        <v>95</v>
      </c>
      <c r="P138">
        <v>5</v>
      </c>
      <c r="Q138">
        <f>+DB!AB138</f>
        <v>0</v>
      </c>
      <c r="R138">
        <f>+DB!K138</f>
        <v>0</v>
      </c>
      <c r="S138">
        <f>+DB!F138</f>
        <v>0</v>
      </c>
      <c r="T138">
        <f>+IF(DB!F138="AAAC-35",1,3)</f>
        <v>3</v>
      </c>
      <c r="U138">
        <f>+DB!R138</f>
        <v>0</v>
      </c>
      <c r="V138">
        <f>+IF(DB!P138="1RI",1,0)+IF(DB!P138="2RI",2,0)</f>
        <v>0</v>
      </c>
      <c r="W138">
        <f>+IF(DB!P138="1RV",1,0)+IF(DB!P138="2RV",2,0)</f>
        <v>0</v>
      </c>
      <c r="X138">
        <f>+IF(DB!P138="RYI",1,0)</f>
        <v>0</v>
      </c>
      <c r="Y138">
        <f>+IF(DB!P138="RYV",1,0)</f>
        <v>0</v>
      </c>
      <c r="Z138">
        <f>+DB!U138</f>
        <v>0</v>
      </c>
      <c r="AA138">
        <f>+IF(DB!F138="AAAC-35",19.5,33)</f>
        <v>33</v>
      </c>
      <c r="AB138">
        <f>+DB!V138</f>
        <v>0</v>
      </c>
      <c r="AC138" t="str">
        <f t="shared" si="8"/>
        <v>56-4</v>
      </c>
      <c r="AD138" s="21" t="s">
        <v>72</v>
      </c>
      <c r="AE138">
        <f>+DB!X138</f>
        <v>0</v>
      </c>
      <c r="AF138" s="22">
        <f>+DB!Y138</f>
        <v>0</v>
      </c>
      <c r="AG138">
        <f>+DB!AK138</f>
        <v>0</v>
      </c>
    </row>
    <row r="139" spans="1:33" x14ac:dyDescent="0.2">
      <c r="A139">
        <f>+DB!C139</f>
        <v>0</v>
      </c>
      <c r="B139">
        <f>+DB!D139</f>
        <v>0</v>
      </c>
      <c r="C139">
        <f>+DB!E139</f>
        <v>0</v>
      </c>
      <c r="D139">
        <f t="shared" si="6"/>
        <v>0</v>
      </c>
      <c r="E139">
        <f>+DB!G139</f>
        <v>0</v>
      </c>
      <c r="F139">
        <f>+DB!H139</f>
        <v>0</v>
      </c>
      <c r="G139">
        <f>+DB!N139</f>
        <v>0</v>
      </c>
      <c r="H139">
        <f>+DB!O139</f>
        <v>0</v>
      </c>
      <c r="I139">
        <f>+DB!I139</f>
        <v>0</v>
      </c>
      <c r="J139">
        <f>+DB!J139</f>
        <v>0</v>
      </c>
      <c r="K139">
        <f>+DB!L139</f>
        <v>0</v>
      </c>
      <c r="L139" t="str">
        <f t="shared" si="7"/>
        <v/>
      </c>
      <c r="M139" t="str">
        <f>+IF(LEFT(DB!M139,3)="13/","CAC","MAD")</f>
        <v>MAD</v>
      </c>
      <c r="N139" t="str">
        <f>+RIGHT(DB!M139,6)</f>
        <v/>
      </c>
      <c r="O139">
        <v>95</v>
      </c>
      <c r="P139">
        <v>5</v>
      </c>
      <c r="Q139">
        <f>+DB!AB139</f>
        <v>0</v>
      </c>
      <c r="R139">
        <f>+DB!K139</f>
        <v>0</v>
      </c>
      <c r="S139">
        <f>+DB!F139</f>
        <v>0</v>
      </c>
      <c r="T139">
        <f>+IF(DB!F139="AAAC-35",1,3)</f>
        <v>3</v>
      </c>
      <c r="U139">
        <f>+DB!R139</f>
        <v>0</v>
      </c>
      <c r="V139">
        <f>+IF(DB!P139="1RI",1,0)+IF(DB!P139="2RI",2,0)</f>
        <v>0</v>
      </c>
      <c r="W139">
        <f>+IF(DB!P139="1RV",1,0)+IF(DB!P139="2RV",2,0)</f>
        <v>0</v>
      </c>
      <c r="X139">
        <f>+IF(DB!P139="RYI",1,0)</f>
        <v>0</v>
      </c>
      <c r="Y139">
        <f>+IF(DB!P139="RYV",1,0)</f>
        <v>0</v>
      </c>
      <c r="Z139">
        <f>+DB!U139</f>
        <v>0</v>
      </c>
      <c r="AA139">
        <f>+IF(DB!F139="AAAC-35",19.5,33)</f>
        <v>33</v>
      </c>
      <c r="AB139">
        <f>+DB!V139</f>
        <v>0</v>
      </c>
      <c r="AC139" t="str">
        <f t="shared" si="8"/>
        <v>56-4</v>
      </c>
      <c r="AD139" s="21" t="s">
        <v>72</v>
      </c>
      <c r="AE139">
        <f>+DB!X139</f>
        <v>0</v>
      </c>
      <c r="AF139" s="22">
        <f>+DB!Y139</f>
        <v>0</v>
      </c>
      <c r="AG139">
        <f>+DB!AK139</f>
        <v>0</v>
      </c>
    </row>
    <row r="140" spans="1:33" x14ac:dyDescent="0.2">
      <c r="A140">
        <f>+DB!C140</f>
        <v>0</v>
      </c>
      <c r="B140">
        <f>+DB!D140</f>
        <v>0</v>
      </c>
      <c r="C140">
        <f>+DB!E140</f>
        <v>0</v>
      </c>
      <c r="D140">
        <f t="shared" si="6"/>
        <v>0</v>
      </c>
      <c r="E140">
        <f>+DB!G140</f>
        <v>0</v>
      </c>
      <c r="F140">
        <f>+DB!H140</f>
        <v>0</v>
      </c>
      <c r="G140">
        <f>+DB!N140</f>
        <v>0</v>
      </c>
      <c r="H140">
        <f>+DB!O140</f>
        <v>0</v>
      </c>
      <c r="I140">
        <f>+DB!I140</f>
        <v>0</v>
      </c>
      <c r="J140">
        <f>+DB!J140</f>
        <v>0</v>
      </c>
      <c r="K140">
        <f>+DB!L140</f>
        <v>0</v>
      </c>
      <c r="L140" t="str">
        <f t="shared" si="7"/>
        <v/>
      </c>
      <c r="M140" t="str">
        <f>+IF(LEFT(DB!M140,3)="13/","CAC","MAD")</f>
        <v>MAD</v>
      </c>
      <c r="N140" t="str">
        <f>+RIGHT(DB!M140,6)</f>
        <v/>
      </c>
      <c r="O140">
        <v>95</v>
      </c>
      <c r="P140">
        <v>5</v>
      </c>
      <c r="Q140">
        <f>+DB!AB140</f>
        <v>0</v>
      </c>
      <c r="R140">
        <f>+DB!K140</f>
        <v>0</v>
      </c>
      <c r="S140">
        <f>+DB!F140</f>
        <v>0</v>
      </c>
      <c r="T140">
        <f>+IF(DB!F140="AAAC-35",1,3)</f>
        <v>3</v>
      </c>
      <c r="U140">
        <f>+DB!R140</f>
        <v>0</v>
      </c>
      <c r="V140">
        <f>+IF(DB!P140="1RI",1,0)+IF(DB!P140="2RI",2,0)</f>
        <v>0</v>
      </c>
      <c r="W140">
        <f>+IF(DB!P140="1RV",1,0)+IF(DB!P140="2RV",2,0)</f>
        <v>0</v>
      </c>
      <c r="X140">
        <f>+IF(DB!P140="RYI",1,0)</f>
        <v>0</v>
      </c>
      <c r="Y140">
        <f>+IF(DB!P140="RYV",1,0)</f>
        <v>0</v>
      </c>
      <c r="Z140">
        <f>+DB!U140</f>
        <v>0</v>
      </c>
      <c r="AA140">
        <f>+IF(DB!F140="AAAC-35",19.5,33)</f>
        <v>33</v>
      </c>
      <c r="AB140">
        <f>+DB!V140</f>
        <v>0</v>
      </c>
      <c r="AC140" t="str">
        <f t="shared" si="8"/>
        <v>56-4</v>
      </c>
      <c r="AD140" s="21" t="s">
        <v>72</v>
      </c>
      <c r="AE140">
        <f>+DB!X140</f>
        <v>0</v>
      </c>
      <c r="AF140" s="22">
        <f>+DB!Y140</f>
        <v>0</v>
      </c>
      <c r="AG140">
        <f>+DB!AK140</f>
        <v>0</v>
      </c>
    </row>
    <row r="141" spans="1:33" x14ac:dyDescent="0.2">
      <c r="A141">
        <f>+DB!C141</f>
        <v>0</v>
      </c>
      <c r="B141">
        <f>+DB!D141</f>
        <v>0</v>
      </c>
      <c r="C141">
        <f>+DB!E141</f>
        <v>0</v>
      </c>
      <c r="D141">
        <f t="shared" si="6"/>
        <v>0</v>
      </c>
      <c r="E141">
        <f>+DB!G141</f>
        <v>0</v>
      </c>
      <c r="F141">
        <f>+DB!H141</f>
        <v>0</v>
      </c>
      <c r="G141">
        <f>+DB!N141</f>
        <v>0</v>
      </c>
      <c r="H141">
        <f>+DB!O141</f>
        <v>0</v>
      </c>
      <c r="I141">
        <f>+DB!I141</f>
        <v>0</v>
      </c>
      <c r="J141">
        <f>+DB!J141</f>
        <v>0</v>
      </c>
      <c r="K141">
        <f>+DB!L141</f>
        <v>0</v>
      </c>
      <c r="L141" t="str">
        <f t="shared" si="7"/>
        <v/>
      </c>
      <c r="M141" t="str">
        <f>+IF(LEFT(DB!M141,3)="13/","CAC","MAD")</f>
        <v>MAD</v>
      </c>
      <c r="N141" t="str">
        <f>+RIGHT(DB!M141,6)</f>
        <v/>
      </c>
      <c r="O141">
        <v>95</v>
      </c>
      <c r="P141">
        <v>5</v>
      </c>
      <c r="Q141">
        <f>+DB!AB141</f>
        <v>0</v>
      </c>
      <c r="R141">
        <f>+DB!K141</f>
        <v>0</v>
      </c>
      <c r="S141">
        <f>+DB!F141</f>
        <v>0</v>
      </c>
      <c r="T141">
        <f>+IF(DB!F141="AAAC-35",1,3)</f>
        <v>3</v>
      </c>
      <c r="U141">
        <f>+DB!R141</f>
        <v>0</v>
      </c>
      <c r="V141">
        <f>+IF(DB!P141="1RI",1,0)+IF(DB!P141="2RI",2,0)</f>
        <v>0</v>
      </c>
      <c r="W141">
        <f>+IF(DB!P141="1RV",1,0)+IF(DB!P141="2RV",2,0)</f>
        <v>0</v>
      </c>
      <c r="X141">
        <f>+IF(DB!P141="RYI",1,0)</f>
        <v>0</v>
      </c>
      <c r="Y141">
        <f>+IF(DB!P141="RYV",1,0)</f>
        <v>0</v>
      </c>
      <c r="Z141">
        <f>+DB!U141</f>
        <v>0</v>
      </c>
      <c r="AA141">
        <f>+IF(DB!F141="AAAC-35",19.5,33)</f>
        <v>33</v>
      </c>
      <c r="AB141">
        <f>+DB!V141</f>
        <v>0</v>
      </c>
      <c r="AC141" t="str">
        <f t="shared" si="8"/>
        <v>56-4</v>
      </c>
      <c r="AD141" s="21" t="s">
        <v>72</v>
      </c>
      <c r="AE141">
        <f>+DB!X141</f>
        <v>0</v>
      </c>
      <c r="AF141" s="22">
        <f>+DB!Y141</f>
        <v>0</v>
      </c>
      <c r="AG141">
        <f>+DB!AK141</f>
        <v>0</v>
      </c>
    </row>
    <row r="142" spans="1:33" x14ac:dyDescent="0.2">
      <c r="A142">
        <f>+DB!C142</f>
        <v>0</v>
      </c>
      <c r="B142">
        <f>+DB!D142</f>
        <v>0</v>
      </c>
      <c r="C142">
        <f>+DB!E142</f>
        <v>0</v>
      </c>
      <c r="D142">
        <f t="shared" si="6"/>
        <v>0</v>
      </c>
      <c r="E142">
        <f>+DB!G142</f>
        <v>0</v>
      </c>
      <c r="F142">
        <f>+DB!H142</f>
        <v>0</v>
      </c>
      <c r="G142">
        <f>+DB!N142</f>
        <v>0</v>
      </c>
      <c r="H142">
        <f>+DB!O142</f>
        <v>0</v>
      </c>
      <c r="I142">
        <f>+DB!I142</f>
        <v>0</v>
      </c>
      <c r="J142">
        <f>+DB!J142</f>
        <v>0</v>
      </c>
      <c r="K142">
        <f>+DB!L142</f>
        <v>0</v>
      </c>
      <c r="L142" t="str">
        <f t="shared" si="7"/>
        <v/>
      </c>
      <c r="M142" t="str">
        <f>+IF(LEFT(DB!M142,3)="13/","CAC","MAD")</f>
        <v>MAD</v>
      </c>
      <c r="N142" t="str">
        <f>+RIGHT(DB!M142,6)</f>
        <v/>
      </c>
      <c r="O142">
        <v>95</v>
      </c>
      <c r="P142">
        <v>5</v>
      </c>
      <c r="Q142">
        <f>+DB!AB142</f>
        <v>0</v>
      </c>
      <c r="R142">
        <f>+DB!K142</f>
        <v>0</v>
      </c>
      <c r="S142">
        <f>+DB!F142</f>
        <v>0</v>
      </c>
      <c r="T142">
        <f>+IF(DB!F142="AAAC-35",1,3)</f>
        <v>3</v>
      </c>
      <c r="U142">
        <f>+DB!R142</f>
        <v>0</v>
      </c>
      <c r="V142">
        <f>+IF(DB!P142="1RI",1,0)+IF(DB!P142="2RI",2,0)</f>
        <v>0</v>
      </c>
      <c r="W142">
        <f>+IF(DB!P142="1RV",1,0)+IF(DB!P142="2RV",2,0)</f>
        <v>0</v>
      </c>
      <c r="X142">
        <f>+IF(DB!P142="RYI",1,0)</f>
        <v>0</v>
      </c>
      <c r="Y142">
        <f>+IF(DB!P142="RYV",1,0)</f>
        <v>0</v>
      </c>
      <c r="Z142">
        <f>+DB!U142</f>
        <v>0</v>
      </c>
      <c r="AA142">
        <f>+IF(DB!F142="AAAC-35",19.5,33)</f>
        <v>33</v>
      </c>
      <c r="AB142">
        <f>+DB!V142</f>
        <v>0</v>
      </c>
      <c r="AC142" t="str">
        <f t="shared" si="8"/>
        <v>56-4</v>
      </c>
      <c r="AD142" s="21" t="s">
        <v>72</v>
      </c>
      <c r="AE142">
        <f>+DB!X142</f>
        <v>0</v>
      </c>
      <c r="AF142" s="22">
        <f>+DB!Y142</f>
        <v>0</v>
      </c>
      <c r="AG142">
        <f>+DB!AK142</f>
        <v>0</v>
      </c>
    </row>
    <row r="143" spans="1:33" x14ac:dyDescent="0.2">
      <c r="A143">
        <f>+DB!C143</f>
        <v>0</v>
      </c>
      <c r="B143">
        <f>+DB!D143</f>
        <v>0</v>
      </c>
      <c r="C143">
        <f>+DB!E143</f>
        <v>0</v>
      </c>
      <c r="D143">
        <f t="shared" si="6"/>
        <v>0</v>
      </c>
      <c r="E143">
        <f>+DB!G143</f>
        <v>0</v>
      </c>
      <c r="F143">
        <f>+DB!H143</f>
        <v>0</v>
      </c>
      <c r="G143">
        <f>+DB!N143</f>
        <v>0</v>
      </c>
      <c r="H143">
        <f>+DB!O143</f>
        <v>0</v>
      </c>
      <c r="I143">
        <f>+DB!I143</f>
        <v>0</v>
      </c>
      <c r="J143">
        <f>+DB!J143</f>
        <v>0</v>
      </c>
      <c r="K143">
        <f>+DB!L143</f>
        <v>0</v>
      </c>
      <c r="L143" t="str">
        <f t="shared" si="7"/>
        <v/>
      </c>
      <c r="M143" t="str">
        <f>+IF(LEFT(DB!M143,3)="13/","CAC","MAD")</f>
        <v>MAD</v>
      </c>
      <c r="N143" t="str">
        <f>+RIGHT(DB!M143,6)</f>
        <v/>
      </c>
      <c r="O143">
        <v>95</v>
      </c>
      <c r="P143">
        <v>5</v>
      </c>
      <c r="Q143">
        <f>+DB!AB143</f>
        <v>0</v>
      </c>
      <c r="R143">
        <f>+DB!K143</f>
        <v>0</v>
      </c>
      <c r="S143">
        <f>+DB!F143</f>
        <v>0</v>
      </c>
      <c r="T143">
        <f>+IF(DB!F143="AAAC-35",1,3)</f>
        <v>3</v>
      </c>
      <c r="U143">
        <f>+DB!R143</f>
        <v>0</v>
      </c>
      <c r="V143">
        <f>+IF(DB!P143="1RI",1,0)+IF(DB!P143="2RI",2,0)</f>
        <v>0</v>
      </c>
      <c r="W143">
        <f>+IF(DB!P143="1RV",1,0)+IF(DB!P143="2RV",2,0)</f>
        <v>0</v>
      </c>
      <c r="X143">
        <f>+IF(DB!P143="RYI",1,0)</f>
        <v>0</v>
      </c>
      <c r="Y143">
        <f>+IF(DB!P143="RYV",1,0)</f>
        <v>0</v>
      </c>
      <c r="Z143">
        <f>+DB!U143</f>
        <v>0</v>
      </c>
      <c r="AA143">
        <f>+IF(DB!F143="AAAC-35",19.5,33)</f>
        <v>33</v>
      </c>
      <c r="AB143">
        <f>+DB!V143</f>
        <v>0</v>
      </c>
      <c r="AC143" t="str">
        <f t="shared" si="8"/>
        <v>56-4</v>
      </c>
      <c r="AD143" s="21" t="s">
        <v>72</v>
      </c>
      <c r="AE143">
        <f>+DB!X143</f>
        <v>0</v>
      </c>
      <c r="AF143" s="22">
        <f>+DB!Y143</f>
        <v>0</v>
      </c>
      <c r="AG143">
        <f>+DB!AK143</f>
        <v>0</v>
      </c>
    </row>
    <row r="144" spans="1:33" x14ac:dyDescent="0.2">
      <c r="A144">
        <f>+DB!C144</f>
        <v>0</v>
      </c>
      <c r="B144">
        <f>+DB!D144</f>
        <v>0</v>
      </c>
      <c r="C144">
        <f>+DB!E144</f>
        <v>0</v>
      </c>
      <c r="D144">
        <f t="shared" si="6"/>
        <v>0</v>
      </c>
      <c r="E144">
        <f>+DB!G144</f>
        <v>0</v>
      </c>
      <c r="F144">
        <f>+DB!H144</f>
        <v>0</v>
      </c>
      <c r="G144">
        <f>+DB!N144</f>
        <v>0</v>
      </c>
      <c r="H144">
        <f>+DB!O144</f>
        <v>0</v>
      </c>
      <c r="I144">
        <f>+DB!I144</f>
        <v>0</v>
      </c>
      <c r="J144">
        <f>+DB!J144</f>
        <v>0</v>
      </c>
      <c r="K144">
        <f>+DB!L144</f>
        <v>0</v>
      </c>
      <c r="L144" t="str">
        <f t="shared" si="7"/>
        <v/>
      </c>
      <c r="M144" t="str">
        <f>+IF(LEFT(DB!M144,3)="13/","CAC","MAD")</f>
        <v>MAD</v>
      </c>
      <c r="N144" t="str">
        <f>+RIGHT(DB!M144,6)</f>
        <v/>
      </c>
      <c r="O144">
        <v>95</v>
      </c>
      <c r="P144">
        <v>5</v>
      </c>
      <c r="Q144">
        <f>+DB!AB144</f>
        <v>0</v>
      </c>
      <c r="R144">
        <f>+DB!K144</f>
        <v>0</v>
      </c>
      <c r="S144">
        <f>+DB!F144</f>
        <v>0</v>
      </c>
      <c r="T144">
        <f>+IF(DB!F144="AAAC-35",1,3)</f>
        <v>3</v>
      </c>
      <c r="U144">
        <f>+DB!R144</f>
        <v>0</v>
      </c>
      <c r="V144">
        <f>+IF(DB!P144="1RI",1,0)+IF(DB!P144="2RI",2,0)</f>
        <v>0</v>
      </c>
      <c r="W144">
        <f>+IF(DB!P144="1RV",1,0)+IF(DB!P144="2RV",2,0)</f>
        <v>0</v>
      </c>
      <c r="X144">
        <f>+IF(DB!P144="RYI",1,0)</f>
        <v>0</v>
      </c>
      <c r="Y144">
        <f>+IF(DB!P144="RYV",1,0)</f>
        <v>0</v>
      </c>
      <c r="Z144">
        <f>+DB!U144</f>
        <v>0</v>
      </c>
      <c r="AA144">
        <f>+IF(DB!F144="AAAC-35",19.5,33)</f>
        <v>33</v>
      </c>
      <c r="AB144">
        <f>+DB!V144</f>
        <v>0</v>
      </c>
      <c r="AC144" t="str">
        <f t="shared" si="8"/>
        <v>56-4</v>
      </c>
      <c r="AD144" s="21" t="s">
        <v>72</v>
      </c>
      <c r="AE144">
        <f>+DB!X144</f>
        <v>0</v>
      </c>
      <c r="AF144" s="22">
        <f>+DB!Y144</f>
        <v>0</v>
      </c>
      <c r="AG144">
        <f>+DB!AK144</f>
        <v>0</v>
      </c>
    </row>
    <row r="145" spans="1:33" x14ac:dyDescent="0.2">
      <c r="A145">
        <f>+DB!C145</f>
        <v>0</v>
      </c>
      <c r="B145">
        <f>+DB!D145</f>
        <v>0</v>
      </c>
      <c r="C145">
        <f>+DB!E145</f>
        <v>0</v>
      </c>
      <c r="D145">
        <f t="shared" si="6"/>
        <v>0</v>
      </c>
      <c r="E145">
        <f>+DB!G145</f>
        <v>0</v>
      </c>
      <c r="F145">
        <f>+DB!H145</f>
        <v>0</v>
      </c>
      <c r="G145">
        <f>+DB!N145</f>
        <v>0</v>
      </c>
      <c r="H145">
        <f>+DB!O145</f>
        <v>0</v>
      </c>
      <c r="I145">
        <f>+DB!I145</f>
        <v>0</v>
      </c>
      <c r="J145">
        <f>+DB!J145</f>
        <v>0</v>
      </c>
      <c r="K145">
        <f>+DB!L145</f>
        <v>0</v>
      </c>
      <c r="L145" t="str">
        <f t="shared" si="7"/>
        <v/>
      </c>
      <c r="M145" t="str">
        <f>+IF(LEFT(DB!M145,3)="13/","CAC","MAD")</f>
        <v>MAD</v>
      </c>
      <c r="N145" t="str">
        <f>+RIGHT(DB!M145,6)</f>
        <v/>
      </c>
      <c r="O145">
        <v>95</v>
      </c>
      <c r="P145">
        <v>5</v>
      </c>
      <c r="Q145">
        <f>+DB!AB145</f>
        <v>0</v>
      </c>
      <c r="R145">
        <f>+DB!K145</f>
        <v>0</v>
      </c>
      <c r="S145">
        <f>+DB!F145</f>
        <v>0</v>
      </c>
      <c r="T145">
        <f>+IF(DB!F145="AAAC-35",1,3)</f>
        <v>3</v>
      </c>
      <c r="U145">
        <f>+DB!R145</f>
        <v>0</v>
      </c>
      <c r="V145">
        <f>+IF(DB!P145="1RI",1,0)+IF(DB!P145="2RI",2,0)</f>
        <v>0</v>
      </c>
      <c r="W145">
        <f>+IF(DB!P145="1RV",1,0)+IF(DB!P145="2RV",2,0)</f>
        <v>0</v>
      </c>
      <c r="X145">
        <f>+IF(DB!P145="RYI",1,0)</f>
        <v>0</v>
      </c>
      <c r="Y145">
        <f>+IF(DB!P145="RYV",1,0)</f>
        <v>0</v>
      </c>
      <c r="Z145">
        <f>+DB!U145</f>
        <v>0</v>
      </c>
      <c r="AA145">
        <f>+IF(DB!F145="AAAC-35",19.5,33)</f>
        <v>33</v>
      </c>
      <c r="AB145">
        <f>+DB!V145</f>
        <v>0</v>
      </c>
      <c r="AC145" t="str">
        <f t="shared" si="8"/>
        <v>56-4</v>
      </c>
      <c r="AD145" s="21" t="s">
        <v>72</v>
      </c>
      <c r="AE145">
        <f>+DB!X145</f>
        <v>0</v>
      </c>
      <c r="AF145" s="22">
        <f>+DB!Y145</f>
        <v>0</v>
      </c>
      <c r="AG145">
        <f>+DB!AK145</f>
        <v>0</v>
      </c>
    </row>
    <row r="146" spans="1:33" x14ac:dyDescent="0.2">
      <c r="A146">
        <f>+DB!C146</f>
        <v>0</v>
      </c>
      <c r="B146">
        <f>+DB!D146</f>
        <v>0</v>
      </c>
      <c r="C146">
        <f>+DB!E146</f>
        <v>0</v>
      </c>
      <c r="D146">
        <f t="shared" si="6"/>
        <v>0</v>
      </c>
      <c r="E146">
        <f>+DB!G146</f>
        <v>0</v>
      </c>
      <c r="F146">
        <f>+DB!H146</f>
        <v>0</v>
      </c>
      <c r="G146">
        <f>+DB!N146</f>
        <v>0</v>
      </c>
      <c r="H146">
        <f>+DB!O146</f>
        <v>0</v>
      </c>
      <c r="I146">
        <f>+DB!I146</f>
        <v>0</v>
      </c>
      <c r="J146">
        <f>+DB!J146</f>
        <v>0</v>
      </c>
      <c r="K146">
        <f>+DB!L146</f>
        <v>0</v>
      </c>
      <c r="L146" t="str">
        <f t="shared" si="7"/>
        <v/>
      </c>
      <c r="M146" t="str">
        <f>+IF(LEFT(DB!M146,3)="13/","CAC","MAD")</f>
        <v>MAD</v>
      </c>
      <c r="N146" t="str">
        <f>+RIGHT(DB!M146,6)</f>
        <v/>
      </c>
      <c r="O146">
        <v>95</v>
      </c>
      <c r="P146">
        <v>5</v>
      </c>
      <c r="Q146">
        <f>+DB!AB146</f>
        <v>0</v>
      </c>
      <c r="R146">
        <f>+DB!K146</f>
        <v>0</v>
      </c>
      <c r="S146">
        <f>+DB!F146</f>
        <v>0</v>
      </c>
      <c r="T146">
        <f>+IF(DB!F146="AAAC-35",1,3)</f>
        <v>3</v>
      </c>
      <c r="U146">
        <f>+DB!R146</f>
        <v>0</v>
      </c>
      <c r="V146">
        <f>+IF(DB!P146="1RI",1,0)+IF(DB!P146="2RI",2,0)</f>
        <v>0</v>
      </c>
      <c r="W146">
        <f>+IF(DB!P146="1RV",1,0)+IF(DB!P146="2RV",2,0)</f>
        <v>0</v>
      </c>
      <c r="X146">
        <f>+IF(DB!P146="RYI",1,0)</f>
        <v>0</v>
      </c>
      <c r="Y146">
        <f>+IF(DB!P146="RYV",1,0)</f>
        <v>0</v>
      </c>
      <c r="Z146">
        <f>+DB!U146</f>
        <v>0</v>
      </c>
      <c r="AA146">
        <f>+IF(DB!F146="AAAC-35",19.5,33)</f>
        <v>33</v>
      </c>
      <c r="AB146">
        <f>+DB!V146</f>
        <v>0</v>
      </c>
      <c r="AC146" t="str">
        <f t="shared" si="8"/>
        <v>56-4</v>
      </c>
      <c r="AD146" s="21" t="s">
        <v>72</v>
      </c>
      <c r="AE146">
        <f>+DB!X146</f>
        <v>0</v>
      </c>
      <c r="AF146" s="22">
        <f>+DB!Y146</f>
        <v>0</v>
      </c>
      <c r="AG146">
        <f>+DB!AK146</f>
        <v>0</v>
      </c>
    </row>
    <row r="147" spans="1:33" x14ac:dyDescent="0.2">
      <c r="A147">
        <f>+DB!C147</f>
        <v>0</v>
      </c>
      <c r="B147">
        <f>+DB!D147</f>
        <v>0</v>
      </c>
      <c r="C147">
        <f>+DB!E147</f>
        <v>0</v>
      </c>
      <c r="D147">
        <f t="shared" si="6"/>
        <v>0</v>
      </c>
      <c r="E147">
        <f>+DB!G147</f>
        <v>0</v>
      </c>
      <c r="F147">
        <f>+DB!H147</f>
        <v>0</v>
      </c>
      <c r="G147">
        <f>+DB!N147</f>
        <v>0</v>
      </c>
      <c r="H147">
        <f>+DB!O147</f>
        <v>0</v>
      </c>
      <c r="I147">
        <f>+DB!I147</f>
        <v>0</v>
      </c>
      <c r="J147">
        <f>+DB!J147</f>
        <v>0</v>
      </c>
      <c r="K147">
        <f>+DB!L147</f>
        <v>0</v>
      </c>
      <c r="L147" t="str">
        <f t="shared" si="7"/>
        <v/>
      </c>
      <c r="M147" t="str">
        <f>+IF(LEFT(DB!M147,3)="13/","CAC","MAD")</f>
        <v>MAD</v>
      </c>
      <c r="N147" t="str">
        <f>+RIGHT(DB!M147,6)</f>
        <v/>
      </c>
      <c r="O147">
        <v>95</v>
      </c>
      <c r="P147">
        <v>5</v>
      </c>
      <c r="Q147">
        <f>+DB!AB147</f>
        <v>0</v>
      </c>
      <c r="R147">
        <f>+DB!K147</f>
        <v>0</v>
      </c>
      <c r="S147">
        <f>+DB!F147</f>
        <v>0</v>
      </c>
      <c r="T147">
        <f>+IF(DB!F147="AAAC-35",1,3)</f>
        <v>3</v>
      </c>
      <c r="U147">
        <f>+DB!R147</f>
        <v>0</v>
      </c>
      <c r="V147">
        <f>+IF(DB!P147="1RI",1,0)+IF(DB!P147="2RI",2,0)</f>
        <v>0</v>
      </c>
      <c r="W147">
        <f>+IF(DB!P147="1RV",1,0)+IF(DB!P147="2RV",2,0)</f>
        <v>0</v>
      </c>
      <c r="X147">
        <f>+IF(DB!P147="RYI",1,0)</f>
        <v>0</v>
      </c>
      <c r="Y147">
        <f>+IF(DB!P147="RYV",1,0)</f>
        <v>0</v>
      </c>
      <c r="Z147">
        <f>+DB!U147</f>
        <v>0</v>
      </c>
      <c r="AA147">
        <f>+IF(DB!F147="AAAC-35",19.5,33)</f>
        <v>33</v>
      </c>
      <c r="AB147">
        <f>+DB!V147</f>
        <v>0</v>
      </c>
      <c r="AC147" t="str">
        <f t="shared" si="8"/>
        <v>56-4</v>
      </c>
      <c r="AD147" s="21" t="s">
        <v>72</v>
      </c>
      <c r="AE147">
        <f>+DB!X147</f>
        <v>0</v>
      </c>
      <c r="AF147" s="22">
        <f>+DB!Y147</f>
        <v>0</v>
      </c>
      <c r="AG147">
        <f>+DB!AK147</f>
        <v>0</v>
      </c>
    </row>
    <row r="148" spans="1:33" x14ac:dyDescent="0.2">
      <c r="A148">
        <f>+DB!C148</f>
        <v>0</v>
      </c>
      <c r="B148">
        <f>+DB!D148</f>
        <v>0</v>
      </c>
      <c r="C148">
        <f>+DB!E148</f>
        <v>0</v>
      </c>
      <c r="D148">
        <f t="shared" si="6"/>
        <v>0</v>
      </c>
      <c r="E148">
        <f>+DB!G148</f>
        <v>0</v>
      </c>
      <c r="F148">
        <f>+DB!H148</f>
        <v>0</v>
      </c>
      <c r="G148">
        <f>+DB!N148</f>
        <v>0</v>
      </c>
      <c r="H148">
        <f>+DB!O148</f>
        <v>0</v>
      </c>
      <c r="I148">
        <f>+DB!I148</f>
        <v>0</v>
      </c>
      <c r="J148">
        <f>+DB!J148</f>
        <v>0</v>
      </c>
      <c r="K148">
        <f>+DB!L148</f>
        <v>0</v>
      </c>
      <c r="L148" t="str">
        <f t="shared" si="7"/>
        <v/>
      </c>
      <c r="M148" t="str">
        <f>+IF(LEFT(DB!M148,3)="13/","CAC","MAD")</f>
        <v>MAD</v>
      </c>
      <c r="N148" t="str">
        <f>+RIGHT(DB!M148,6)</f>
        <v/>
      </c>
      <c r="O148">
        <v>95</v>
      </c>
      <c r="P148">
        <v>5</v>
      </c>
      <c r="Q148">
        <f>+DB!AB148</f>
        <v>0</v>
      </c>
      <c r="R148">
        <f>+DB!K148</f>
        <v>0</v>
      </c>
      <c r="S148">
        <f>+DB!F148</f>
        <v>0</v>
      </c>
      <c r="T148">
        <f>+IF(DB!F148="AAAC-35",1,3)</f>
        <v>3</v>
      </c>
      <c r="U148">
        <f>+DB!R148</f>
        <v>0</v>
      </c>
      <c r="V148">
        <f>+IF(DB!P148="1RI",1,0)+IF(DB!P148="2RI",2,0)</f>
        <v>0</v>
      </c>
      <c r="W148">
        <f>+IF(DB!P148="1RV",1,0)+IF(DB!P148="2RV",2,0)</f>
        <v>0</v>
      </c>
      <c r="X148">
        <f>+IF(DB!P148="RYI",1,0)</f>
        <v>0</v>
      </c>
      <c r="Y148">
        <f>+IF(DB!P148="RYV",1,0)</f>
        <v>0</v>
      </c>
      <c r="Z148">
        <f>+DB!U148</f>
        <v>0</v>
      </c>
      <c r="AA148">
        <f>+IF(DB!F148="AAAC-35",19.5,33)</f>
        <v>33</v>
      </c>
      <c r="AB148">
        <f>+DB!V148</f>
        <v>0</v>
      </c>
      <c r="AC148" t="str">
        <f t="shared" si="8"/>
        <v>56-4</v>
      </c>
      <c r="AD148" s="21" t="s">
        <v>72</v>
      </c>
      <c r="AE148">
        <f>+DB!X148</f>
        <v>0</v>
      </c>
      <c r="AF148" s="22">
        <f>+DB!Y148</f>
        <v>0</v>
      </c>
      <c r="AG148">
        <f>+DB!AK148</f>
        <v>0</v>
      </c>
    </row>
    <row r="149" spans="1:33" x14ac:dyDescent="0.2">
      <c r="A149">
        <f>+DB!C149</f>
        <v>0</v>
      </c>
      <c r="B149">
        <f>+DB!D149</f>
        <v>0</v>
      </c>
      <c r="C149">
        <f>+DB!E149</f>
        <v>0</v>
      </c>
      <c r="D149">
        <f t="shared" si="6"/>
        <v>0</v>
      </c>
      <c r="E149">
        <f>+DB!G149</f>
        <v>0</v>
      </c>
      <c r="F149">
        <f>+DB!H149</f>
        <v>0</v>
      </c>
      <c r="G149">
        <f>+DB!N149</f>
        <v>0</v>
      </c>
      <c r="H149">
        <f>+DB!O149</f>
        <v>0</v>
      </c>
      <c r="I149">
        <f>+DB!I149</f>
        <v>0</v>
      </c>
      <c r="J149">
        <f>+DB!J149</f>
        <v>0</v>
      </c>
      <c r="K149">
        <f>+DB!L149</f>
        <v>0</v>
      </c>
      <c r="L149" t="str">
        <f t="shared" si="7"/>
        <v/>
      </c>
      <c r="M149" t="str">
        <f>+IF(LEFT(DB!M149,3)="13/","CAC","MAD")</f>
        <v>MAD</v>
      </c>
      <c r="N149" t="str">
        <f>+RIGHT(DB!M149,6)</f>
        <v/>
      </c>
      <c r="O149">
        <v>95</v>
      </c>
      <c r="P149">
        <v>5</v>
      </c>
      <c r="Q149">
        <f>+DB!AB149</f>
        <v>0</v>
      </c>
      <c r="R149">
        <f>+DB!K149</f>
        <v>0</v>
      </c>
      <c r="S149">
        <f>+DB!F149</f>
        <v>0</v>
      </c>
      <c r="T149">
        <f>+IF(DB!F149="AAAC-35",1,3)</f>
        <v>3</v>
      </c>
      <c r="U149">
        <f>+DB!R149</f>
        <v>0</v>
      </c>
      <c r="V149">
        <f>+IF(DB!P149="1RI",1,0)+IF(DB!P149="2RI",2,0)</f>
        <v>0</v>
      </c>
      <c r="W149">
        <f>+IF(DB!P149="1RV",1,0)+IF(DB!P149="2RV",2,0)</f>
        <v>0</v>
      </c>
      <c r="X149">
        <f>+IF(DB!P149="RYI",1,0)</f>
        <v>0</v>
      </c>
      <c r="Y149">
        <f>+IF(DB!P149="RYV",1,0)</f>
        <v>0</v>
      </c>
      <c r="Z149">
        <f>+DB!U149</f>
        <v>0</v>
      </c>
      <c r="AA149">
        <f>+IF(DB!F149="AAAC-35",19.5,33)</f>
        <v>33</v>
      </c>
      <c r="AB149">
        <f>+DB!V149</f>
        <v>0</v>
      </c>
      <c r="AC149" t="str">
        <f t="shared" si="8"/>
        <v>56-4</v>
      </c>
      <c r="AD149" s="21" t="s">
        <v>72</v>
      </c>
      <c r="AE149">
        <f>+DB!X149</f>
        <v>0</v>
      </c>
      <c r="AF149" s="22">
        <f>+DB!Y149</f>
        <v>0</v>
      </c>
      <c r="AG149">
        <f>+DB!AK149</f>
        <v>0</v>
      </c>
    </row>
    <row r="150" spans="1:33" x14ac:dyDescent="0.2">
      <c r="A150">
        <f>+DB!C150</f>
        <v>0</v>
      </c>
      <c r="B150">
        <f>+DB!D150</f>
        <v>0</v>
      </c>
      <c r="C150">
        <f>+DB!E150</f>
        <v>0</v>
      </c>
      <c r="D150">
        <f t="shared" si="6"/>
        <v>0</v>
      </c>
      <c r="E150">
        <f>+DB!G150</f>
        <v>0</v>
      </c>
      <c r="F150">
        <f>+DB!H150</f>
        <v>0</v>
      </c>
      <c r="G150">
        <f>+DB!N150</f>
        <v>0</v>
      </c>
      <c r="H150">
        <f>+DB!O150</f>
        <v>0</v>
      </c>
      <c r="I150">
        <f>+DB!I150</f>
        <v>0</v>
      </c>
      <c r="J150">
        <f>+DB!J150</f>
        <v>0</v>
      </c>
      <c r="K150">
        <f>+DB!L150</f>
        <v>0</v>
      </c>
      <c r="L150" t="str">
        <f t="shared" si="7"/>
        <v/>
      </c>
      <c r="M150" t="str">
        <f>+IF(LEFT(DB!M150,3)="13/","CAC","MAD")</f>
        <v>MAD</v>
      </c>
      <c r="N150" t="str">
        <f>+RIGHT(DB!M150,6)</f>
        <v/>
      </c>
      <c r="O150">
        <v>95</v>
      </c>
      <c r="P150">
        <v>5</v>
      </c>
      <c r="Q150">
        <f>+DB!AB150</f>
        <v>0</v>
      </c>
      <c r="R150">
        <f>+DB!K150</f>
        <v>0</v>
      </c>
      <c r="S150">
        <f>+DB!F150</f>
        <v>0</v>
      </c>
      <c r="T150">
        <f>+IF(DB!F150="AAAC-35",1,3)</f>
        <v>3</v>
      </c>
      <c r="U150">
        <f>+DB!R150</f>
        <v>0</v>
      </c>
      <c r="V150">
        <f>+IF(DB!P150="1RI",1,0)+IF(DB!P150="2RI",2,0)</f>
        <v>0</v>
      </c>
      <c r="W150">
        <f>+IF(DB!P150="1RV",1,0)+IF(DB!P150="2RV",2,0)</f>
        <v>0</v>
      </c>
      <c r="X150">
        <f>+IF(DB!P150="RYI",1,0)</f>
        <v>0</v>
      </c>
      <c r="Y150">
        <f>+IF(DB!P150="RYV",1,0)</f>
        <v>0</v>
      </c>
      <c r="Z150">
        <f>+DB!U150</f>
        <v>0</v>
      </c>
      <c r="AA150">
        <f>+IF(DB!F150="AAAC-35",19.5,33)</f>
        <v>33</v>
      </c>
      <c r="AB150">
        <f>+DB!V150</f>
        <v>0</v>
      </c>
      <c r="AC150" t="str">
        <f t="shared" si="8"/>
        <v>56-4</v>
      </c>
      <c r="AD150" s="21" t="s">
        <v>72</v>
      </c>
      <c r="AE150">
        <f>+DB!X150</f>
        <v>0</v>
      </c>
      <c r="AF150" s="22">
        <f>+DB!Y150</f>
        <v>0</v>
      </c>
      <c r="AG150">
        <f>+DB!AK150</f>
        <v>0</v>
      </c>
    </row>
    <row r="151" spans="1:33" x14ac:dyDescent="0.2">
      <c r="A151">
        <f>+DB!C151</f>
        <v>0</v>
      </c>
      <c r="B151">
        <f>+DB!D151</f>
        <v>0</v>
      </c>
      <c r="C151">
        <f>+DB!E151</f>
        <v>0</v>
      </c>
      <c r="D151">
        <f t="shared" si="6"/>
        <v>0</v>
      </c>
      <c r="E151">
        <f>+DB!G151</f>
        <v>0</v>
      </c>
      <c r="F151">
        <f>+DB!H151</f>
        <v>0</v>
      </c>
      <c r="G151">
        <f>+DB!N151</f>
        <v>0</v>
      </c>
      <c r="H151">
        <f>+DB!O151</f>
        <v>0</v>
      </c>
      <c r="I151">
        <f>+DB!I151</f>
        <v>0</v>
      </c>
      <c r="J151">
        <f>+DB!J151</f>
        <v>0</v>
      </c>
      <c r="K151">
        <f>+DB!L151</f>
        <v>0</v>
      </c>
      <c r="L151" t="str">
        <f t="shared" si="7"/>
        <v/>
      </c>
      <c r="M151" t="str">
        <f>+IF(LEFT(DB!M151,3)="13/","CAC","MAD")</f>
        <v>MAD</v>
      </c>
      <c r="N151" t="str">
        <f>+RIGHT(DB!M151,6)</f>
        <v/>
      </c>
      <c r="O151">
        <v>95</v>
      </c>
      <c r="P151">
        <v>5</v>
      </c>
      <c r="Q151">
        <f>+DB!AB151</f>
        <v>0</v>
      </c>
      <c r="R151">
        <f>+DB!K151</f>
        <v>0</v>
      </c>
      <c r="S151">
        <f>+DB!F151</f>
        <v>0</v>
      </c>
      <c r="T151">
        <f>+IF(DB!F151="AAAC-35",1,3)</f>
        <v>3</v>
      </c>
      <c r="U151">
        <f>+DB!R151</f>
        <v>0</v>
      </c>
      <c r="V151">
        <f>+IF(DB!P151="1RI",1,0)+IF(DB!P151="2RI",2,0)</f>
        <v>0</v>
      </c>
      <c r="W151">
        <f>+IF(DB!P151="1RV",1,0)+IF(DB!P151="2RV",2,0)</f>
        <v>0</v>
      </c>
      <c r="X151">
        <f>+IF(DB!P151="RYI",1,0)</f>
        <v>0</v>
      </c>
      <c r="Y151">
        <f>+IF(DB!P151="RYV",1,0)</f>
        <v>0</v>
      </c>
      <c r="Z151">
        <f>+DB!U151</f>
        <v>0</v>
      </c>
      <c r="AA151">
        <f>+IF(DB!F151="AAAC-35",19.5,33)</f>
        <v>33</v>
      </c>
      <c r="AB151">
        <f>+DB!V151</f>
        <v>0</v>
      </c>
      <c r="AC151" t="str">
        <f t="shared" si="8"/>
        <v>56-4</v>
      </c>
      <c r="AD151" s="21" t="s">
        <v>72</v>
      </c>
      <c r="AE151">
        <f>+DB!X151</f>
        <v>0</v>
      </c>
      <c r="AF151" s="22">
        <f>+DB!Y151</f>
        <v>0</v>
      </c>
      <c r="AG151">
        <f>+DB!AK151</f>
        <v>0</v>
      </c>
    </row>
    <row r="152" spans="1:33" x14ac:dyDescent="0.2">
      <c r="A152">
        <f>+DB!C152</f>
        <v>0</v>
      </c>
      <c r="B152">
        <f>+DB!D152</f>
        <v>0</v>
      </c>
      <c r="C152">
        <f>+DB!E152</f>
        <v>0</v>
      </c>
      <c r="D152">
        <f t="shared" si="6"/>
        <v>0</v>
      </c>
      <c r="E152">
        <f>+DB!G152</f>
        <v>0</v>
      </c>
      <c r="F152">
        <f>+DB!H152</f>
        <v>0</v>
      </c>
      <c r="G152">
        <f>+DB!N152</f>
        <v>0</v>
      </c>
      <c r="H152">
        <f>+DB!O152</f>
        <v>0</v>
      </c>
      <c r="I152">
        <f>+DB!I152</f>
        <v>0</v>
      </c>
      <c r="J152">
        <f>+DB!J152</f>
        <v>0</v>
      </c>
      <c r="K152">
        <f>+DB!L152</f>
        <v>0</v>
      </c>
      <c r="L152" t="str">
        <f t="shared" si="7"/>
        <v/>
      </c>
      <c r="M152" t="str">
        <f>+IF(LEFT(DB!M152,3)="13/","CAC","MAD")</f>
        <v>MAD</v>
      </c>
      <c r="N152" t="str">
        <f>+RIGHT(DB!M152,6)</f>
        <v/>
      </c>
      <c r="O152">
        <v>95</v>
      </c>
      <c r="P152">
        <v>5</v>
      </c>
      <c r="Q152">
        <f>+DB!AB152</f>
        <v>0</v>
      </c>
      <c r="R152">
        <f>+DB!K152</f>
        <v>0</v>
      </c>
      <c r="S152">
        <f>+DB!F152</f>
        <v>0</v>
      </c>
      <c r="T152">
        <f>+IF(DB!F152="AAAC-35",1,3)</f>
        <v>3</v>
      </c>
      <c r="U152">
        <f>+DB!R152</f>
        <v>0</v>
      </c>
      <c r="V152">
        <f>+IF(DB!P152="1RI",1,0)+IF(DB!P152="2RI",2,0)</f>
        <v>0</v>
      </c>
      <c r="W152">
        <f>+IF(DB!P152="1RV",1,0)+IF(DB!P152="2RV",2,0)</f>
        <v>0</v>
      </c>
      <c r="X152">
        <f>+IF(DB!P152="RYI",1,0)</f>
        <v>0</v>
      </c>
      <c r="Y152">
        <f>+IF(DB!P152="RYV",1,0)</f>
        <v>0</v>
      </c>
      <c r="Z152">
        <f>+DB!U152</f>
        <v>0</v>
      </c>
      <c r="AA152">
        <f>+IF(DB!F152="AAAC-35",19.5,33)</f>
        <v>33</v>
      </c>
      <c r="AB152">
        <f>+DB!V152</f>
        <v>0</v>
      </c>
      <c r="AC152" t="str">
        <f t="shared" si="8"/>
        <v>56-4</v>
      </c>
      <c r="AD152" s="21" t="s">
        <v>72</v>
      </c>
      <c r="AE152">
        <f>+DB!X152</f>
        <v>0</v>
      </c>
      <c r="AF152" s="22">
        <f>+DB!Y152</f>
        <v>0</v>
      </c>
      <c r="AG152">
        <f>+DB!AK152</f>
        <v>0</v>
      </c>
    </row>
    <row r="153" spans="1:33" x14ac:dyDescent="0.2">
      <c r="A153">
        <f>+DB!C153</f>
        <v>0</v>
      </c>
      <c r="B153">
        <f>+DB!D153</f>
        <v>0</v>
      </c>
      <c r="C153">
        <f>+DB!E153</f>
        <v>0</v>
      </c>
      <c r="D153">
        <f t="shared" si="6"/>
        <v>0</v>
      </c>
      <c r="E153">
        <f>+DB!G153</f>
        <v>0</v>
      </c>
      <c r="F153">
        <f>+DB!H153</f>
        <v>0</v>
      </c>
      <c r="G153">
        <f>+DB!N153</f>
        <v>0</v>
      </c>
      <c r="H153">
        <f>+DB!O153</f>
        <v>0</v>
      </c>
      <c r="I153">
        <f>+DB!I153</f>
        <v>0</v>
      </c>
      <c r="J153">
        <f>+DB!J153</f>
        <v>0</v>
      </c>
      <c r="K153">
        <f>+DB!L153</f>
        <v>0</v>
      </c>
      <c r="L153" t="str">
        <f t="shared" si="7"/>
        <v/>
      </c>
      <c r="M153" t="str">
        <f>+IF(LEFT(DB!M153,3)="13/","CAC","MAD")</f>
        <v>MAD</v>
      </c>
      <c r="N153" t="str">
        <f>+RIGHT(DB!M153,6)</f>
        <v/>
      </c>
      <c r="O153">
        <v>95</v>
      </c>
      <c r="P153">
        <v>5</v>
      </c>
      <c r="Q153">
        <f>+DB!AB153</f>
        <v>0</v>
      </c>
      <c r="R153">
        <f>+DB!K153</f>
        <v>0</v>
      </c>
      <c r="S153">
        <f>+DB!F153</f>
        <v>0</v>
      </c>
      <c r="T153">
        <f>+IF(DB!F153="AAAC-35",1,3)</f>
        <v>3</v>
      </c>
      <c r="U153">
        <f>+DB!R153</f>
        <v>0</v>
      </c>
      <c r="V153">
        <f>+IF(DB!P153="1RI",1,0)+IF(DB!P153="2RI",2,0)</f>
        <v>0</v>
      </c>
      <c r="W153">
        <f>+IF(DB!P153="1RV",1,0)+IF(DB!P153="2RV",2,0)</f>
        <v>0</v>
      </c>
      <c r="X153">
        <f>+IF(DB!P153="RYI",1,0)</f>
        <v>0</v>
      </c>
      <c r="Y153">
        <f>+IF(DB!P153="RYV",1,0)</f>
        <v>0</v>
      </c>
      <c r="Z153">
        <f>+DB!U153</f>
        <v>0</v>
      </c>
      <c r="AA153">
        <f>+IF(DB!F153="AAAC-35",19.5,33)</f>
        <v>33</v>
      </c>
      <c r="AB153">
        <f>+DB!V153</f>
        <v>0</v>
      </c>
      <c r="AC153" t="str">
        <f t="shared" si="8"/>
        <v>56-4</v>
      </c>
      <c r="AD153" s="21" t="s">
        <v>72</v>
      </c>
      <c r="AE153">
        <f>+DB!X153</f>
        <v>0</v>
      </c>
      <c r="AF153" s="22">
        <f>+DB!Y153</f>
        <v>0</v>
      </c>
      <c r="AG153">
        <f>+DB!AK153</f>
        <v>0</v>
      </c>
    </row>
    <row r="154" spans="1:33" x14ac:dyDescent="0.2">
      <c r="A154">
        <f>+DB!C154</f>
        <v>0</v>
      </c>
      <c r="B154">
        <f>+DB!D154</f>
        <v>0</v>
      </c>
      <c r="C154">
        <f>+DB!E154</f>
        <v>0</v>
      </c>
      <c r="D154">
        <f t="shared" si="6"/>
        <v>0</v>
      </c>
      <c r="E154">
        <f>+DB!G154</f>
        <v>0</v>
      </c>
      <c r="F154">
        <f>+DB!H154</f>
        <v>0</v>
      </c>
      <c r="G154">
        <f>+DB!N154</f>
        <v>0</v>
      </c>
      <c r="H154">
        <f>+DB!O154</f>
        <v>0</v>
      </c>
      <c r="I154">
        <f>+DB!I154</f>
        <v>0</v>
      </c>
      <c r="J154">
        <f>+DB!J154</f>
        <v>0</v>
      </c>
      <c r="K154">
        <f>+DB!L154</f>
        <v>0</v>
      </c>
      <c r="L154" t="str">
        <f t="shared" si="7"/>
        <v/>
      </c>
      <c r="M154" t="str">
        <f>+IF(LEFT(DB!M154,3)="13/","CAC","MAD")</f>
        <v>MAD</v>
      </c>
      <c r="N154" t="str">
        <f>+RIGHT(DB!M154,6)</f>
        <v/>
      </c>
      <c r="O154">
        <v>95</v>
      </c>
      <c r="P154">
        <v>5</v>
      </c>
      <c r="Q154">
        <f>+DB!AB154</f>
        <v>0</v>
      </c>
      <c r="R154">
        <f>+DB!K154</f>
        <v>0</v>
      </c>
      <c r="S154">
        <f>+DB!F154</f>
        <v>0</v>
      </c>
      <c r="T154">
        <f>+IF(DB!F154="AAAC-35",1,3)</f>
        <v>3</v>
      </c>
      <c r="U154">
        <f>+DB!R154</f>
        <v>0</v>
      </c>
      <c r="V154">
        <f>+IF(DB!P154="1RI",1,0)+IF(DB!P154="2RI",2,0)</f>
        <v>0</v>
      </c>
      <c r="W154">
        <f>+IF(DB!P154="1RV",1,0)+IF(DB!P154="2RV",2,0)</f>
        <v>0</v>
      </c>
      <c r="X154">
        <f>+IF(DB!P154="RYI",1,0)</f>
        <v>0</v>
      </c>
      <c r="Y154">
        <f>+IF(DB!P154="RYV",1,0)</f>
        <v>0</v>
      </c>
      <c r="Z154">
        <f>+DB!U154</f>
        <v>0</v>
      </c>
      <c r="AA154">
        <f>+IF(DB!F154="AAAC-35",19.5,33)</f>
        <v>33</v>
      </c>
      <c r="AB154">
        <f>+DB!V154</f>
        <v>0</v>
      </c>
      <c r="AC154" t="str">
        <f t="shared" si="8"/>
        <v>56-4</v>
      </c>
      <c r="AD154" s="21" t="s">
        <v>72</v>
      </c>
      <c r="AE154">
        <f>+DB!X154</f>
        <v>0</v>
      </c>
      <c r="AF154" s="22">
        <f>+DB!Y154</f>
        <v>0</v>
      </c>
      <c r="AG154">
        <f>+DB!AK154</f>
        <v>0</v>
      </c>
    </row>
    <row r="155" spans="1:33" x14ac:dyDescent="0.2">
      <c r="A155">
        <f>+DB!C155</f>
        <v>0</v>
      </c>
      <c r="B155">
        <f>+DB!D155</f>
        <v>0</v>
      </c>
      <c r="C155">
        <f>+DB!E155</f>
        <v>0</v>
      </c>
      <c r="D155">
        <f t="shared" si="6"/>
        <v>0</v>
      </c>
      <c r="E155">
        <f>+DB!G155</f>
        <v>0</v>
      </c>
      <c r="F155">
        <f>+DB!H155</f>
        <v>0</v>
      </c>
      <c r="G155">
        <f>+DB!N155</f>
        <v>0</v>
      </c>
      <c r="H155">
        <f>+DB!O155</f>
        <v>0</v>
      </c>
      <c r="I155">
        <f>+DB!I155</f>
        <v>0</v>
      </c>
      <c r="J155">
        <f>+DB!J155</f>
        <v>0</v>
      </c>
      <c r="K155">
        <f>+DB!L155</f>
        <v>0</v>
      </c>
      <c r="L155" t="str">
        <f t="shared" si="7"/>
        <v/>
      </c>
      <c r="M155" t="str">
        <f>+IF(LEFT(DB!M155,3)="13/","CAC","MAD")</f>
        <v>MAD</v>
      </c>
      <c r="N155" t="str">
        <f>+RIGHT(DB!M155,6)</f>
        <v/>
      </c>
      <c r="O155">
        <v>95</v>
      </c>
      <c r="P155">
        <v>5</v>
      </c>
      <c r="Q155">
        <f>+DB!AB155</f>
        <v>0</v>
      </c>
      <c r="R155">
        <f>+DB!K155</f>
        <v>0</v>
      </c>
      <c r="S155">
        <f>+DB!F155</f>
        <v>0</v>
      </c>
      <c r="T155">
        <f>+IF(DB!F155="AAAC-35",1,3)</f>
        <v>3</v>
      </c>
      <c r="U155">
        <f>+DB!R155</f>
        <v>0</v>
      </c>
      <c r="V155">
        <f>+IF(DB!P155="1RI",1,0)+IF(DB!P155="2RI",2,0)</f>
        <v>0</v>
      </c>
      <c r="W155">
        <f>+IF(DB!P155="1RV",1,0)+IF(DB!P155="2RV",2,0)</f>
        <v>0</v>
      </c>
      <c r="X155">
        <f>+IF(DB!P155="RYI",1,0)</f>
        <v>0</v>
      </c>
      <c r="Y155">
        <f>+IF(DB!P155="RYV",1,0)</f>
        <v>0</v>
      </c>
      <c r="Z155">
        <f>+DB!U155</f>
        <v>0</v>
      </c>
      <c r="AA155">
        <f>+IF(DB!F155="AAAC-35",19.5,33)</f>
        <v>33</v>
      </c>
      <c r="AB155">
        <f>+DB!V155</f>
        <v>0</v>
      </c>
      <c r="AC155" t="str">
        <f t="shared" si="8"/>
        <v>56-4</v>
      </c>
      <c r="AD155" s="21" t="s">
        <v>72</v>
      </c>
      <c r="AE155">
        <f>+DB!X155</f>
        <v>0</v>
      </c>
      <c r="AF155" s="22">
        <f>+DB!Y155</f>
        <v>0</v>
      </c>
      <c r="AG155">
        <f>+DB!AK155</f>
        <v>0</v>
      </c>
    </row>
    <row r="156" spans="1:33" x14ac:dyDescent="0.2">
      <c r="A156">
        <f>+DB!C156</f>
        <v>0</v>
      </c>
      <c r="B156">
        <f>+DB!D156</f>
        <v>0</v>
      </c>
      <c r="C156">
        <f>+DB!E156</f>
        <v>0</v>
      </c>
      <c r="D156">
        <f t="shared" si="6"/>
        <v>0</v>
      </c>
      <c r="E156">
        <f>+DB!G156</f>
        <v>0</v>
      </c>
      <c r="F156">
        <f>+DB!H156</f>
        <v>0</v>
      </c>
      <c r="G156">
        <f>+DB!N156</f>
        <v>0</v>
      </c>
      <c r="H156">
        <f>+DB!O156</f>
        <v>0</v>
      </c>
      <c r="I156">
        <f>+DB!I156</f>
        <v>0</v>
      </c>
      <c r="J156">
        <f>+DB!J156</f>
        <v>0</v>
      </c>
      <c r="K156">
        <f>+DB!L156</f>
        <v>0</v>
      </c>
      <c r="L156" t="str">
        <f t="shared" si="7"/>
        <v/>
      </c>
      <c r="M156" t="str">
        <f>+IF(LEFT(DB!M156,3)="13/","CAC","MAD")</f>
        <v>MAD</v>
      </c>
      <c r="N156" t="str">
        <f>+RIGHT(DB!M156,6)</f>
        <v/>
      </c>
      <c r="O156">
        <v>95</v>
      </c>
      <c r="P156">
        <v>5</v>
      </c>
      <c r="Q156">
        <f>+DB!AB156</f>
        <v>0</v>
      </c>
      <c r="R156">
        <f>+DB!K156</f>
        <v>0</v>
      </c>
      <c r="S156">
        <f>+DB!F156</f>
        <v>0</v>
      </c>
      <c r="T156">
        <f>+IF(DB!F156="AAAC-35",1,3)</f>
        <v>3</v>
      </c>
      <c r="U156">
        <f>+DB!R156</f>
        <v>0</v>
      </c>
      <c r="V156">
        <f>+IF(DB!P156="1RI",1,0)+IF(DB!P156="2RI",2,0)</f>
        <v>0</v>
      </c>
      <c r="W156">
        <f>+IF(DB!P156="1RV",1,0)+IF(DB!P156="2RV",2,0)</f>
        <v>0</v>
      </c>
      <c r="X156">
        <f>+IF(DB!P156="RYI",1,0)</f>
        <v>0</v>
      </c>
      <c r="Y156">
        <f>+IF(DB!P156="RYV",1,0)</f>
        <v>0</v>
      </c>
      <c r="Z156">
        <f>+DB!U156</f>
        <v>0</v>
      </c>
      <c r="AA156">
        <f>+IF(DB!F156="AAAC-35",19.5,33)</f>
        <v>33</v>
      </c>
      <c r="AB156">
        <f>+DB!V156</f>
        <v>0</v>
      </c>
      <c r="AC156" t="str">
        <f t="shared" si="8"/>
        <v>56-4</v>
      </c>
      <c r="AD156" s="21" t="s">
        <v>72</v>
      </c>
      <c r="AE156">
        <f>+DB!X156</f>
        <v>0</v>
      </c>
      <c r="AF156" s="22">
        <f>+DB!Y156</f>
        <v>0</v>
      </c>
      <c r="AG156">
        <f>+DB!AK156</f>
        <v>0</v>
      </c>
    </row>
    <row r="157" spans="1:33" x14ac:dyDescent="0.2">
      <c r="A157">
        <f>+DB!C157</f>
        <v>0</v>
      </c>
      <c r="B157">
        <f>+DB!D157</f>
        <v>0</v>
      </c>
      <c r="C157">
        <f>+DB!E157</f>
        <v>0</v>
      </c>
      <c r="D157">
        <f t="shared" si="6"/>
        <v>0</v>
      </c>
      <c r="E157">
        <f>+DB!G157</f>
        <v>0</v>
      </c>
      <c r="F157">
        <f>+DB!H157</f>
        <v>0</v>
      </c>
      <c r="G157">
        <f>+DB!N157</f>
        <v>0</v>
      </c>
      <c r="H157">
        <f>+DB!O157</f>
        <v>0</v>
      </c>
      <c r="I157">
        <f>+DB!I157</f>
        <v>0</v>
      </c>
      <c r="J157">
        <f>+DB!J157</f>
        <v>0</v>
      </c>
      <c r="K157">
        <f>+DB!L157</f>
        <v>0</v>
      </c>
      <c r="L157" t="str">
        <f t="shared" si="7"/>
        <v/>
      </c>
      <c r="M157" t="str">
        <f>+IF(LEFT(DB!M157,3)="13/","CAC","MAD")</f>
        <v>MAD</v>
      </c>
      <c r="N157" t="str">
        <f>+RIGHT(DB!M157,6)</f>
        <v/>
      </c>
      <c r="O157">
        <v>95</v>
      </c>
      <c r="P157">
        <v>5</v>
      </c>
      <c r="Q157">
        <f>+DB!AB157</f>
        <v>0</v>
      </c>
      <c r="R157">
        <f>+DB!K157</f>
        <v>0</v>
      </c>
      <c r="S157">
        <f>+DB!F157</f>
        <v>0</v>
      </c>
      <c r="T157">
        <f>+IF(DB!F157="AAAC-35",1,3)</f>
        <v>3</v>
      </c>
      <c r="U157">
        <f>+DB!R157</f>
        <v>0</v>
      </c>
      <c r="V157">
        <f>+IF(DB!P157="1RI",1,0)+IF(DB!P157="2RI",2,0)</f>
        <v>0</v>
      </c>
      <c r="W157">
        <f>+IF(DB!P157="1RV",1,0)+IF(DB!P157="2RV",2,0)</f>
        <v>0</v>
      </c>
      <c r="X157">
        <f>+IF(DB!P157="RYI",1,0)</f>
        <v>0</v>
      </c>
      <c r="Y157">
        <f>+IF(DB!P157="RYV",1,0)</f>
        <v>0</v>
      </c>
      <c r="Z157">
        <f>+DB!U157</f>
        <v>0</v>
      </c>
      <c r="AA157">
        <f>+IF(DB!F157="AAAC-35",19.5,33)</f>
        <v>33</v>
      </c>
      <c r="AB157">
        <f>+DB!V157</f>
        <v>0</v>
      </c>
      <c r="AC157" t="str">
        <f t="shared" si="8"/>
        <v>56-4</v>
      </c>
      <c r="AD157" s="21" t="s">
        <v>72</v>
      </c>
      <c r="AE157">
        <f>+DB!X157</f>
        <v>0</v>
      </c>
      <c r="AF157" s="22">
        <f>+DB!Y157</f>
        <v>0</v>
      </c>
      <c r="AG157">
        <f>+DB!AK157</f>
        <v>0</v>
      </c>
    </row>
    <row r="158" spans="1:33" x14ac:dyDescent="0.2">
      <c r="A158">
        <f>+DB!C158</f>
        <v>0</v>
      </c>
      <c r="B158">
        <f>+DB!D158</f>
        <v>0</v>
      </c>
      <c r="C158">
        <f>+DB!E158</f>
        <v>0</v>
      </c>
      <c r="D158">
        <f t="shared" si="6"/>
        <v>0</v>
      </c>
      <c r="E158">
        <f>+DB!G158</f>
        <v>0</v>
      </c>
      <c r="F158">
        <f>+DB!H158</f>
        <v>0</v>
      </c>
      <c r="G158">
        <f>+DB!N158</f>
        <v>0</v>
      </c>
      <c r="H158">
        <f>+DB!O158</f>
        <v>0</v>
      </c>
      <c r="I158">
        <f>+DB!I158</f>
        <v>0</v>
      </c>
      <c r="J158">
        <f>+DB!J158</f>
        <v>0</v>
      </c>
      <c r="K158">
        <f>+DB!L158</f>
        <v>0</v>
      </c>
      <c r="L158" t="str">
        <f t="shared" si="7"/>
        <v/>
      </c>
      <c r="M158" t="str">
        <f>+IF(LEFT(DB!M158,3)="13/","CAC","MAD")</f>
        <v>MAD</v>
      </c>
      <c r="N158" t="str">
        <f>+RIGHT(DB!M158,6)</f>
        <v/>
      </c>
      <c r="O158">
        <v>95</v>
      </c>
      <c r="P158">
        <v>5</v>
      </c>
      <c r="Q158">
        <f>+DB!AB158</f>
        <v>0</v>
      </c>
      <c r="R158">
        <f>+DB!K158</f>
        <v>0</v>
      </c>
      <c r="S158">
        <f>+DB!F158</f>
        <v>0</v>
      </c>
      <c r="T158">
        <f>+IF(DB!F158="AAAC-35",1,3)</f>
        <v>3</v>
      </c>
      <c r="U158">
        <f>+DB!R158</f>
        <v>0</v>
      </c>
      <c r="V158">
        <f>+IF(DB!P158="1RI",1,0)+IF(DB!P158="2RI",2,0)</f>
        <v>0</v>
      </c>
      <c r="W158">
        <f>+IF(DB!P158="1RV",1,0)+IF(DB!P158="2RV",2,0)</f>
        <v>0</v>
      </c>
      <c r="X158">
        <f>+IF(DB!P158="RYI",1,0)</f>
        <v>0</v>
      </c>
      <c r="Y158">
        <f>+IF(DB!P158="RYV",1,0)</f>
        <v>0</v>
      </c>
      <c r="Z158">
        <f>+DB!U158</f>
        <v>0</v>
      </c>
      <c r="AA158">
        <f>+IF(DB!F158="AAAC-35",19.5,33)</f>
        <v>33</v>
      </c>
      <c r="AB158">
        <f>+DB!V158</f>
        <v>0</v>
      </c>
      <c r="AC158" t="str">
        <f t="shared" si="8"/>
        <v>56-4</v>
      </c>
      <c r="AD158" s="21" t="s">
        <v>72</v>
      </c>
      <c r="AE158">
        <f>+DB!X158</f>
        <v>0</v>
      </c>
      <c r="AF158" s="22">
        <f>+DB!Y158</f>
        <v>0</v>
      </c>
      <c r="AG158">
        <f>+DB!AK158</f>
        <v>0</v>
      </c>
    </row>
    <row r="159" spans="1:33" x14ac:dyDescent="0.2">
      <c r="A159">
        <f>+DB!C159</f>
        <v>0</v>
      </c>
      <c r="B159">
        <f>+DB!D159</f>
        <v>0</v>
      </c>
      <c r="C159">
        <f>+DB!E159</f>
        <v>0</v>
      </c>
      <c r="D159">
        <f t="shared" si="6"/>
        <v>0</v>
      </c>
      <c r="E159">
        <f>+DB!G159</f>
        <v>0</v>
      </c>
      <c r="F159">
        <f>+DB!H159</f>
        <v>0</v>
      </c>
      <c r="G159">
        <f>+DB!N159</f>
        <v>0</v>
      </c>
      <c r="H159">
        <f>+DB!O159</f>
        <v>0</v>
      </c>
      <c r="I159">
        <f>+DB!I159</f>
        <v>0</v>
      </c>
      <c r="J159">
        <f>+DB!J159</f>
        <v>0</v>
      </c>
      <c r="K159">
        <f>+DB!L159</f>
        <v>0</v>
      </c>
      <c r="L159" t="str">
        <f t="shared" si="7"/>
        <v/>
      </c>
      <c r="M159" t="str">
        <f>+IF(LEFT(DB!M159,3)="13/","CAC","MAD")</f>
        <v>MAD</v>
      </c>
      <c r="N159" t="str">
        <f>+RIGHT(DB!M159,6)</f>
        <v/>
      </c>
      <c r="O159">
        <v>95</v>
      </c>
      <c r="P159">
        <v>5</v>
      </c>
      <c r="Q159">
        <f>+DB!AB159</f>
        <v>0</v>
      </c>
      <c r="R159">
        <f>+DB!K159</f>
        <v>0</v>
      </c>
      <c r="S159">
        <f>+DB!F159</f>
        <v>0</v>
      </c>
      <c r="T159">
        <f>+IF(DB!F159="AAAC-35",1,3)</f>
        <v>3</v>
      </c>
      <c r="U159">
        <f>+DB!R159</f>
        <v>0</v>
      </c>
      <c r="V159">
        <f>+IF(DB!P159="1RI",1,0)+IF(DB!P159="2RI",2,0)</f>
        <v>0</v>
      </c>
      <c r="W159">
        <f>+IF(DB!P159="1RV",1,0)+IF(DB!P159="2RV",2,0)</f>
        <v>0</v>
      </c>
      <c r="X159">
        <f>+IF(DB!P159="RYI",1,0)</f>
        <v>0</v>
      </c>
      <c r="Y159">
        <f>+IF(DB!P159="RYV",1,0)</f>
        <v>0</v>
      </c>
      <c r="Z159">
        <f>+DB!U159</f>
        <v>0</v>
      </c>
      <c r="AA159">
        <f>+IF(DB!F159="AAAC-35",19.5,33)</f>
        <v>33</v>
      </c>
      <c r="AB159">
        <f>+DB!V159</f>
        <v>0</v>
      </c>
      <c r="AC159" t="str">
        <f t="shared" si="8"/>
        <v>56-4</v>
      </c>
      <c r="AD159" s="21" t="s">
        <v>72</v>
      </c>
      <c r="AE159">
        <f>+DB!X159</f>
        <v>0</v>
      </c>
      <c r="AF159" s="22">
        <f>+DB!Y159</f>
        <v>0</v>
      </c>
      <c r="AG159">
        <f>+DB!AK159</f>
        <v>0</v>
      </c>
    </row>
    <row r="160" spans="1:33" x14ac:dyDescent="0.2">
      <c r="A160">
        <f>+DB!C160</f>
        <v>0</v>
      </c>
      <c r="B160">
        <f>+DB!D160</f>
        <v>0</v>
      </c>
      <c r="C160">
        <f>+DB!E160</f>
        <v>0</v>
      </c>
      <c r="D160">
        <f t="shared" si="6"/>
        <v>0</v>
      </c>
      <c r="E160">
        <f>+DB!G160</f>
        <v>0</v>
      </c>
      <c r="F160">
        <f>+DB!H160</f>
        <v>0</v>
      </c>
      <c r="G160">
        <f>+DB!N160</f>
        <v>0</v>
      </c>
      <c r="H160">
        <f>+DB!O160</f>
        <v>0</v>
      </c>
      <c r="I160">
        <f>+DB!I160</f>
        <v>0</v>
      </c>
      <c r="J160">
        <f>+DB!J160</f>
        <v>0</v>
      </c>
      <c r="K160">
        <f>+DB!L160</f>
        <v>0</v>
      </c>
      <c r="L160" t="str">
        <f t="shared" si="7"/>
        <v/>
      </c>
      <c r="M160" t="str">
        <f>+IF(LEFT(DB!M160,3)="13/","CAC","MAD")</f>
        <v>MAD</v>
      </c>
      <c r="N160" t="str">
        <f>+RIGHT(DB!M160,6)</f>
        <v/>
      </c>
      <c r="O160">
        <v>95</v>
      </c>
      <c r="P160">
        <v>5</v>
      </c>
      <c r="Q160">
        <f>+DB!AB160</f>
        <v>0</v>
      </c>
      <c r="R160">
        <f>+DB!K160</f>
        <v>0</v>
      </c>
      <c r="S160">
        <f>+DB!F160</f>
        <v>0</v>
      </c>
      <c r="T160">
        <f>+IF(DB!F160="AAAC-35",1,3)</f>
        <v>3</v>
      </c>
      <c r="U160">
        <f>+DB!R160</f>
        <v>0</v>
      </c>
      <c r="V160">
        <f>+IF(DB!P160="1RI",1,0)+IF(DB!P160="2RI",2,0)</f>
        <v>0</v>
      </c>
      <c r="W160">
        <f>+IF(DB!P160="1RV",1,0)+IF(DB!P160="2RV",2,0)</f>
        <v>0</v>
      </c>
      <c r="X160">
        <f>+IF(DB!P160="RYI",1,0)</f>
        <v>0</v>
      </c>
      <c r="Y160">
        <f>+IF(DB!P160="RYV",1,0)</f>
        <v>0</v>
      </c>
      <c r="Z160">
        <f>+DB!U160</f>
        <v>0</v>
      </c>
      <c r="AA160">
        <f>+IF(DB!F160="AAAC-35",19.5,33)</f>
        <v>33</v>
      </c>
      <c r="AB160">
        <f>+DB!V160</f>
        <v>0</v>
      </c>
      <c r="AC160" t="str">
        <f t="shared" si="8"/>
        <v>56-4</v>
      </c>
      <c r="AD160" s="21" t="s">
        <v>72</v>
      </c>
      <c r="AE160">
        <f>+DB!X160</f>
        <v>0</v>
      </c>
      <c r="AF160" s="22">
        <f>+DB!Y160</f>
        <v>0</v>
      </c>
      <c r="AG160">
        <f>+DB!AK160</f>
        <v>0</v>
      </c>
    </row>
    <row r="161" spans="1:33" x14ac:dyDescent="0.2">
      <c r="A161">
        <f>+DB!C161</f>
        <v>0</v>
      </c>
      <c r="B161">
        <f>+DB!D161</f>
        <v>0</v>
      </c>
      <c r="C161">
        <f>+DB!E161</f>
        <v>0</v>
      </c>
      <c r="D161">
        <f t="shared" si="6"/>
        <v>0</v>
      </c>
      <c r="E161">
        <f>+DB!G161</f>
        <v>0</v>
      </c>
      <c r="F161">
        <f>+DB!H161</f>
        <v>0</v>
      </c>
      <c r="G161">
        <f>+DB!N161</f>
        <v>0</v>
      </c>
      <c r="H161">
        <f>+DB!O161</f>
        <v>0</v>
      </c>
      <c r="I161">
        <f>+DB!I161</f>
        <v>0</v>
      </c>
      <c r="J161">
        <f>+DB!J161</f>
        <v>0</v>
      </c>
      <c r="K161">
        <f>+DB!L161</f>
        <v>0</v>
      </c>
      <c r="L161" t="str">
        <f t="shared" si="7"/>
        <v/>
      </c>
      <c r="M161" t="str">
        <f>+IF(LEFT(DB!M161,3)="13/","CAC","MAD")</f>
        <v>MAD</v>
      </c>
      <c r="N161" t="str">
        <f>+RIGHT(DB!M161,6)</f>
        <v/>
      </c>
      <c r="O161">
        <v>95</v>
      </c>
      <c r="P161">
        <v>5</v>
      </c>
      <c r="Q161">
        <f>+DB!AB161</f>
        <v>0</v>
      </c>
      <c r="R161">
        <f>+DB!K161</f>
        <v>0</v>
      </c>
      <c r="S161">
        <f>+DB!F161</f>
        <v>0</v>
      </c>
      <c r="T161">
        <f>+IF(DB!F161="AAAC-35",1,3)</f>
        <v>3</v>
      </c>
      <c r="U161">
        <f>+DB!R161</f>
        <v>0</v>
      </c>
      <c r="V161">
        <f>+IF(DB!P161="1RI",1,0)+IF(DB!P161="2RI",2,0)</f>
        <v>0</v>
      </c>
      <c r="W161">
        <f>+IF(DB!P161="1RV",1,0)+IF(DB!P161="2RV",2,0)</f>
        <v>0</v>
      </c>
      <c r="X161">
        <f>+IF(DB!P161="RYI",1,0)</f>
        <v>0</v>
      </c>
      <c r="Y161">
        <f>+IF(DB!P161="RYV",1,0)</f>
        <v>0</v>
      </c>
      <c r="Z161">
        <f>+DB!U161</f>
        <v>0</v>
      </c>
      <c r="AA161">
        <f>+IF(DB!F161="AAAC-35",19.5,33)</f>
        <v>33</v>
      </c>
      <c r="AB161">
        <f>+DB!V161</f>
        <v>0</v>
      </c>
      <c r="AC161" t="str">
        <f t="shared" si="8"/>
        <v>56-4</v>
      </c>
      <c r="AD161" s="21" t="s">
        <v>72</v>
      </c>
      <c r="AE161">
        <f>+DB!X161</f>
        <v>0</v>
      </c>
      <c r="AF161" s="22">
        <f>+DB!Y161</f>
        <v>0</v>
      </c>
      <c r="AG161">
        <f>+DB!AK161</f>
        <v>0</v>
      </c>
    </row>
    <row r="162" spans="1:33" x14ac:dyDescent="0.2">
      <c r="A162">
        <f>+DB!C162</f>
        <v>0</v>
      </c>
      <c r="B162">
        <f>+DB!D162</f>
        <v>0</v>
      </c>
      <c r="C162">
        <f>+DB!E162</f>
        <v>0</v>
      </c>
      <c r="D162">
        <f t="shared" si="6"/>
        <v>0</v>
      </c>
      <c r="E162">
        <f>+DB!G162</f>
        <v>0</v>
      </c>
      <c r="F162">
        <f>+DB!H162</f>
        <v>0</v>
      </c>
      <c r="G162">
        <f>+DB!N162</f>
        <v>0</v>
      </c>
      <c r="H162">
        <f>+DB!O162</f>
        <v>0</v>
      </c>
      <c r="I162">
        <f>+DB!I162</f>
        <v>0</v>
      </c>
      <c r="J162">
        <f>+DB!J162</f>
        <v>0</v>
      </c>
      <c r="K162">
        <f>+DB!L162</f>
        <v>0</v>
      </c>
      <c r="L162" t="str">
        <f t="shared" si="7"/>
        <v/>
      </c>
      <c r="M162" t="str">
        <f>+IF(LEFT(DB!M162,3)="13/","CAC","MAD")</f>
        <v>MAD</v>
      </c>
      <c r="N162" t="str">
        <f>+RIGHT(DB!M162,6)</f>
        <v/>
      </c>
      <c r="O162">
        <v>95</v>
      </c>
      <c r="P162">
        <v>5</v>
      </c>
      <c r="Q162">
        <f>+DB!AB162</f>
        <v>0</v>
      </c>
      <c r="R162">
        <f>+DB!K162</f>
        <v>0</v>
      </c>
      <c r="S162">
        <f>+DB!F162</f>
        <v>0</v>
      </c>
      <c r="T162">
        <f>+IF(DB!F162="AAAC-35",1,3)</f>
        <v>3</v>
      </c>
      <c r="U162">
        <f>+DB!R162</f>
        <v>0</v>
      </c>
      <c r="V162">
        <f>+IF(DB!P162="1RI",1,0)+IF(DB!P162="2RI",2,0)</f>
        <v>0</v>
      </c>
      <c r="W162">
        <f>+IF(DB!P162="1RV",1,0)+IF(DB!P162="2RV",2,0)</f>
        <v>0</v>
      </c>
      <c r="X162">
        <f>+IF(DB!P162="RYI",1,0)</f>
        <v>0</v>
      </c>
      <c r="Y162">
        <f>+IF(DB!P162="RYV",1,0)</f>
        <v>0</v>
      </c>
      <c r="Z162">
        <f>+DB!U162</f>
        <v>0</v>
      </c>
      <c r="AA162">
        <f>+IF(DB!F162="AAAC-35",19.5,33)</f>
        <v>33</v>
      </c>
      <c r="AB162">
        <f>+DB!V162</f>
        <v>0</v>
      </c>
      <c r="AC162" t="str">
        <f t="shared" si="8"/>
        <v>56-4</v>
      </c>
      <c r="AD162" s="21" t="s">
        <v>72</v>
      </c>
      <c r="AE162">
        <f>+DB!X162</f>
        <v>0</v>
      </c>
      <c r="AF162" s="22">
        <f>+DB!Y162</f>
        <v>0</v>
      </c>
      <c r="AG162">
        <f>+DB!AK162</f>
        <v>0</v>
      </c>
    </row>
    <row r="163" spans="1:33" x14ac:dyDescent="0.2">
      <c r="A163">
        <f>+DB!C163</f>
        <v>0</v>
      </c>
      <c r="B163">
        <f>+DB!D163</f>
        <v>0</v>
      </c>
      <c r="C163">
        <f>+DB!E163</f>
        <v>0</v>
      </c>
      <c r="D163">
        <f t="shared" si="6"/>
        <v>0</v>
      </c>
      <c r="E163">
        <f>+DB!G163</f>
        <v>0</v>
      </c>
      <c r="F163">
        <f>+DB!H163</f>
        <v>0</v>
      </c>
      <c r="G163">
        <f>+DB!N163</f>
        <v>0</v>
      </c>
      <c r="H163">
        <f>+DB!O163</f>
        <v>0</v>
      </c>
      <c r="I163">
        <f>+DB!I163</f>
        <v>0</v>
      </c>
      <c r="J163">
        <f>+DB!J163</f>
        <v>0</v>
      </c>
      <c r="K163">
        <f>+DB!L163</f>
        <v>0</v>
      </c>
      <c r="L163" t="str">
        <f t="shared" si="7"/>
        <v/>
      </c>
      <c r="M163" t="str">
        <f>+IF(LEFT(DB!M163,3)="13/","CAC","MAD")</f>
        <v>MAD</v>
      </c>
      <c r="N163" t="str">
        <f>+RIGHT(DB!M163,6)</f>
        <v/>
      </c>
      <c r="O163">
        <v>95</v>
      </c>
      <c r="P163">
        <v>5</v>
      </c>
      <c r="Q163">
        <f>+DB!AB163</f>
        <v>0</v>
      </c>
      <c r="R163">
        <f>+DB!K163</f>
        <v>0</v>
      </c>
      <c r="S163">
        <f>+DB!F163</f>
        <v>0</v>
      </c>
      <c r="T163">
        <f>+IF(DB!F163="AAAC-35",1,3)</f>
        <v>3</v>
      </c>
      <c r="U163">
        <f>+DB!R163</f>
        <v>0</v>
      </c>
      <c r="V163">
        <f>+IF(DB!P163="1RI",1,0)+IF(DB!P163="2RI",2,0)</f>
        <v>0</v>
      </c>
      <c r="W163">
        <f>+IF(DB!P163="1RV",1,0)+IF(DB!P163="2RV",2,0)</f>
        <v>0</v>
      </c>
      <c r="X163">
        <f>+IF(DB!P163="RYI",1,0)</f>
        <v>0</v>
      </c>
      <c r="Y163">
        <f>+IF(DB!P163="RYV",1,0)</f>
        <v>0</v>
      </c>
      <c r="Z163">
        <f>+DB!U163</f>
        <v>0</v>
      </c>
      <c r="AA163">
        <f>+IF(DB!F163="AAAC-35",19.5,33)</f>
        <v>33</v>
      </c>
      <c r="AB163">
        <f>+DB!V163</f>
        <v>0</v>
      </c>
      <c r="AC163" t="str">
        <f t="shared" si="8"/>
        <v>56-4</v>
      </c>
      <c r="AD163" s="21" t="s">
        <v>72</v>
      </c>
      <c r="AE163">
        <f>+DB!X163</f>
        <v>0</v>
      </c>
      <c r="AF163" s="22">
        <f>+DB!Y163</f>
        <v>0</v>
      </c>
      <c r="AG163">
        <f>+DB!AK163</f>
        <v>0</v>
      </c>
    </row>
    <row r="164" spans="1:33" x14ac:dyDescent="0.2">
      <c r="A164">
        <f>+DB!C164</f>
        <v>0</v>
      </c>
      <c r="B164">
        <f>+DB!D164</f>
        <v>0</v>
      </c>
      <c r="C164">
        <f>+DB!E164</f>
        <v>0</v>
      </c>
      <c r="D164">
        <f t="shared" si="6"/>
        <v>0</v>
      </c>
      <c r="E164">
        <f>+DB!G164</f>
        <v>0</v>
      </c>
      <c r="F164">
        <f>+DB!H164</f>
        <v>0</v>
      </c>
      <c r="G164">
        <f>+DB!N164</f>
        <v>0</v>
      </c>
      <c r="H164">
        <f>+DB!O164</f>
        <v>0</v>
      </c>
      <c r="I164">
        <f>+DB!I164</f>
        <v>0</v>
      </c>
      <c r="J164">
        <f>+DB!J164</f>
        <v>0</v>
      </c>
      <c r="K164">
        <f>+DB!L164</f>
        <v>0</v>
      </c>
      <c r="L164" t="str">
        <f t="shared" si="7"/>
        <v/>
      </c>
      <c r="M164" t="str">
        <f>+IF(LEFT(DB!M164,3)="13/","CAC","MAD")</f>
        <v>MAD</v>
      </c>
      <c r="N164" t="str">
        <f>+RIGHT(DB!M164,6)</f>
        <v/>
      </c>
      <c r="O164">
        <v>95</v>
      </c>
      <c r="P164">
        <v>5</v>
      </c>
      <c r="Q164">
        <f>+DB!AB164</f>
        <v>0</v>
      </c>
      <c r="R164">
        <f>+DB!K164</f>
        <v>0</v>
      </c>
      <c r="S164">
        <f>+DB!F164</f>
        <v>0</v>
      </c>
      <c r="T164">
        <f>+IF(DB!F164="AAAC-35",1,3)</f>
        <v>3</v>
      </c>
      <c r="U164">
        <f>+DB!R164</f>
        <v>0</v>
      </c>
      <c r="V164">
        <f>+IF(DB!P164="1RI",1,0)+IF(DB!P164="2RI",2,0)</f>
        <v>0</v>
      </c>
      <c r="W164">
        <f>+IF(DB!P164="1RV",1,0)+IF(DB!P164="2RV",2,0)</f>
        <v>0</v>
      </c>
      <c r="X164">
        <f>+IF(DB!P164="RYI",1,0)</f>
        <v>0</v>
      </c>
      <c r="Y164">
        <f>+IF(DB!P164="RYV",1,0)</f>
        <v>0</v>
      </c>
      <c r="Z164">
        <f>+DB!U164</f>
        <v>0</v>
      </c>
      <c r="AA164">
        <f>+IF(DB!F164="AAAC-35",19.5,33)</f>
        <v>33</v>
      </c>
      <c r="AB164">
        <f>+DB!V164</f>
        <v>0</v>
      </c>
      <c r="AC164" t="str">
        <f t="shared" si="8"/>
        <v>56-4</v>
      </c>
      <c r="AD164" s="21" t="s">
        <v>72</v>
      </c>
      <c r="AE164">
        <f>+DB!X164</f>
        <v>0</v>
      </c>
      <c r="AF164" s="22">
        <f>+DB!Y164</f>
        <v>0</v>
      </c>
      <c r="AG164">
        <f>+DB!AK164</f>
        <v>0</v>
      </c>
    </row>
    <row r="165" spans="1:33" x14ac:dyDescent="0.2">
      <c r="A165">
        <f>+DB!C165</f>
        <v>0</v>
      </c>
      <c r="B165">
        <f>+DB!D165</f>
        <v>0</v>
      </c>
      <c r="C165">
        <f>+DB!E165</f>
        <v>0</v>
      </c>
      <c r="D165">
        <f t="shared" si="6"/>
        <v>0</v>
      </c>
      <c r="E165">
        <f>+DB!G165</f>
        <v>0</v>
      </c>
      <c r="F165">
        <f>+DB!H165</f>
        <v>0</v>
      </c>
      <c r="G165">
        <f>+DB!N165</f>
        <v>0</v>
      </c>
      <c r="H165">
        <f>+DB!O165</f>
        <v>0</v>
      </c>
      <c r="I165">
        <f>+DB!I165</f>
        <v>0</v>
      </c>
      <c r="J165">
        <f>+DB!J165</f>
        <v>0</v>
      </c>
      <c r="K165">
        <f>+DB!L165</f>
        <v>0</v>
      </c>
      <c r="L165" t="str">
        <f t="shared" si="7"/>
        <v/>
      </c>
      <c r="M165" t="str">
        <f>+IF(LEFT(DB!M165,3)="13/","CAC","MAD")</f>
        <v>MAD</v>
      </c>
      <c r="N165" t="str">
        <f>+RIGHT(DB!M165,6)</f>
        <v/>
      </c>
      <c r="O165">
        <v>95</v>
      </c>
      <c r="P165">
        <v>5</v>
      </c>
      <c r="Q165">
        <f>+DB!AB165</f>
        <v>0</v>
      </c>
      <c r="R165">
        <f>+DB!K165</f>
        <v>0</v>
      </c>
      <c r="S165">
        <f>+DB!F165</f>
        <v>0</v>
      </c>
      <c r="T165">
        <f>+IF(DB!F165="AAAC-35",1,3)</f>
        <v>3</v>
      </c>
      <c r="U165">
        <f>+DB!R165</f>
        <v>0</v>
      </c>
      <c r="V165">
        <f>+IF(DB!P165="1RI",1,0)+IF(DB!P165="2RI",2,0)</f>
        <v>0</v>
      </c>
      <c r="W165">
        <f>+IF(DB!P165="1RV",1,0)+IF(DB!P165="2RV",2,0)</f>
        <v>0</v>
      </c>
      <c r="X165">
        <f>+IF(DB!P165="RYI",1,0)</f>
        <v>0</v>
      </c>
      <c r="Y165">
        <f>+IF(DB!P165="RYV",1,0)</f>
        <v>0</v>
      </c>
      <c r="Z165">
        <f>+DB!U165</f>
        <v>0</v>
      </c>
      <c r="AA165">
        <f>+IF(DB!F165="AAAC-35",19.5,33)</f>
        <v>33</v>
      </c>
      <c r="AB165">
        <f>+DB!V165</f>
        <v>0</v>
      </c>
      <c r="AC165" t="str">
        <f t="shared" si="8"/>
        <v>56-4</v>
      </c>
      <c r="AD165" s="21" t="s">
        <v>72</v>
      </c>
      <c r="AE165">
        <f>+DB!X165</f>
        <v>0</v>
      </c>
      <c r="AF165" s="22">
        <f>+DB!Y165</f>
        <v>0</v>
      </c>
      <c r="AG165">
        <f>+DB!AK165</f>
        <v>0</v>
      </c>
    </row>
    <row r="166" spans="1:33" x14ac:dyDescent="0.2">
      <c r="A166">
        <f>+DB!C166</f>
        <v>0</v>
      </c>
      <c r="B166">
        <f>+DB!D166</f>
        <v>0</v>
      </c>
      <c r="C166">
        <f>+DB!E166</f>
        <v>0</v>
      </c>
      <c r="D166">
        <f t="shared" si="6"/>
        <v>0</v>
      </c>
      <c r="E166">
        <f>+DB!G166</f>
        <v>0</v>
      </c>
      <c r="F166">
        <f>+DB!H166</f>
        <v>0</v>
      </c>
      <c r="G166">
        <f>+DB!N166</f>
        <v>0</v>
      </c>
      <c r="H166">
        <f>+DB!O166</f>
        <v>0</v>
      </c>
      <c r="I166">
        <f>+DB!I166</f>
        <v>0</v>
      </c>
      <c r="J166">
        <f>+DB!J166</f>
        <v>0</v>
      </c>
      <c r="K166">
        <f>+DB!L166</f>
        <v>0</v>
      </c>
      <c r="L166" t="str">
        <f t="shared" si="7"/>
        <v/>
      </c>
      <c r="M166" t="str">
        <f>+IF(LEFT(DB!M166,3)="13/","CAC","MAD")</f>
        <v>MAD</v>
      </c>
      <c r="N166" t="str">
        <f>+RIGHT(DB!M166,6)</f>
        <v/>
      </c>
      <c r="O166">
        <v>95</v>
      </c>
      <c r="P166">
        <v>5</v>
      </c>
      <c r="Q166">
        <f>+DB!AB166</f>
        <v>0</v>
      </c>
      <c r="R166">
        <f>+DB!K166</f>
        <v>0</v>
      </c>
      <c r="S166">
        <f>+DB!F166</f>
        <v>0</v>
      </c>
      <c r="T166">
        <f>+IF(DB!F166="AAAC-35",1,3)</f>
        <v>3</v>
      </c>
      <c r="U166">
        <f>+DB!R166</f>
        <v>0</v>
      </c>
      <c r="V166">
        <f>+IF(DB!P166="1RI",1,0)+IF(DB!P166="2RI",2,0)</f>
        <v>0</v>
      </c>
      <c r="W166">
        <f>+IF(DB!P166="1RV",1,0)+IF(DB!P166="2RV",2,0)</f>
        <v>0</v>
      </c>
      <c r="X166">
        <f>+IF(DB!P166="RYI",1,0)</f>
        <v>0</v>
      </c>
      <c r="Y166">
        <f>+IF(DB!P166="RYV",1,0)</f>
        <v>0</v>
      </c>
      <c r="Z166">
        <f>+DB!U166</f>
        <v>0</v>
      </c>
      <c r="AA166">
        <f>+IF(DB!F166="AAAC-35",19.5,33)</f>
        <v>33</v>
      </c>
      <c r="AB166">
        <f>+DB!V166</f>
        <v>0</v>
      </c>
      <c r="AC166" t="str">
        <f t="shared" si="8"/>
        <v>56-4</v>
      </c>
      <c r="AD166" s="21" t="s">
        <v>72</v>
      </c>
      <c r="AE166">
        <f>+DB!X166</f>
        <v>0</v>
      </c>
      <c r="AF166" s="22">
        <f>+DB!Y166</f>
        <v>0</v>
      </c>
      <c r="AG166">
        <f>+DB!AK166</f>
        <v>0</v>
      </c>
    </row>
    <row r="167" spans="1:33" x14ac:dyDescent="0.2">
      <c r="A167">
        <f>+DB!C167</f>
        <v>0</v>
      </c>
      <c r="B167">
        <f>+DB!D167</f>
        <v>0</v>
      </c>
      <c r="C167">
        <f>+DB!E167</f>
        <v>0</v>
      </c>
      <c r="D167">
        <f t="shared" si="6"/>
        <v>0</v>
      </c>
      <c r="E167">
        <f>+DB!G167</f>
        <v>0</v>
      </c>
      <c r="F167">
        <f>+DB!H167</f>
        <v>0</v>
      </c>
      <c r="G167">
        <f>+DB!N167</f>
        <v>0</v>
      </c>
      <c r="H167">
        <f>+DB!O167</f>
        <v>0</v>
      </c>
      <c r="I167">
        <f>+DB!I167</f>
        <v>0</v>
      </c>
      <c r="J167">
        <f>+DB!J167</f>
        <v>0</v>
      </c>
      <c r="K167">
        <f>+DB!L167</f>
        <v>0</v>
      </c>
      <c r="L167" t="str">
        <f t="shared" si="7"/>
        <v/>
      </c>
      <c r="M167" t="str">
        <f>+IF(LEFT(DB!M167,3)="13/","CAC","MAD")</f>
        <v>MAD</v>
      </c>
      <c r="N167" t="str">
        <f>+RIGHT(DB!M167,6)</f>
        <v/>
      </c>
      <c r="O167">
        <v>95</v>
      </c>
      <c r="P167">
        <v>5</v>
      </c>
      <c r="Q167">
        <f>+DB!AB167</f>
        <v>0</v>
      </c>
      <c r="R167">
        <f>+DB!K167</f>
        <v>0</v>
      </c>
      <c r="S167">
        <f>+DB!F167</f>
        <v>0</v>
      </c>
      <c r="T167">
        <f>+IF(DB!F167="AAAC-35",1,3)</f>
        <v>3</v>
      </c>
      <c r="U167">
        <f>+DB!R167</f>
        <v>0</v>
      </c>
      <c r="V167">
        <f>+IF(DB!P167="1RI",1,0)+IF(DB!P167="2RI",2,0)</f>
        <v>0</v>
      </c>
      <c r="W167">
        <f>+IF(DB!P167="1RV",1,0)+IF(DB!P167="2RV",2,0)</f>
        <v>0</v>
      </c>
      <c r="X167">
        <f>+IF(DB!P167="RYI",1,0)</f>
        <v>0</v>
      </c>
      <c r="Y167">
        <f>+IF(DB!P167="RYV",1,0)</f>
        <v>0</v>
      </c>
      <c r="Z167">
        <f>+DB!U167</f>
        <v>0</v>
      </c>
      <c r="AA167">
        <f>+IF(DB!F167="AAAC-35",19.5,33)</f>
        <v>33</v>
      </c>
      <c r="AB167">
        <f>+DB!V167</f>
        <v>0</v>
      </c>
      <c r="AC167" t="str">
        <f t="shared" si="8"/>
        <v>56-4</v>
      </c>
      <c r="AD167" s="21" t="s">
        <v>72</v>
      </c>
      <c r="AE167">
        <f>+DB!X167</f>
        <v>0</v>
      </c>
      <c r="AF167" s="22">
        <f>+DB!Y167</f>
        <v>0</v>
      </c>
      <c r="AG167">
        <f>+DB!AK167</f>
        <v>0</v>
      </c>
    </row>
    <row r="168" spans="1:33" x14ac:dyDescent="0.2">
      <c r="A168">
        <f>+DB!C168</f>
        <v>0</v>
      </c>
      <c r="B168">
        <f>+DB!D168</f>
        <v>0</v>
      </c>
      <c r="C168">
        <f>+DB!E168</f>
        <v>0</v>
      </c>
      <c r="D168">
        <f t="shared" si="6"/>
        <v>0</v>
      </c>
      <c r="E168">
        <f>+DB!G168</f>
        <v>0</v>
      </c>
      <c r="F168">
        <f>+DB!H168</f>
        <v>0</v>
      </c>
      <c r="G168">
        <f>+DB!N168</f>
        <v>0</v>
      </c>
      <c r="H168">
        <f>+DB!O168</f>
        <v>0</v>
      </c>
      <c r="I168">
        <f>+DB!I168</f>
        <v>0</v>
      </c>
      <c r="J168">
        <f>+DB!J168</f>
        <v>0</v>
      </c>
      <c r="K168">
        <f>+DB!L168</f>
        <v>0</v>
      </c>
      <c r="L168" t="str">
        <f t="shared" si="7"/>
        <v/>
      </c>
      <c r="M168" t="str">
        <f>+IF(LEFT(DB!M168,3)="13/","CAC","MAD")</f>
        <v>MAD</v>
      </c>
      <c r="N168" t="str">
        <f>+RIGHT(DB!M168,6)</f>
        <v/>
      </c>
      <c r="O168">
        <v>95</v>
      </c>
      <c r="P168">
        <v>5</v>
      </c>
      <c r="Q168">
        <f>+DB!AB168</f>
        <v>0</v>
      </c>
      <c r="R168">
        <f>+DB!K168</f>
        <v>0</v>
      </c>
      <c r="S168">
        <f>+DB!F168</f>
        <v>0</v>
      </c>
      <c r="T168">
        <f>+IF(DB!F168="AAAC-35",1,3)</f>
        <v>3</v>
      </c>
      <c r="U168">
        <f>+DB!R168</f>
        <v>0</v>
      </c>
      <c r="V168">
        <f>+IF(DB!P168="1RI",1,0)+IF(DB!P168="2RI",2,0)</f>
        <v>0</v>
      </c>
      <c r="W168">
        <f>+IF(DB!P168="1RV",1,0)+IF(DB!P168="2RV",2,0)</f>
        <v>0</v>
      </c>
      <c r="X168">
        <f>+IF(DB!P168="RYI",1,0)</f>
        <v>0</v>
      </c>
      <c r="Y168">
        <f>+IF(DB!P168="RYV",1,0)</f>
        <v>0</v>
      </c>
      <c r="Z168">
        <f>+DB!U168</f>
        <v>0</v>
      </c>
      <c r="AA168">
        <f>+IF(DB!F168="AAAC-35",19.5,33)</f>
        <v>33</v>
      </c>
      <c r="AB168">
        <f>+DB!V168</f>
        <v>0</v>
      </c>
      <c r="AC168" t="str">
        <f t="shared" si="8"/>
        <v>56-4</v>
      </c>
      <c r="AD168" s="21" t="s">
        <v>72</v>
      </c>
      <c r="AE168">
        <f>+DB!X168</f>
        <v>0</v>
      </c>
      <c r="AF168" s="22">
        <f>+DB!Y168</f>
        <v>0</v>
      </c>
      <c r="AG168">
        <f>+DB!AK168</f>
        <v>0</v>
      </c>
    </row>
    <row r="169" spans="1:33" x14ac:dyDescent="0.2">
      <c r="A169">
        <f>+DB!C169</f>
        <v>0</v>
      </c>
      <c r="B169">
        <f>+DB!D169</f>
        <v>0</v>
      </c>
      <c r="C169">
        <f>+DB!E169</f>
        <v>0</v>
      </c>
      <c r="D169">
        <f t="shared" si="6"/>
        <v>0</v>
      </c>
      <c r="E169">
        <f>+DB!G169</f>
        <v>0</v>
      </c>
      <c r="F169">
        <f>+DB!H169</f>
        <v>0</v>
      </c>
      <c r="G169">
        <f>+DB!N169</f>
        <v>0</v>
      </c>
      <c r="H169">
        <f>+DB!O169</f>
        <v>0</v>
      </c>
      <c r="I169">
        <f>+DB!I169</f>
        <v>0</v>
      </c>
      <c r="J169">
        <f>+DB!J169</f>
        <v>0</v>
      </c>
      <c r="K169">
        <f>+DB!L169</f>
        <v>0</v>
      </c>
      <c r="L169" t="str">
        <f t="shared" si="7"/>
        <v/>
      </c>
      <c r="M169" t="str">
        <f>+IF(LEFT(DB!M169,3)="13/","CAC","MAD")</f>
        <v>MAD</v>
      </c>
      <c r="N169" t="str">
        <f>+RIGHT(DB!M169,6)</f>
        <v/>
      </c>
      <c r="O169">
        <v>95</v>
      </c>
      <c r="P169">
        <v>5</v>
      </c>
      <c r="Q169">
        <f>+DB!AB169</f>
        <v>0</v>
      </c>
      <c r="R169">
        <f>+DB!K169</f>
        <v>0</v>
      </c>
      <c r="S169">
        <f>+DB!F169</f>
        <v>0</v>
      </c>
      <c r="T169">
        <f>+IF(DB!F169="AAAC-35",1,3)</f>
        <v>3</v>
      </c>
      <c r="U169">
        <f>+DB!R169</f>
        <v>0</v>
      </c>
      <c r="V169">
        <f>+IF(DB!P169="1RI",1,0)+IF(DB!P169="2RI",2,0)</f>
        <v>0</v>
      </c>
      <c r="W169">
        <f>+IF(DB!P169="1RV",1,0)+IF(DB!P169="2RV",2,0)</f>
        <v>0</v>
      </c>
      <c r="X169">
        <f>+IF(DB!P169="RYI",1,0)</f>
        <v>0</v>
      </c>
      <c r="Y169">
        <f>+IF(DB!P169="RYV",1,0)</f>
        <v>0</v>
      </c>
      <c r="Z169">
        <f>+DB!U169</f>
        <v>0</v>
      </c>
      <c r="AA169">
        <f>+IF(DB!F169="AAAC-35",19.5,33)</f>
        <v>33</v>
      </c>
      <c r="AB169">
        <f>+DB!V169</f>
        <v>0</v>
      </c>
      <c r="AC169" t="str">
        <f t="shared" si="8"/>
        <v>56-4</v>
      </c>
      <c r="AD169" s="21" t="s">
        <v>72</v>
      </c>
      <c r="AE169">
        <f>+DB!X169</f>
        <v>0</v>
      </c>
      <c r="AF169" s="22">
        <f>+DB!Y169</f>
        <v>0</v>
      </c>
      <c r="AG169">
        <f>+DB!AK169</f>
        <v>0</v>
      </c>
    </row>
    <row r="170" spans="1:33" x14ac:dyDescent="0.2">
      <c r="A170">
        <f>+DB!C170</f>
        <v>0</v>
      </c>
      <c r="B170">
        <f>+DB!D170</f>
        <v>0</v>
      </c>
      <c r="C170">
        <f>+DB!E170</f>
        <v>0</v>
      </c>
      <c r="D170">
        <f t="shared" si="6"/>
        <v>0</v>
      </c>
      <c r="E170">
        <f>+DB!G170</f>
        <v>0</v>
      </c>
      <c r="F170">
        <f>+DB!H170</f>
        <v>0</v>
      </c>
      <c r="G170">
        <f>+DB!N170</f>
        <v>0</v>
      </c>
      <c r="H170">
        <f>+DB!O170</f>
        <v>0</v>
      </c>
      <c r="I170">
        <f>+DB!I170</f>
        <v>0</v>
      </c>
      <c r="J170">
        <f>+DB!J170</f>
        <v>0</v>
      </c>
      <c r="K170">
        <f>+DB!L170</f>
        <v>0</v>
      </c>
      <c r="L170" t="str">
        <f t="shared" si="7"/>
        <v/>
      </c>
      <c r="M170" t="str">
        <f>+IF(LEFT(DB!M170,3)="13/","CAC","MAD")</f>
        <v>MAD</v>
      </c>
      <c r="N170" t="str">
        <f>+RIGHT(DB!M170,6)</f>
        <v/>
      </c>
      <c r="O170">
        <v>95</v>
      </c>
      <c r="P170">
        <v>5</v>
      </c>
      <c r="Q170">
        <f>+DB!AB170</f>
        <v>0</v>
      </c>
      <c r="R170">
        <f>+DB!K170</f>
        <v>0</v>
      </c>
      <c r="S170">
        <f>+DB!F170</f>
        <v>0</v>
      </c>
      <c r="T170">
        <f>+IF(DB!F170="AAAC-35",1,3)</f>
        <v>3</v>
      </c>
      <c r="U170">
        <f>+DB!R170</f>
        <v>0</v>
      </c>
      <c r="V170">
        <f>+IF(DB!P170="1RI",1,0)+IF(DB!P170="2RI",2,0)</f>
        <v>0</v>
      </c>
      <c r="W170">
        <f>+IF(DB!P170="1RV",1,0)+IF(DB!P170="2RV",2,0)</f>
        <v>0</v>
      </c>
      <c r="X170">
        <f>+IF(DB!P170="RYI",1,0)</f>
        <v>0</v>
      </c>
      <c r="Y170">
        <f>+IF(DB!P170="RYV",1,0)</f>
        <v>0</v>
      </c>
      <c r="Z170">
        <f>+DB!U170</f>
        <v>0</v>
      </c>
      <c r="AA170">
        <f>+IF(DB!F170="AAAC-35",19.5,33)</f>
        <v>33</v>
      </c>
      <c r="AB170">
        <f>+DB!V170</f>
        <v>0</v>
      </c>
      <c r="AC170" t="str">
        <f t="shared" si="8"/>
        <v>56-4</v>
      </c>
      <c r="AD170" s="21" t="s">
        <v>72</v>
      </c>
      <c r="AE170">
        <f>+DB!X170</f>
        <v>0</v>
      </c>
      <c r="AF170" s="22">
        <f>+DB!Y170</f>
        <v>0</v>
      </c>
      <c r="AG170">
        <f>+DB!AK170</f>
        <v>0</v>
      </c>
    </row>
    <row r="171" spans="1:33" x14ac:dyDescent="0.2">
      <c r="A171">
        <f>+DB!C171</f>
        <v>0</v>
      </c>
      <c r="B171">
        <f>+DB!D171</f>
        <v>0</v>
      </c>
      <c r="C171">
        <f>+DB!E171</f>
        <v>0</v>
      </c>
      <c r="D171">
        <f t="shared" si="6"/>
        <v>0</v>
      </c>
      <c r="E171">
        <f>+DB!G171</f>
        <v>0</v>
      </c>
      <c r="F171">
        <f>+DB!H171</f>
        <v>0</v>
      </c>
      <c r="G171">
        <f>+DB!N171</f>
        <v>0</v>
      </c>
      <c r="H171">
        <f>+DB!O171</f>
        <v>0</v>
      </c>
      <c r="I171">
        <f>+DB!I171</f>
        <v>0</v>
      </c>
      <c r="J171">
        <f>+DB!J171</f>
        <v>0</v>
      </c>
      <c r="K171">
        <f>+DB!L171</f>
        <v>0</v>
      </c>
      <c r="L171" t="str">
        <f t="shared" si="7"/>
        <v/>
      </c>
      <c r="M171" t="str">
        <f>+IF(LEFT(DB!M171,3)="13/","CAC","MAD")</f>
        <v>MAD</v>
      </c>
      <c r="N171" t="str">
        <f>+RIGHT(DB!M171,6)</f>
        <v/>
      </c>
      <c r="O171">
        <v>95</v>
      </c>
      <c r="P171">
        <v>5</v>
      </c>
      <c r="Q171">
        <f>+DB!AB171</f>
        <v>0</v>
      </c>
      <c r="R171">
        <f>+DB!K171</f>
        <v>0</v>
      </c>
      <c r="S171">
        <f>+DB!F171</f>
        <v>0</v>
      </c>
      <c r="T171">
        <f>+IF(DB!F171="AAAC-35",1,3)</f>
        <v>3</v>
      </c>
      <c r="U171">
        <f>+DB!R171</f>
        <v>0</v>
      </c>
      <c r="V171">
        <f>+IF(DB!P171="1RI",1,0)+IF(DB!P171="2RI",2,0)</f>
        <v>0</v>
      </c>
      <c r="W171">
        <f>+IF(DB!P171="1RV",1,0)+IF(DB!P171="2RV",2,0)</f>
        <v>0</v>
      </c>
      <c r="X171">
        <f>+IF(DB!P171="RYI",1,0)</f>
        <v>0</v>
      </c>
      <c r="Y171">
        <f>+IF(DB!P171="RYV",1,0)</f>
        <v>0</v>
      </c>
      <c r="Z171">
        <f>+DB!U171</f>
        <v>0</v>
      </c>
      <c r="AA171">
        <f>+IF(DB!F171="AAAC-35",19.5,33)</f>
        <v>33</v>
      </c>
      <c r="AB171">
        <f>+DB!V171</f>
        <v>0</v>
      </c>
      <c r="AC171" t="str">
        <f t="shared" si="8"/>
        <v>56-4</v>
      </c>
      <c r="AD171" s="21" t="s">
        <v>72</v>
      </c>
      <c r="AE171">
        <f>+DB!X171</f>
        <v>0</v>
      </c>
      <c r="AF171" s="22">
        <f>+DB!Y171</f>
        <v>0</v>
      </c>
      <c r="AG171">
        <f>+DB!AK171</f>
        <v>0</v>
      </c>
    </row>
    <row r="172" spans="1:33" x14ac:dyDescent="0.2">
      <c r="A172">
        <f>+DB!C172</f>
        <v>0</v>
      </c>
      <c r="B172">
        <f>+DB!D172</f>
        <v>0</v>
      </c>
      <c r="C172">
        <f>+DB!E172</f>
        <v>0</v>
      </c>
      <c r="D172">
        <f t="shared" si="6"/>
        <v>0</v>
      </c>
      <c r="E172">
        <f>+DB!G172</f>
        <v>0</v>
      </c>
      <c r="F172">
        <f>+DB!H172</f>
        <v>0</v>
      </c>
      <c r="G172">
        <f>+DB!N172</f>
        <v>0</v>
      </c>
      <c r="H172">
        <f>+DB!O172</f>
        <v>0</v>
      </c>
      <c r="I172">
        <f>+DB!I172</f>
        <v>0</v>
      </c>
      <c r="J172">
        <f>+DB!J172</f>
        <v>0</v>
      </c>
      <c r="K172">
        <f>+DB!L172</f>
        <v>0</v>
      </c>
      <c r="L172" t="str">
        <f t="shared" si="7"/>
        <v/>
      </c>
      <c r="M172" t="str">
        <f>+IF(LEFT(DB!M172,3)="13/","CAC","MAD")</f>
        <v>MAD</v>
      </c>
      <c r="N172" t="str">
        <f>+RIGHT(DB!M172,6)</f>
        <v/>
      </c>
      <c r="O172">
        <v>95</v>
      </c>
      <c r="P172">
        <v>5</v>
      </c>
      <c r="Q172">
        <f>+DB!AB172</f>
        <v>0</v>
      </c>
      <c r="R172">
        <f>+DB!K172</f>
        <v>0</v>
      </c>
      <c r="S172">
        <f>+DB!F172</f>
        <v>0</v>
      </c>
      <c r="T172">
        <f>+IF(DB!F172="AAAC-35",1,3)</f>
        <v>3</v>
      </c>
      <c r="U172">
        <f>+DB!R172</f>
        <v>0</v>
      </c>
      <c r="V172">
        <f>+IF(DB!P172="1RI",1,0)+IF(DB!P172="2RI",2,0)</f>
        <v>0</v>
      </c>
      <c r="W172">
        <f>+IF(DB!P172="1RV",1,0)+IF(DB!P172="2RV",2,0)</f>
        <v>0</v>
      </c>
      <c r="X172">
        <f>+IF(DB!P172="RYI",1,0)</f>
        <v>0</v>
      </c>
      <c r="Y172">
        <f>+IF(DB!P172="RYV",1,0)</f>
        <v>0</v>
      </c>
      <c r="Z172">
        <f>+DB!U172</f>
        <v>0</v>
      </c>
      <c r="AA172">
        <f>+IF(DB!F172="AAAC-35",19.5,33)</f>
        <v>33</v>
      </c>
      <c r="AB172">
        <f>+DB!V172</f>
        <v>0</v>
      </c>
      <c r="AC172" t="str">
        <f t="shared" si="8"/>
        <v>56-4</v>
      </c>
      <c r="AD172" s="21" t="s">
        <v>72</v>
      </c>
      <c r="AE172">
        <f>+DB!X172</f>
        <v>0</v>
      </c>
      <c r="AF172" s="22">
        <f>+DB!Y172</f>
        <v>0</v>
      </c>
      <c r="AG172">
        <f>+DB!AK172</f>
        <v>0</v>
      </c>
    </row>
    <row r="173" spans="1:33" x14ac:dyDescent="0.2">
      <c r="A173">
        <f>+DB!C173</f>
        <v>0</v>
      </c>
      <c r="B173">
        <f>+DB!D173</f>
        <v>0</v>
      </c>
      <c r="C173">
        <f>+DB!E173</f>
        <v>0</v>
      </c>
      <c r="D173">
        <f t="shared" si="6"/>
        <v>0</v>
      </c>
      <c r="E173">
        <f>+DB!G173</f>
        <v>0</v>
      </c>
      <c r="F173">
        <f>+DB!H173</f>
        <v>0</v>
      </c>
      <c r="G173">
        <f>+DB!N173</f>
        <v>0</v>
      </c>
      <c r="H173">
        <f>+DB!O173</f>
        <v>0</v>
      </c>
      <c r="I173">
        <f>+DB!I173</f>
        <v>0</v>
      </c>
      <c r="J173">
        <f>+DB!J173</f>
        <v>0</v>
      </c>
      <c r="K173">
        <f>+DB!L173</f>
        <v>0</v>
      </c>
      <c r="L173" t="str">
        <f t="shared" si="7"/>
        <v/>
      </c>
      <c r="M173" t="str">
        <f>+IF(LEFT(DB!M173,3)="13/","CAC","MAD")</f>
        <v>MAD</v>
      </c>
      <c r="N173" t="str">
        <f>+RIGHT(DB!M173,6)</f>
        <v/>
      </c>
      <c r="O173">
        <v>95</v>
      </c>
      <c r="P173">
        <v>5</v>
      </c>
      <c r="Q173">
        <f>+DB!AB173</f>
        <v>0</v>
      </c>
      <c r="R173">
        <f>+DB!K173</f>
        <v>0</v>
      </c>
      <c r="S173">
        <f>+DB!F173</f>
        <v>0</v>
      </c>
      <c r="T173">
        <f>+IF(DB!F173="AAAC-35",1,3)</f>
        <v>3</v>
      </c>
      <c r="U173">
        <f>+DB!R173</f>
        <v>0</v>
      </c>
      <c r="V173">
        <f>+IF(DB!P173="1RI",1,0)+IF(DB!P173="2RI",2,0)</f>
        <v>0</v>
      </c>
      <c r="W173">
        <f>+IF(DB!P173="1RV",1,0)+IF(DB!P173="2RV",2,0)</f>
        <v>0</v>
      </c>
      <c r="X173">
        <f>+IF(DB!P173="RYI",1,0)</f>
        <v>0</v>
      </c>
      <c r="Y173">
        <f>+IF(DB!P173="RYV",1,0)</f>
        <v>0</v>
      </c>
      <c r="Z173">
        <f>+DB!U173</f>
        <v>0</v>
      </c>
      <c r="AA173">
        <f>+IF(DB!F173="AAAC-35",19.5,33)</f>
        <v>33</v>
      </c>
      <c r="AB173">
        <f>+DB!V173</f>
        <v>0</v>
      </c>
      <c r="AC173" t="str">
        <f t="shared" si="8"/>
        <v>56-4</v>
      </c>
      <c r="AD173" s="21" t="s">
        <v>72</v>
      </c>
      <c r="AE173">
        <f>+DB!X173</f>
        <v>0</v>
      </c>
      <c r="AF173" s="22">
        <f>+DB!Y173</f>
        <v>0</v>
      </c>
      <c r="AG173">
        <f>+DB!AK173</f>
        <v>0</v>
      </c>
    </row>
    <row r="174" spans="1:33" x14ac:dyDescent="0.2">
      <c r="A174">
        <f>+DB!C174</f>
        <v>0</v>
      </c>
      <c r="B174">
        <f>+DB!D174</f>
        <v>0</v>
      </c>
      <c r="C174">
        <f>+DB!E174</f>
        <v>0</v>
      </c>
      <c r="D174">
        <f t="shared" si="6"/>
        <v>0</v>
      </c>
      <c r="E174">
        <f>+DB!G174</f>
        <v>0</v>
      </c>
      <c r="F174">
        <f>+DB!H174</f>
        <v>0</v>
      </c>
      <c r="G174">
        <f>+DB!N174</f>
        <v>0</v>
      </c>
      <c r="H174">
        <f>+DB!O174</f>
        <v>0</v>
      </c>
      <c r="I174">
        <f>+DB!I174</f>
        <v>0</v>
      </c>
      <c r="J174">
        <f>+DB!J174</f>
        <v>0</v>
      </c>
      <c r="K174">
        <f>+DB!L174</f>
        <v>0</v>
      </c>
      <c r="L174" t="str">
        <f t="shared" si="7"/>
        <v/>
      </c>
      <c r="M174" t="str">
        <f>+IF(LEFT(DB!M174,3)="13/","CAC","MAD")</f>
        <v>MAD</v>
      </c>
      <c r="N174" t="str">
        <f>+RIGHT(DB!M174,6)</f>
        <v/>
      </c>
      <c r="O174">
        <v>95</v>
      </c>
      <c r="P174">
        <v>5</v>
      </c>
      <c r="Q174">
        <f>+DB!AB174</f>
        <v>0</v>
      </c>
      <c r="R174">
        <f>+DB!K174</f>
        <v>0</v>
      </c>
      <c r="S174">
        <f>+DB!F174</f>
        <v>0</v>
      </c>
      <c r="T174">
        <f>+IF(DB!F174="AAAC-35",1,3)</f>
        <v>3</v>
      </c>
      <c r="U174">
        <f>+DB!R174</f>
        <v>0</v>
      </c>
      <c r="V174">
        <f>+IF(DB!P174="1RI",1,0)+IF(DB!P174="2RI",2,0)</f>
        <v>0</v>
      </c>
      <c r="W174">
        <f>+IF(DB!P174="1RV",1,0)+IF(DB!P174="2RV",2,0)</f>
        <v>0</v>
      </c>
      <c r="X174">
        <f>+IF(DB!P174="RYI",1,0)</f>
        <v>0</v>
      </c>
      <c r="Y174">
        <f>+IF(DB!P174="RYV",1,0)</f>
        <v>0</v>
      </c>
      <c r="Z174">
        <f>+DB!U174</f>
        <v>0</v>
      </c>
      <c r="AA174">
        <f>+IF(DB!F174="AAAC-35",19.5,33)</f>
        <v>33</v>
      </c>
      <c r="AB174">
        <f>+DB!V174</f>
        <v>0</v>
      </c>
      <c r="AC174" t="str">
        <f t="shared" si="8"/>
        <v>56-4</v>
      </c>
      <c r="AD174" s="21" t="s">
        <v>72</v>
      </c>
      <c r="AE174">
        <f>+DB!X174</f>
        <v>0</v>
      </c>
      <c r="AF174" s="22">
        <f>+DB!Y174</f>
        <v>0</v>
      </c>
      <c r="AG174">
        <f>+DB!AK174</f>
        <v>0</v>
      </c>
    </row>
    <row r="175" spans="1:33" x14ac:dyDescent="0.2">
      <c r="A175">
        <f>+DB!C175</f>
        <v>0</v>
      </c>
      <c r="B175">
        <f>+DB!D175</f>
        <v>0</v>
      </c>
      <c r="C175">
        <f>+DB!E175</f>
        <v>0</v>
      </c>
      <c r="D175">
        <f t="shared" si="6"/>
        <v>0</v>
      </c>
      <c r="E175">
        <f>+DB!G175</f>
        <v>0</v>
      </c>
      <c r="F175">
        <f>+DB!H175</f>
        <v>0</v>
      </c>
      <c r="G175">
        <f>+DB!N175</f>
        <v>0</v>
      </c>
      <c r="H175">
        <f>+DB!O175</f>
        <v>0</v>
      </c>
      <c r="I175">
        <f>+DB!I175</f>
        <v>0</v>
      </c>
      <c r="J175">
        <f>+DB!J175</f>
        <v>0</v>
      </c>
      <c r="K175">
        <f>+DB!L175</f>
        <v>0</v>
      </c>
      <c r="L175" t="str">
        <f t="shared" si="7"/>
        <v/>
      </c>
      <c r="M175" t="str">
        <f>+IF(LEFT(DB!M175,3)="13/","CAC","MAD")</f>
        <v>MAD</v>
      </c>
      <c r="N175" t="str">
        <f>+RIGHT(DB!M175,6)</f>
        <v/>
      </c>
      <c r="O175">
        <v>95</v>
      </c>
      <c r="P175">
        <v>5</v>
      </c>
      <c r="Q175">
        <f>+DB!AB175</f>
        <v>0</v>
      </c>
      <c r="R175">
        <f>+DB!K175</f>
        <v>0</v>
      </c>
      <c r="S175">
        <f>+DB!F175</f>
        <v>0</v>
      </c>
      <c r="T175">
        <f>+IF(DB!F175="AAAC-35",1,3)</f>
        <v>3</v>
      </c>
      <c r="U175">
        <f>+DB!R175</f>
        <v>0</v>
      </c>
      <c r="V175">
        <f>+IF(DB!P175="1RI",1,0)+IF(DB!P175="2RI",2,0)</f>
        <v>0</v>
      </c>
      <c r="W175">
        <f>+IF(DB!P175="1RV",1,0)+IF(DB!P175="2RV",2,0)</f>
        <v>0</v>
      </c>
      <c r="X175">
        <f>+IF(DB!P175="RYI",1,0)</f>
        <v>0</v>
      </c>
      <c r="Y175">
        <f>+IF(DB!P175="RYV",1,0)</f>
        <v>0</v>
      </c>
      <c r="Z175">
        <f>+DB!U175</f>
        <v>0</v>
      </c>
      <c r="AA175">
        <f>+IF(DB!F175="AAAC-35",19.5,33)</f>
        <v>33</v>
      </c>
      <c r="AB175">
        <f>+DB!V175</f>
        <v>0</v>
      </c>
      <c r="AC175" t="str">
        <f t="shared" si="8"/>
        <v>56-4</v>
      </c>
      <c r="AD175" s="21" t="s">
        <v>72</v>
      </c>
      <c r="AE175">
        <f>+DB!X175</f>
        <v>0</v>
      </c>
      <c r="AF175" s="22">
        <f>+DB!Y175</f>
        <v>0</v>
      </c>
      <c r="AG175">
        <f>+DB!AK175</f>
        <v>0</v>
      </c>
    </row>
    <row r="176" spans="1:33" x14ac:dyDescent="0.2">
      <c r="A176">
        <f>+DB!C176</f>
        <v>0</v>
      </c>
      <c r="B176">
        <f>+DB!D176</f>
        <v>0</v>
      </c>
      <c r="C176">
        <f>+DB!E176</f>
        <v>0</v>
      </c>
      <c r="D176">
        <f t="shared" si="6"/>
        <v>0</v>
      </c>
      <c r="E176">
        <f>+DB!G176</f>
        <v>0</v>
      </c>
      <c r="F176">
        <f>+DB!H176</f>
        <v>0</v>
      </c>
      <c r="G176">
        <f>+DB!N176</f>
        <v>0</v>
      </c>
      <c r="H176">
        <f>+DB!O176</f>
        <v>0</v>
      </c>
      <c r="I176">
        <f>+DB!I176</f>
        <v>0</v>
      </c>
      <c r="J176">
        <f>+DB!J176</f>
        <v>0</v>
      </c>
      <c r="K176">
        <f>+DB!L176</f>
        <v>0</v>
      </c>
      <c r="L176" t="str">
        <f t="shared" si="7"/>
        <v/>
      </c>
      <c r="M176" t="str">
        <f>+IF(LEFT(DB!M176,3)="13/","CAC","MAD")</f>
        <v>MAD</v>
      </c>
      <c r="N176" t="str">
        <f>+RIGHT(DB!M176,6)</f>
        <v/>
      </c>
      <c r="O176">
        <v>95</v>
      </c>
      <c r="P176">
        <v>5</v>
      </c>
      <c r="Q176">
        <f>+DB!AB176</f>
        <v>0</v>
      </c>
      <c r="R176">
        <f>+DB!K176</f>
        <v>0</v>
      </c>
      <c r="S176">
        <f>+DB!F176</f>
        <v>0</v>
      </c>
      <c r="T176">
        <f>+IF(DB!F176="AAAC-35",1,3)</f>
        <v>3</v>
      </c>
      <c r="U176">
        <f>+DB!R176</f>
        <v>0</v>
      </c>
      <c r="V176">
        <f>+IF(DB!P176="1RI",1,0)+IF(DB!P176="2RI",2,0)</f>
        <v>0</v>
      </c>
      <c r="W176">
        <f>+IF(DB!P176="1RV",1,0)+IF(DB!P176="2RV",2,0)</f>
        <v>0</v>
      </c>
      <c r="X176">
        <f>+IF(DB!P176="RYI",1,0)</f>
        <v>0</v>
      </c>
      <c r="Y176">
        <f>+IF(DB!P176="RYV",1,0)</f>
        <v>0</v>
      </c>
      <c r="Z176">
        <f>+DB!U176</f>
        <v>0</v>
      </c>
      <c r="AA176">
        <f>+IF(DB!F176="AAAC-35",19.5,33)</f>
        <v>33</v>
      </c>
      <c r="AB176">
        <f>+DB!V176</f>
        <v>0</v>
      </c>
      <c r="AC176" t="str">
        <f t="shared" si="8"/>
        <v>56-4</v>
      </c>
      <c r="AD176" s="21" t="s">
        <v>72</v>
      </c>
      <c r="AE176">
        <f>+DB!X176</f>
        <v>0</v>
      </c>
      <c r="AF176" s="22">
        <f>+DB!Y176</f>
        <v>0</v>
      </c>
      <c r="AG176">
        <f>+DB!AK176</f>
        <v>0</v>
      </c>
    </row>
    <row r="177" spans="1:33" x14ac:dyDescent="0.2">
      <c r="A177">
        <f>+DB!C177</f>
        <v>0</v>
      </c>
      <c r="B177">
        <f>+DB!D177</f>
        <v>0</v>
      </c>
      <c r="C177">
        <f>+DB!E177</f>
        <v>0</v>
      </c>
      <c r="D177">
        <f t="shared" si="6"/>
        <v>0</v>
      </c>
      <c r="E177">
        <f>+DB!G177</f>
        <v>0</v>
      </c>
      <c r="F177">
        <f>+DB!H177</f>
        <v>0</v>
      </c>
      <c r="G177">
        <f>+DB!N177</f>
        <v>0</v>
      </c>
      <c r="H177">
        <f>+DB!O177</f>
        <v>0</v>
      </c>
      <c r="I177">
        <f>+DB!I177</f>
        <v>0</v>
      </c>
      <c r="J177">
        <f>+DB!J177</f>
        <v>0</v>
      </c>
      <c r="K177">
        <f>+DB!L177</f>
        <v>0</v>
      </c>
      <c r="L177" t="str">
        <f t="shared" si="7"/>
        <v/>
      </c>
      <c r="M177" t="str">
        <f>+IF(LEFT(DB!M177,3)="13/","CAC","MAD")</f>
        <v>MAD</v>
      </c>
      <c r="N177" t="str">
        <f>+RIGHT(DB!M177,6)</f>
        <v/>
      </c>
      <c r="O177">
        <v>95</v>
      </c>
      <c r="P177">
        <v>5</v>
      </c>
      <c r="Q177">
        <f>+DB!AB177</f>
        <v>0</v>
      </c>
      <c r="R177">
        <f>+DB!K177</f>
        <v>0</v>
      </c>
      <c r="S177">
        <f>+DB!F177</f>
        <v>0</v>
      </c>
      <c r="T177">
        <f>+IF(DB!F177="AAAC-35",1,3)</f>
        <v>3</v>
      </c>
      <c r="U177">
        <f>+DB!R177</f>
        <v>0</v>
      </c>
      <c r="V177">
        <f>+IF(DB!P177="1RI",1,0)+IF(DB!P177="2RI",2,0)</f>
        <v>0</v>
      </c>
      <c r="W177">
        <f>+IF(DB!P177="1RV",1,0)+IF(DB!P177="2RV",2,0)</f>
        <v>0</v>
      </c>
      <c r="X177">
        <f>+IF(DB!P177="RYI",1,0)</f>
        <v>0</v>
      </c>
      <c r="Y177">
        <f>+IF(DB!P177="RYV",1,0)</f>
        <v>0</v>
      </c>
      <c r="Z177">
        <f>+DB!U177</f>
        <v>0</v>
      </c>
      <c r="AA177">
        <f>+IF(DB!F177="AAAC-35",19.5,33)</f>
        <v>33</v>
      </c>
      <c r="AB177">
        <f>+DB!V177</f>
        <v>0</v>
      </c>
      <c r="AC177" t="str">
        <f t="shared" si="8"/>
        <v>56-4</v>
      </c>
      <c r="AD177" s="21" t="s">
        <v>72</v>
      </c>
      <c r="AE177">
        <f>+DB!X177</f>
        <v>0</v>
      </c>
      <c r="AF177" s="22">
        <f>+DB!Y177</f>
        <v>0</v>
      </c>
      <c r="AG177">
        <f>+DB!AK177</f>
        <v>0</v>
      </c>
    </row>
    <row r="178" spans="1:33" x14ac:dyDescent="0.2">
      <c r="A178">
        <f>+DB!C178</f>
        <v>0</v>
      </c>
      <c r="B178">
        <f>+DB!D178</f>
        <v>0</v>
      </c>
      <c r="C178">
        <f>+DB!E178</f>
        <v>0</v>
      </c>
      <c r="D178">
        <f t="shared" si="6"/>
        <v>0</v>
      </c>
      <c r="E178">
        <f>+DB!G178</f>
        <v>0</v>
      </c>
      <c r="F178">
        <f>+DB!H178</f>
        <v>0</v>
      </c>
      <c r="G178">
        <f>+DB!N178</f>
        <v>0</v>
      </c>
      <c r="H178">
        <f>+DB!O178</f>
        <v>0</v>
      </c>
      <c r="I178">
        <f>+DB!I178</f>
        <v>0</v>
      </c>
      <c r="J178">
        <f>+DB!J178</f>
        <v>0</v>
      </c>
      <c r="K178">
        <f>+DB!L178</f>
        <v>0</v>
      </c>
      <c r="L178" t="str">
        <f t="shared" si="7"/>
        <v/>
      </c>
      <c r="M178" t="str">
        <f>+IF(LEFT(DB!M178,3)="13/","CAC","MAD")</f>
        <v>MAD</v>
      </c>
      <c r="N178" t="str">
        <f>+RIGHT(DB!M178,6)</f>
        <v/>
      </c>
      <c r="O178">
        <v>95</v>
      </c>
      <c r="P178">
        <v>5</v>
      </c>
      <c r="Q178">
        <f>+DB!AB178</f>
        <v>0</v>
      </c>
      <c r="R178">
        <f>+DB!K178</f>
        <v>0</v>
      </c>
      <c r="S178">
        <f>+DB!F178</f>
        <v>0</v>
      </c>
      <c r="T178">
        <f>+IF(DB!F178="AAAC-35",1,3)</f>
        <v>3</v>
      </c>
      <c r="U178">
        <f>+DB!R178</f>
        <v>0</v>
      </c>
      <c r="V178">
        <f>+IF(DB!P178="1RI",1,0)+IF(DB!P178="2RI",2,0)</f>
        <v>0</v>
      </c>
      <c r="W178">
        <f>+IF(DB!P178="1RV",1,0)+IF(DB!P178="2RV",2,0)</f>
        <v>0</v>
      </c>
      <c r="X178">
        <f>+IF(DB!P178="RYI",1,0)</f>
        <v>0</v>
      </c>
      <c r="Y178">
        <f>+IF(DB!P178="RYV",1,0)</f>
        <v>0</v>
      </c>
      <c r="Z178">
        <f>+DB!U178</f>
        <v>0</v>
      </c>
      <c r="AA178">
        <f>+IF(DB!F178="AAAC-35",19.5,33)</f>
        <v>33</v>
      </c>
      <c r="AB178">
        <f>+DB!V178</f>
        <v>0</v>
      </c>
      <c r="AC178" t="str">
        <f t="shared" si="8"/>
        <v>56-4</v>
      </c>
      <c r="AD178" s="21" t="s">
        <v>72</v>
      </c>
      <c r="AE178">
        <f>+DB!X178</f>
        <v>0</v>
      </c>
      <c r="AF178" s="22">
        <f>+DB!Y178</f>
        <v>0</v>
      </c>
      <c r="AG178">
        <f>+DB!AK178</f>
        <v>0</v>
      </c>
    </row>
    <row r="179" spans="1:33" x14ac:dyDescent="0.2">
      <c r="A179">
        <f>+DB!C179</f>
        <v>0</v>
      </c>
      <c r="B179">
        <f>+DB!D179</f>
        <v>0</v>
      </c>
      <c r="C179">
        <f>+DB!E179</f>
        <v>0</v>
      </c>
      <c r="D179">
        <f t="shared" si="6"/>
        <v>0</v>
      </c>
      <c r="E179">
        <f>+DB!G179</f>
        <v>0</v>
      </c>
      <c r="F179">
        <f>+DB!H179</f>
        <v>0</v>
      </c>
      <c r="G179">
        <f>+DB!N179</f>
        <v>0</v>
      </c>
      <c r="H179">
        <f>+DB!O179</f>
        <v>0</v>
      </c>
      <c r="I179">
        <f>+DB!I179</f>
        <v>0</v>
      </c>
      <c r="J179">
        <f>+DB!J179</f>
        <v>0</v>
      </c>
      <c r="K179">
        <f>+DB!L179</f>
        <v>0</v>
      </c>
      <c r="L179" t="str">
        <f t="shared" si="7"/>
        <v/>
      </c>
      <c r="M179" t="str">
        <f>+IF(LEFT(DB!M179,3)="13/","CAC","MAD")</f>
        <v>MAD</v>
      </c>
      <c r="N179" t="str">
        <f>+RIGHT(DB!M179,6)</f>
        <v/>
      </c>
      <c r="O179">
        <v>95</v>
      </c>
      <c r="P179">
        <v>5</v>
      </c>
      <c r="Q179">
        <f>+DB!AB179</f>
        <v>0</v>
      </c>
      <c r="R179">
        <f>+DB!K179</f>
        <v>0</v>
      </c>
      <c r="S179">
        <f>+DB!F179</f>
        <v>0</v>
      </c>
      <c r="T179">
        <f>+IF(DB!F179="AAAC-35",1,3)</f>
        <v>3</v>
      </c>
      <c r="U179">
        <f>+DB!R179</f>
        <v>0</v>
      </c>
      <c r="V179">
        <f>+IF(DB!P179="1RI",1,0)+IF(DB!P179="2RI",2,0)</f>
        <v>0</v>
      </c>
      <c r="W179">
        <f>+IF(DB!P179="1RV",1,0)+IF(DB!P179="2RV",2,0)</f>
        <v>0</v>
      </c>
      <c r="X179">
        <f>+IF(DB!P179="RYI",1,0)</f>
        <v>0</v>
      </c>
      <c r="Y179">
        <f>+IF(DB!P179="RYV",1,0)</f>
        <v>0</v>
      </c>
      <c r="Z179">
        <f>+DB!U179</f>
        <v>0</v>
      </c>
      <c r="AA179">
        <f>+IF(DB!F179="AAAC-35",19.5,33)</f>
        <v>33</v>
      </c>
      <c r="AB179">
        <f>+DB!V179</f>
        <v>0</v>
      </c>
      <c r="AC179" t="str">
        <f t="shared" si="8"/>
        <v>56-4</v>
      </c>
      <c r="AD179" s="21" t="s">
        <v>72</v>
      </c>
      <c r="AE179">
        <f>+DB!X179</f>
        <v>0</v>
      </c>
      <c r="AF179" s="22">
        <f>+DB!Y179</f>
        <v>0</v>
      </c>
      <c r="AG179">
        <f>+DB!AK179</f>
        <v>0</v>
      </c>
    </row>
    <row r="180" spans="1:33" x14ac:dyDescent="0.2">
      <c r="A180">
        <f>+DB!C180</f>
        <v>0</v>
      </c>
      <c r="B180">
        <f>+DB!D180</f>
        <v>0</v>
      </c>
      <c r="C180">
        <f>+DB!E180</f>
        <v>0</v>
      </c>
      <c r="D180">
        <f t="shared" si="6"/>
        <v>0</v>
      </c>
      <c r="E180">
        <f>+DB!G180</f>
        <v>0</v>
      </c>
      <c r="F180">
        <f>+DB!H180</f>
        <v>0</v>
      </c>
      <c r="G180">
        <f>+DB!N180</f>
        <v>0</v>
      </c>
      <c r="H180">
        <f>+DB!O180</f>
        <v>0</v>
      </c>
      <c r="I180">
        <f>+DB!I180</f>
        <v>0</v>
      </c>
      <c r="J180">
        <f>+DB!J180</f>
        <v>0</v>
      </c>
      <c r="K180">
        <f>+DB!L180</f>
        <v>0</v>
      </c>
      <c r="L180" t="str">
        <f t="shared" si="7"/>
        <v/>
      </c>
      <c r="M180" t="str">
        <f>+IF(LEFT(DB!M180,3)="13/","CAC","MAD")</f>
        <v>MAD</v>
      </c>
      <c r="N180" t="str">
        <f>+RIGHT(DB!M180,6)</f>
        <v/>
      </c>
      <c r="O180">
        <v>95</v>
      </c>
      <c r="P180">
        <v>5</v>
      </c>
      <c r="Q180">
        <f>+DB!AB180</f>
        <v>0</v>
      </c>
      <c r="R180">
        <f>+DB!K180</f>
        <v>0</v>
      </c>
      <c r="S180">
        <f>+DB!F180</f>
        <v>0</v>
      </c>
      <c r="T180">
        <f>+IF(DB!F180="AAAC-35",1,3)</f>
        <v>3</v>
      </c>
      <c r="U180">
        <f>+DB!R180</f>
        <v>0</v>
      </c>
      <c r="V180">
        <f>+IF(DB!P180="1RI",1,0)+IF(DB!P180="2RI",2,0)</f>
        <v>0</v>
      </c>
      <c r="W180">
        <f>+IF(DB!P180="1RV",1,0)+IF(DB!P180="2RV",2,0)</f>
        <v>0</v>
      </c>
      <c r="X180">
        <f>+IF(DB!P180="RYI",1,0)</f>
        <v>0</v>
      </c>
      <c r="Y180">
        <f>+IF(DB!P180="RYV",1,0)</f>
        <v>0</v>
      </c>
      <c r="Z180">
        <f>+DB!U180</f>
        <v>0</v>
      </c>
      <c r="AA180">
        <f>+IF(DB!F180="AAAC-35",19.5,33)</f>
        <v>33</v>
      </c>
      <c r="AB180">
        <f>+DB!V180</f>
        <v>0</v>
      </c>
      <c r="AC180" t="str">
        <f t="shared" si="8"/>
        <v>56-4</v>
      </c>
      <c r="AD180" s="21" t="s">
        <v>72</v>
      </c>
      <c r="AE180">
        <f>+DB!X180</f>
        <v>0</v>
      </c>
      <c r="AF180" s="22">
        <f>+DB!Y180</f>
        <v>0</v>
      </c>
      <c r="AG180">
        <f>+DB!AK180</f>
        <v>0</v>
      </c>
    </row>
    <row r="181" spans="1:33" x14ac:dyDescent="0.2">
      <c r="A181">
        <f>+DB!C181</f>
        <v>0</v>
      </c>
      <c r="B181">
        <f>+DB!D181</f>
        <v>0</v>
      </c>
      <c r="C181">
        <f>+DB!E181</f>
        <v>0</v>
      </c>
      <c r="D181">
        <f t="shared" si="6"/>
        <v>0</v>
      </c>
      <c r="E181">
        <f>+DB!G181</f>
        <v>0</v>
      </c>
      <c r="F181">
        <f>+DB!H181</f>
        <v>0</v>
      </c>
      <c r="G181">
        <f>+DB!N181</f>
        <v>0</v>
      </c>
      <c r="H181">
        <f>+DB!O181</f>
        <v>0</v>
      </c>
      <c r="I181">
        <f>+DB!I181</f>
        <v>0</v>
      </c>
      <c r="J181">
        <f>+DB!J181</f>
        <v>0</v>
      </c>
      <c r="K181">
        <f>+DB!L181</f>
        <v>0</v>
      </c>
      <c r="L181" t="str">
        <f t="shared" si="7"/>
        <v/>
      </c>
      <c r="M181" t="str">
        <f>+IF(LEFT(DB!M181,3)="13/","CAC","MAD")</f>
        <v>MAD</v>
      </c>
      <c r="N181" t="str">
        <f>+RIGHT(DB!M181,6)</f>
        <v/>
      </c>
      <c r="O181">
        <v>95</v>
      </c>
      <c r="P181">
        <v>5</v>
      </c>
      <c r="Q181">
        <f>+DB!AB181</f>
        <v>0</v>
      </c>
      <c r="R181">
        <f>+DB!K181</f>
        <v>0</v>
      </c>
      <c r="S181">
        <f>+DB!F181</f>
        <v>0</v>
      </c>
      <c r="T181">
        <f>+IF(DB!F181="AAAC-35",1,3)</f>
        <v>3</v>
      </c>
      <c r="U181">
        <f>+DB!R181</f>
        <v>0</v>
      </c>
      <c r="V181">
        <f>+IF(DB!P181="1RI",1,0)+IF(DB!P181="2RI",2,0)</f>
        <v>0</v>
      </c>
      <c r="W181">
        <f>+IF(DB!P181="1RV",1,0)+IF(DB!P181="2RV",2,0)</f>
        <v>0</v>
      </c>
      <c r="X181">
        <f>+IF(DB!P181="RYI",1,0)</f>
        <v>0</v>
      </c>
      <c r="Y181">
        <f>+IF(DB!P181="RYV",1,0)</f>
        <v>0</v>
      </c>
      <c r="Z181">
        <f>+DB!U181</f>
        <v>0</v>
      </c>
      <c r="AA181">
        <f>+IF(DB!F181="AAAC-35",19.5,33)</f>
        <v>33</v>
      </c>
      <c r="AB181">
        <f>+DB!V181</f>
        <v>0</v>
      </c>
      <c r="AC181" t="str">
        <f t="shared" si="8"/>
        <v>56-4</v>
      </c>
      <c r="AD181" s="21" t="s">
        <v>72</v>
      </c>
      <c r="AE181">
        <f>+DB!X181</f>
        <v>0</v>
      </c>
      <c r="AF181" s="22">
        <f>+DB!Y181</f>
        <v>0</v>
      </c>
      <c r="AG181">
        <f>+DB!AK181</f>
        <v>0</v>
      </c>
    </row>
    <row r="182" spans="1:33" x14ac:dyDescent="0.2">
      <c r="A182">
        <f>+DB!C182</f>
        <v>0</v>
      </c>
      <c r="B182">
        <f>+DB!D182</f>
        <v>0</v>
      </c>
      <c r="C182">
        <f>+DB!E182</f>
        <v>0</v>
      </c>
      <c r="D182">
        <f t="shared" si="6"/>
        <v>0</v>
      </c>
      <c r="E182">
        <f>+DB!G182</f>
        <v>0</v>
      </c>
      <c r="F182">
        <f>+DB!H182</f>
        <v>0</v>
      </c>
      <c r="G182">
        <f>+DB!N182</f>
        <v>0</v>
      </c>
      <c r="H182">
        <f>+DB!O182</f>
        <v>0</v>
      </c>
      <c r="I182">
        <f>+DB!I182</f>
        <v>0</v>
      </c>
      <c r="J182">
        <f>+DB!J182</f>
        <v>0</v>
      </c>
      <c r="K182">
        <f>+DB!L182</f>
        <v>0</v>
      </c>
      <c r="L182" t="str">
        <f t="shared" si="7"/>
        <v/>
      </c>
      <c r="M182" t="str">
        <f>+IF(LEFT(DB!M182,3)="13/","CAC","MAD")</f>
        <v>MAD</v>
      </c>
      <c r="N182" t="str">
        <f>+RIGHT(DB!M182,6)</f>
        <v/>
      </c>
      <c r="O182">
        <v>95</v>
      </c>
      <c r="P182">
        <v>5</v>
      </c>
      <c r="Q182">
        <f>+DB!AB182</f>
        <v>0</v>
      </c>
      <c r="R182">
        <f>+DB!K182</f>
        <v>0</v>
      </c>
      <c r="S182">
        <f>+DB!F182</f>
        <v>0</v>
      </c>
      <c r="T182">
        <f>+IF(DB!F182="AAAC-35",1,3)</f>
        <v>3</v>
      </c>
      <c r="U182">
        <f>+DB!R182</f>
        <v>0</v>
      </c>
      <c r="V182">
        <f>+IF(DB!P182="1RI",1,0)+IF(DB!P182="2RI",2,0)</f>
        <v>0</v>
      </c>
      <c r="W182">
        <f>+IF(DB!P182="1RV",1,0)+IF(DB!P182="2RV",2,0)</f>
        <v>0</v>
      </c>
      <c r="X182">
        <f>+IF(DB!P182="RYI",1,0)</f>
        <v>0</v>
      </c>
      <c r="Y182">
        <f>+IF(DB!P182="RYV",1,0)</f>
        <v>0</v>
      </c>
      <c r="Z182">
        <f>+DB!U182</f>
        <v>0</v>
      </c>
      <c r="AA182">
        <f>+IF(DB!F182="AAAC-35",19.5,33)</f>
        <v>33</v>
      </c>
      <c r="AB182">
        <f>+DB!V182</f>
        <v>0</v>
      </c>
      <c r="AC182" t="str">
        <f t="shared" si="8"/>
        <v>56-4</v>
      </c>
      <c r="AD182" s="21" t="s">
        <v>72</v>
      </c>
      <c r="AE182">
        <f>+DB!X182</f>
        <v>0</v>
      </c>
      <c r="AF182" s="22">
        <f>+DB!Y182</f>
        <v>0</v>
      </c>
      <c r="AG182">
        <f>+DB!AK182</f>
        <v>0</v>
      </c>
    </row>
    <row r="183" spans="1:33" x14ac:dyDescent="0.2">
      <c r="A183">
        <f>+DB!C183</f>
        <v>0</v>
      </c>
      <c r="B183">
        <f>+DB!D183</f>
        <v>0</v>
      </c>
      <c r="C183">
        <f>+DB!E183</f>
        <v>0</v>
      </c>
      <c r="D183">
        <f t="shared" si="6"/>
        <v>0</v>
      </c>
      <c r="E183">
        <f>+DB!G183</f>
        <v>0</v>
      </c>
      <c r="F183">
        <f>+DB!H183</f>
        <v>0</v>
      </c>
      <c r="G183">
        <f>+DB!N183</f>
        <v>0</v>
      </c>
      <c r="H183">
        <f>+DB!O183</f>
        <v>0</v>
      </c>
      <c r="I183">
        <f>+DB!I183</f>
        <v>0</v>
      </c>
      <c r="J183">
        <f>+DB!J183</f>
        <v>0</v>
      </c>
      <c r="K183">
        <f>+DB!L183</f>
        <v>0</v>
      </c>
      <c r="L183" t="str">
        <f t="shared" si="7"/>
        <v/>
      </c>
      <c r="M183" t="str">
        <f>+IF(LEFT(DB!M183,3)="13/","CAC","MAD")</f>
        <v>MAD</v>
      </c>
      <c r="N183" t="str">
        <f>+RIGHT(DB!M183,6)</f>
        <v/>
      </c>
      <c r="O183">
        <v>95</v>
      </c>
      <c r="P183">
        <v>5</v>
      </c>
      <c r="Q183">
        <f>+DB!AB183</f>
        <v>0</v>
      </c>
      <c r="R183">
        <f>+DB!K183</f>
        <v>0</v>
      </c>
      <c r="S183">
        <f>+DB!F183</f>
        <v>0</v>
      </c>
      <c r="T183">
        <f>+IF(DB!F183="AAAC-35",1,3)</f>
        <v>3</v>
      </c>
      <c r="U183">
        <f>+DB!R183</f>
        <v>0</v>
      </c>
      <c r="V183">
        <f>+IF(DB!P183="1RI",1,0)+IF(DB!P183="2RI",2,0)</f>
        <v>0</v>
      </c>
      <c r="W183">
        <f>+IF(DB!P183="1RV",1,0)+IF(DB!P183="2RV",2,0)</f>
        <v>0</v>
      </c>
      <c r="X183">
        <f>+IF(DB!P183="RYI",1,0)</f>
        <v>0</v>
      </c>
      <c r="Y183">
        <f>+IF(DB!P183="RYV",1,0)</f>
        <v>0</v>
      </c>
      <c r="Z183">
        <f>+DB!U183</f>
        <v>0</v>
      </c>
      <c r="AA183">
        <f>+IF(DB!F183="AAAC-35",19.5,33)</f>
        <v>33</v>
      </c>
      <c r="AB183">
        <f>+DB!V183</f>
        <v>0</v>
      </c>
      <c r="AC183" t="str">
        <f t="shared" si="8"/>
        <v>56-4</v>
      </c>
      <c r="AD183" s="21" t="s">
        <v>72</v>
      </c>
      <c r="AE183">
        <f>+DB!X183</f>
        <v>0</v>
      </c>
      <c r="AF183" s="22">
        <f>+DB!Y183</f>
        <v>0</v>
      </c>
      <c r="AG183">
        <f>+DB!AK183</f>
        <v>0</v>
      </c>
    </row>
    <row r="184" spans="1:33" x14ac:dyDescent="0.2">
      <c r="A184">
        <f>+DB!C184</f>
        <v>0</v>
      </c>
      <c r="B184">
        <f>+DB!D184</f>
        <v>0</v>
      </c>
      <c r="C184">
        <f>+DB!E184</f>
        <v>0</v>
      </c>
      <c r="D184">
        <f t="shared" si="6"/>
        <v>0</v>
      </c>
      <c r="E184">
        <f>+DB!G184</f>
        <v>0</v>
      </c>
      <c r="F184">
        <f>+DB!H184</f>
        <v>0</v>
      </c>
      <c r="G184">
        <f>+DB!N184</f>
        <v>0</v>
      </c>
      <c r="H184">
        <f>+DB!O184</f>
        <v>0</v>
      </c>
      <c r="I184">
        <f>+DB!I184</f>
        <v>0</v>
      </c>
      <c r="J184">
        <f>+DB!J184</f>
        <v>0</v>
      </c>
      <c r="K184">
        <f>+DB!L184</f>
        <v>0</v>
      </c>
      <c r="L184" t="str">
        <f t="shared" si="7"/>
        <v/>
      </c>
      <c r="M184" t="str">
        <f>+IF(LEFT(DB!M184,3)="13/","CAC","MAD")</f>
        <v>MAD</v>
      </c>
      <c r="N184" t="str">
        <f>+RIGHT(DB!M184,6)</f>
        <v/>
      </c>
      <c r="O184">
        <v>95</v>
      </c>
      <c r="P184">
        <v>5</v>
      </c>
      <c r="Q184">
        <f>+DB!AB184</f>
        <v>0</v>
      </c>
      <c r="R184">
        <f>+DB!K184</f>
        <v>0</v>
      </c>
      <c r="S184">
        <f>+DB!F184</f>
        <v>0</v>
      </c>
      <c r="T184">
        <f>+IF(DB!F184="AAAC-35",1,3)</f>
        <v>3</v>
      </c>
      <c r="U184">
        <f>+DB!R184</f>
        <v>0</v>
      </c>
      <c r="V184">
        <f>+IF(DB!P184="1RI",1,0)+IF(DB!P184="2RI",2,0)</f>
        <v>0</v>
      </c>
      <c r="W184">
        <f>+IF(DB!P184="1RV",1,0)+IF(DB!P184="2RV",2,0)</f>
        <v>0</v>
      </c>
      <c r="X184">
        <f>+IF(DB!P184="RYI",1,0)</f>
        <v>0</v>
      </c>
      <c r="Y184">
        <f>+IF(DB!P184="RYV",1,0)</f>
        <v>0</v>
      </c>
      <c r="Z184">
        <f>+DB!U184</f>
        <v>0</v>
      </c>
      <c r="AA184">
        <f>+IF(DB!F184="AAAC-35",19.5,33)</f>
        <v>33</v>
      </c>
      <c r="AB184">
        <f>+DB!V184</f>
        <v>0</v>
      </c>
      <c r="AC184" t="str">
        <f t="shared" si="8"/>
        <v>56-4</v>
      </c>
      <c r="AD184" s="21" t="s">
        <v>72</v>
      </c>
      <c r="AE184">
        <f>+DB!X184</f>
        <v>0</v>
      </c>
      <c r="AF184" s="22">
        <f>+DB!Y184</f>
        <v>0</v>
      </c>
      <c r="AG184">
        <f>+DB!AK184</f>
        <v>0</v>
      </c>
    </row>
    <row r="185" spans="1:33" x14ac:dyDescent="0.2">
      <c r="A185">
        <f>+DB!C185</f>
        <v>0</v>
      </c>
      <c r="B185">
        <f>+DB!D185</f>
        <v>0</v>
      </c>
      <c r="C185">
        <f>+DB!E185</f>
        <v>0</v>
      </c>
      <c r="D185">
        <f t="shared" si="6"/>
        <v>0</v>
      </c>
      <c r="E185">
        <f>+DB!G185</f>
        <v>0</v>
      </c>
      <c r="F185">
        <f>+DB!H185</f>
        <v>0</v>
      </c>
      <c r="G185">
        <f>+DB!N185</f>
        <v>0</v>
      </c>
      <c r="H185">
        <f>+DB!O185</f>
        <v>0</v>
      </c>
      <c r="I185">
        <f>+DB!I185</f>
        <v>0</v>
      </c>
      <c r="J185">
        <f>+DB!J185</f>
        <v>0</v>
      </c>
      <c r="K185">
        <f>+DB!L185</f>
        <v>0</v>
      </c>
      <c r="L185" t="str">
        <f t="shared" si="7"/>
        <v/>
      </c>
      <c r="M185" t="str">
        <f>+IF(LEFT(DB!M185,3)="13/","CAC","MAD")</f>
        <v>MAD</v>
      </c>
      <c r="N185" t="str">
        <f>+RIGHT(DB!M185,6)</f>
        <v/>
      </c>
      <c r="O185">
        <v>95</v>
      </c>
      <c r="P185">
        <v>5</v>
      </c>
      <c r="Q185">
        <f>+DB!AB185</f>
        <v>0</v>
      </c>
      <c r="R185">
        <f>+DB!K185</f>
        <v>0</v>
      </c>
      <c r="S185">
        <f>+DB!F185</f>
        <v>0</v>
      </c>
      <c r="T185">
        <f>+IF(DB!F185="AAAC-35",1,3)</f>
        <v>3</v>
      </c>
      <c r="U185">
        <f>+DB!R185</f>
        <v>0</v>
      </c>
      <c r="V185">
        <f>+IF(DB!P185="1RI",1,0)+IF(DB!P185="2RI",2,0)</f>
        <v>0</v>
      </c>
      <c r="W185">
        <f>+IF(DB!P185="1RV",1,0)+IF(DB!P185="2RV",2,0)</f>
        <v>0</v>
      </c>
      <c r="X185">
        <f>+IF(DB!P185="RYI",1,0)</f>
        <v>0</v>
      </c>
      <c r="Y185">
        <f>+IF(DB!P185="RYV",1,0)</f>
        <v>0</v>
      </c>
      <c r="Z185">
        <f>+DB!U185</f>
        <v>0</v>
      </c>
      <c r="AA185">
        <f>+IF(DB!F185="AAAC-35",19.5,33)</f>
        <v>33</v>
      </c>
      <c r="AB185">
        <f>+DB!V185</f>
        <v>0</v>
      </c>
      <c r="AC185" t="str">
        <f t="shared" si="8"/>
        <v>56-4</v>
      </c>
      <c r="AD185" s="21" t="s">
        <v>72</v>
      </c>
      <c r="AE185">
        <f>+DB!X185</f>
        <v>0</v>
      </c>
      <c r="AF185" s="22">
        <f>+DB!Y185</f>
        <v>0</v>
      </c>
      <c r="AG185">
        <f>+DB!AK185</f>
        <v>0</v>
      </c>
    </row>
    <row r="186" spans="1:33" x14ac:dyDescent="0.2">
      <c r="A186">
        <f>+DB!C186</f>
        <v>0</v>
      </c>
      <c r="B186">
        <f>+DB!D186</f>
        <v>0</v>
      </c>
      <c r="C186">
        <f>+DB!E186</f>
        <v>0</v>
      </c>
      <c r="D186">
        <f t="shared" si="6"/>
        <v>0</v>
      </c>
      <c r="E186">
        <f>+DB!G186</f>
        <v>0</v>
      </c>
      <c r="F186">
        <f>+DB!H186</f>
        <v>0</v>
      </c>
      <c r="G186">
        <f>+DB!N186</f>
        <v>0</v>
      </c>
      <c r="H186">
        <f>+DB!O186</f>
        <v>0</v>
      </c>
      <c r="I186">
        <f>+DB!I186</f>
        <v>0</v>
      </c>
      <c r="J186">
        <f>+DB!J186</f>
        <v>0</v>
      </c>
      <c r="K186">
        <f>+DB!L186</f>
        <v>0</v>
      </c>
      <c r="L186" t="str">
        <f t="shared" si="7"/>
        <v/>
      </c>
      <c r="M186" t="str">
        <f>+IF(LEFT(DB!M186,3)="13/","CAC","MAD")</f>
        <v>MAD</v>
      </c>
      <c r="N186" t="str">
        <f>+RIGHT(DB!M186,6)</f>
        <v/>
      </c>
      <c r="O186">
        <v>95</v>
      </c>
      <c r="P186">
        <v>5</v>
      </c>
      <c r="Q186">
        <f>+DB!AB186</f>
        <v>0</v>
      </c>
      <c r="R186">
        <f>+DB!K186</f>
        <v>0</v>
      </c>
      <c r="S186">
        <f>+DB!F186</f>
        <v>0</v>
      </c>
      <c r="T186">
        <f>+IF(DB!F186="AAAC-35",1,3)</f>
        <v>3</v>
      </c>
      <c r="U186">
        <f>+DB!R186</f>
        <v>0</v>
      </c>
      <c r="V186">
        <f>+IF(DB!P186="1RI",1,0)+IF(DB!P186="2RI",2,0)</f>
        <v>0</v>
      </c>
      <c r="W186">
        <f>+IF(DB!P186="1RV",1,0)+IF(DB!P186="2RV",2,0)</f>
        <v>0</v>
      </c>
      <c r="X186">
        <f>+IF(DB!P186="RYI",1,0)</f>
        <v>0</v>
      </c>
      <c r="Y186">
        <f>+IF(DB!P186="RYV",1,0)</f>
        <v>0</v>
      </c>
      <c r="Z186">
        <f>+DB!U186</f>
        <v>0</v>
      </c>
      <c r="AA186">
        <f>+IF(DB!F186="AAAC-35",19.5,33)</f>
        <v>33</v>
      </c>
      <c r="AB186">
        <f>+DB!V186</f>
        <v>0</v>
      </c>
      <c r="AC186" t="str">
        <f t="shared" si="8"/>
        <v>56-4</v>
      </c>
      <c r="AD186" s="21" t="s">
        <v>72</v>
      </c>
      <c r="AE186">
        <f>+DB!X186</f>
        <v>0</v>
      </c>
      <c r="AF186" s="22">
        <f>+DB!Y186</f>
        <v>0</v>
      </c>
      <c r="AG186">
        <f>+DB!AK186</f>
        <v>0</v>
      </c>
    </row>
    <row r="187" spans="1:33" x14ac:dyDescent="0.2">
      <c r="A187">
        <f>+DB!C187</f>
        <v>0</v>
      </c>
      <c r="B187">
        <f>+DB!D187</f>
        <v>0</v>
      </c>
      <c r="C187">
        <f>+DB!E187</f>
        <v>0</v>
      </c>
      <c r="D187">
        <f t="shared" si="6"/>
        <v>0</v>
      </c>
      <c r="E187">
        <f>+DB!G187</f>
        <v>0</v>
      </c>
      <c r="F187">
        <f>+DB!H187</f>
        <v>0</v>
      </c>
      <c r="G187">
        <f>+DB!N187</f>
        <v>0</v>
      </c>
      <c r="H187">
        <f>+DB!O187</f>
        <v>0</v>
      </c>
      <c r="I187">
        <f>+DB!I187</f>
        <v>0</v>
      </c>
      <c r="J187">
        <f>+DB!J187</f>
        <v>0</v>
      </c>
      <c r="K187">
        <f>+DB!L187</f>
        <v>0</v>
      </c>
      <c r="L187" t="str">
        <f t="shared" si="7"/>
        <v/>
      </c>
      <c r="M187" t="str">
        <f>+IF(LEFT(DB!M187,3)="13/","CAC","MAD")</f>
        <v>MAD</v>
      </c>
      <c r="N187" t="str">
        <f>+RIGHT(DB!M187,6)</f>
        <v/>
      </c>
      <c r="O187">
        <v>95</v>
      </c>
      <c r="P187">
        <v>5</v>
      </c>
      <c r="Q187">
        <f>+DB!AB187</f>
        <v>0</v>
      </c>
      <c r="R187">
        <f>+DB!K187</f>
        <v>0</v>
      </c>
      <c r="S187">
        <f>+DB!F187</f>
        <v>0</v>
      </c>
      <c r="T187">
        <f>+IF(DB!F187="AAAC-35",1,3)</f>
        <v>3</v>
      </c>
      <c r="U187">
        <f>+DB!R187</f>
        <v>0</v>
      </c>
      <c r="V187">
        <f>+IF(DB!P187="1RI",1,0)+IF(DB!P187="2RI",2,0)</f>
        <v>0</v>
      </c>
      <c r="W187">
        <f>+IF(DB!P187="1RV",1,0)+IF(DB!P187="2RV",2,0)</f>
        <v>0</v>
      </c>
      <c r="X187">
        <f>+IF(DB!P187="RYI",1,0)</f>
        <v>0</v>
      </c>
      <c r="Y187">
        <f>+IF(DB!P187="RYV",1,0)</f>
        <v>0</v>
      </c>
      <c r="Z187">
        <f>+DB!U187</f>
        <v>0</v>
      </c>
      <c r="AA187">
        <f>+IF(DB!F187="AAAC-35",19.5,33)</f>
        <v>33</v>
      </c>
      <c r="AB187">
        <f>+DB!V187</f>
        <v>0</v>
      </c>
      <c r="AC187" t="str">
        <f t="shared" si="8"/>
        <v>56-4</v>
      </c>
      <c r="AD187" s="21" t="s">
        <v>72</v>
      </c>
      <c r="AE187">
        <f>+DB!X187</f>
        <v>0</v>
      </c>
      <c r="AF187" s="22">
        <f>+DB!Y187</f>
        <v>0</v>
      </c>
      <c r="AG187">
        <f>+DB!AK187</f>
        <v>0</v>
      </c>
    </row>
    <row r="188" spans="1:33" x14ac:dyDescent="0.2">
      <c r="A188">
        <f>+DB!C188</f>
        <v>0</v>
      </c>
      <c r="B188">
        <f>+DB!D188</f>
        <v>0</v>
      </c>
      <c r="C188">
        <f>+DB!E188</f>
        <v>0</v>
      </c>
      <c r="D188">
        <f t="shared" si="6"/>
        <v>0</v>
      </c>
      <c r="E188">
        <f>+DB!G188</f>
        <v>0</v>
      </c>
      <c r="F188">
        <f>+DB!H188</f>
        <v>0</v>
      </c>
      <c r="G188">
        <f>+DB!N188</f>
        <v>0</v>
      </c>
      <c r="H188">
        <f>+DB!O188</f>
        <v>0</v>
      </c>
      <c r="I188">
        <f>+DB!I188</f>
        <v>0</v>
      </c>
      <c r="J188">
        <f>+DB!J188</f>
        <v>0</v>
      </c>
      <c r="K188">
        <f>+DB!L188</f>
        <v>0</v>
      </c>
      <c r="L188" t="str">
        <f t="shared" si="7"/>
        <v/>
      </c>
      <c r="M188" t="str">
        <f>+IF(LEFT(DB!M188,3)="13/","CAC","MAD")</f>
        <v>MAD</v>
      </c>
      <c r="N188" t="str">
        <f>+RIGHT(DB!M188,6)</f>
        <v/>
      </c>
      <c r="O188">
        <v>95</v>
      </c>
      <c r="P188">
        <v>5</v>
      </c>
      <c r="Q188">
        <f>+DB!AB188</f>
        <v>0</v>
      </c>
      <c r="R188">
        <f>+DB!K188</f>
        <v>0</v>
      </c>
      <c r="S188">
        <f>+DB!F188</f>
        <v>0</v>
      </c>
      <c r="T188">
        <f>+IF(DB!F188="AAAC-35",1,3)</f>
        <v>3</v>
      </c>
      <c r="U188">
        <f>+DB!R188</f>
        <v>0</v>
      </c>
      <c r="V188">
        <f>+IF(DB!P188="1RI",1,0)+IF(DB!P188="2RI",2,0)</f>
        <v>0</v>
      </c>
      <c r="W188">
        <f>+IF(DB!P188="1RV",1,0)+IF(DB!P188="2RV",2,0)</f>
        <v>0</v>
      </c>
      <c r="X188">
        <f>+IF(DB!P188="RYI",1,0)</f>
        <v>0</v>
      </c>
      <c r="Y188">
        <f>+IF(DB!P188="RYV",1,0)</f>
        <v>0</v>
      </c>
      <c r="Z188">
        <f>+DB!U188</f>
        <v>0</v>
      </c>
      <c r="AA188">
        <f>+IF(DB!F188="AAAC-35",19.5,33)</f>
        <v>33</v>
      </c>
      <c r="AB188">
        <f>+DB!V188</f>
        <v>0</v>
      </c>
      <c r="AC188" t="str">
        <f t="shared" si="8"/>
        <v>56-4</v>
      </c>
      <c r="AD188" s="21" t="s">
        <v>72</v>
      </c>
      <c r="AE188">
        <f>+DB!X188</f>
        <v>0</v>
      </c>
      <c r="AF188" s="22">
        <f>+DB!Y188</f>
        <v>0</v>
      </c>
      <c r="AG188">
        <f>+DB!AK188</f>
        <v>0</v>
      </c>
    </row>
    <row r="189" spans="1:33" x14ac:dyDescent="0.2">
      <c r="A189">
        <f>+DB!C189</f>
        <v>0</v>
      </c>
      <c r="B189">
        <f>+DB!D189</f>
        <v>0</v>
      </c>
      <c r="C189">
        <f>+DB!E189</f>
        <v>0</v>
      </c>
      <c r="D189">
        <f t="shared" si="6"/>
        <v>0</v>
      </c>
      <c r="E189">
        <f>+DB!G189</f>
        <v>0</v>
      </c>
      <c r="F189">
        <f>+DB!H189</f>
        <v>0</v>
      </c>
      <c r="G189">
        <f>+DB!N189</f>
        <v>0</v>
      </c>
      <c r="H189">
        <f>+DB!O189</f>
        <v>0</v>
      </c>
      <c r="I189">
        <f>+DB!I189</f>
        <v>0</v>
      </c>
      <c r="J189">
        <f>+DB!J189</f>
        <v>0</v>
      </c>
      <c r="K189">
        <f>+DB!L189</f>
        <v>0</v>
      </c>
      <c r="L189" t="str">
        <f t="shared" si="7"/>
        <v/>
      </c>
      <c r="M189" t="str">
        <f>+IF(LEFT(DB!M189,3)="13/","CAC","MAD")</f>
        <v>MAD</v>
      </c>
      <c r="N189" t="str">
        <f>+RIGHT(DB!M189,6)</f>
        <v/>
      </c>
      <c r="O189">
        <v>95</v>
      </c>
      <c r="P189">
        <v>5</v>
      </c>
      <c r="Q189">
        <f>+DB!AB189</f>
        <v>0</v>
      </c>
      <c r="R189">
        <f>+DB!K189</f>
        <v>0</v>
      </c>
      <c r="S189">
        <f>+DB!F189</f>
        <v>0</v>
      </c>
      <c r="T189">
        <f>+IF(DB!F189="AAAC-35",1,3)</f>
        <v>3</v>
      </c>
      <c r="U189">
        <f>+DB!R189</f>
        <v>0</v>
      </c>
      <c r="V189">
        <f>+IF(DB!P189="1RI",1,0)+IF(DB!P189="2RI",2,0)</f>
        <v>0</v>
      </c>
      <c r="W189">
        <f>+IF(DB!P189="1RV",1,0)+IF(DB!P189="2RV",2,0)</f>
        <v>0</v>
      </c>
      <c r="X189">
        <f>+IF(DB!P189="RYI",1,0)</f>
        <v>0</v>
      </c>
      <c r="Y189">
        <f>+IF(DB!P189="RYV",1,0)</f>
        <v>0</v>
      </c>
      <c r="Z189">
        <f>+DB!U189</f>
        <v>0</v>
      </c>
      <c r="AA189">
        <f>+IF(DB!F189="AAAC-35",19.5,33)</f>
        <v>33</v>
      </c>
      <c r="AB189">
        <f>+DB!V189</f>
        <v>0</v>
      </c>
      <c r="AC189" t="str">
        <f t="shared" si="8"/>
        <v>56-4</v>
      </c>
      <c r="AD189" s="21" t="s">
        <v>72</v>
      </c>
      <c r="AE189">
        <f>+DB!X189</f>
        <v>0</v>
      </c>
      <c r="AF189" s="22">
        <f>+DB!Y189</f>
        <v>0</v>
      </c>
      <c r="AG189">
        <f>+DB!AK189</f>
        <v>0</v>
      </c>
    </row>
    <row r="190" spans="1:33" x14ac:dyDescent="0.2">
      <c r="A190">
        <f>+DB!C190</f>
        <v>0</v>
      </c>
      <c r="B190">
        <f>+DB!D190</f>
        <v>0</v>
      </c>
      <c r="C190">
        <f>+DB!E190</f>
        <v>0</v>
      </c>
      <c r="D190">
        <f t="shared" si="6"/>
        <v>0</v>
      </c>
      <c r="E190">
        <f>+DB!G190</f>
        <v>0</v>
      </c>
      <c r="F190">
        <f>+DB!H190</f>
        <v>0</v>
      </c>
      <c r="G190">
        <f>+DB!N190</f>
        <v>0</v>
      </c>
      <c r="H190">
        <f>+DB!O190</f>
        <v>0</v>
      </c>
      <c r="I190">
        <f>+DB!I190</f>
        <v>0</v>
      </c>
      <c r="J190">
        <f>+DB!J190</f>
        <v>0</v>
      </c>
      <c r="K190">
        <f>+DB!L190</f>
        <v>0</v>
      </c>
      <c r="L190" t="str">
        <f t="shared" si="7"/>
        <v/>
      </c>
      <c r="M190" t="str">
        <f>+IF(LEFT(DB!M190,3)="13/","CAC","MAD")</f>
        <v>MAD</v>
      </c>
      <c r="N190" t="str">
        <f>+RIGHT(DB!M190,6)</f>
        <v/>
      </c>
      <c r="O190">
        <v>95</v>
      </c>
      <c r="P190">
        <v>5</v>
      </c>
      <c r="Q190">
        <f>+DB!AB190</f>
        <v>0</v>
      </c>
      <c r="R190">
        <f>+DB!K190</f>
        <v>0</v>
      </c>
      <c r="S190">
        <f>+DB!F190</f>
        <v>0</v>
      </c>
      <c r="T190">
        <f>+IF(DB!F190="AAAC-35",1,3)</f>
        <v>3</v>
      </c>
      <c r="U190">
        <f>+DB!R190</f>
        <v>0</v>
      </c>
      <c r="V190">
        <f>+IF(DB!P190="1RI",1,0)+IF(DB!P190="2RI",2,0)</f>
        <v>0</v>
      </c>
      <c r="W190">
        <f>+IF(DB!P190="1RV",1,0)+IF(DB!P190="2RV",2,0)</f>
        <v>0</v>
      </c>
      <c r="X190">
        <f>+IF(DB!P190="RYI",1,0)</f>
        <v>0</v>
      </c>
      <c r="Y190">
        <f>+IF(DB!P190="RYV",1,0)</f>
        <v>0</v>
      </c>
      <c r="Z190">
        <f>+DB!U190</f>
        <v>0</v>
      </c>
      <c r="AA190">
        <f>+IF(DB!F190="AAAC-35",19.5,33)</f>
        <v>33</v>
      </c>
      <c r="AB190">
        <f>+DB!V190</f>
        <v>0</v>
      </c>
      <c r="AC190" t="str">
        <f t="shared" si="8"/>
        <v>56-4</v>
      </c>
      <c r="AD190" s="21" t="s">
        <v>72</v>
      </c>
      <c r="AE190">
        <f>+DB!X190</f>
        <v>0</v>
      </c>
      <c r="AF190" s="22">
        <f>+DB!Y190</f>
        <v>0</v>
      </c>
      <c r="AG190">
        <f>+DB!AK190</f>
        <v>0</v>
      </c>
    </row>
    <row r="191" spans="1:33" x14ac:dyDescent="0.2">
      <c r="A191">
        <f>+DB!C191</f>
        <v>0</v>
      </c>
      <c r="B191">
        <f>+DB!D191</f>
        <v>0</v>
      </c>
      <c r="C191">
        <f>+DB!E191</f>
        <v>0</v>
      </c>
      <c r="D191">
        <f t="shared" si="6"/>
        <v>0</v>
      </c>
      <c r="E191">
        <f>+DB!G191</f>
        <v>0</v>
      </c>
      <c r="F191">
        <f>+DB!H191</f>
        <v>0</v>
      </c>
      <c r="G191">
        <f>+DB!N191</f>
        <v>0</v>
      </c>
      <c r="H191">
        <f>+DB!O191</f>
        <v>0</v>
      </c>
      <c r="I191">
        <f>+DB!I191</f>
        <v>0</v>
      </c>
      <c r="J191">
        <f>+DB!J191</f>
        <v>0</v>
      </c>
      <c r="K191">
        <f>+DB!L191</f>
        <v>0</v>
      </c>
      <c r="L191" t="str">
        <f t="shared" si="7"/>
        <v/>
      </c>
      <c r="M191" t="str">
        <f>+IF(LEFT(DB!M191,3)="13/","CAC","MAD")</f>
        <v>MAD</v>
      </c>
      <c r="N191" t="str">
        <f>+RIGHT(DB!M191,6)</f>
        <v/>
      </c>
      <c r="O191">
        <v>95</v>
      </c>
      <c r="P191">
        <v>5</v>
      </c>
      <c r="Q191">
        <f>+DB!AB191</f>
        <v>0</v>
      </c>
      <c r="R191">
        <f>+DB!K191</f>
        <v>0</v>
      </c>
      <c r="S191">
        <f>+DB!F191</f>
        <v>0</v>
      </c>
      <c r="T191">
        <f>+IF(DB!F191="AAAC-35",1,3)</f>
        <v>3</v>
      </c>
      <c r="U191">
        <f>+DB!R191</f>
        <v>0</v>
      </c>
      <c r="V191">
        <f>+IF(DB!P191="1RI",1,0)+IF(DB!P191="2RI",2,0)</f>
        <v>0</v>
      </c>
      <c r="W191">
        <f>+IF(DB!P191="1RV",1,0)+IF(DB!P191="2RV",2,0)</f>
        <v>0</v>
      </c>
      <c r="X191">
        <f>+IF(DB!P191="RYI",1,0)</f>
        <v>0</v>
      </c>
      <c r="Y191">
        <f>+IF(DB!P191="RYV",1,0)</f>
        <v>0</v>
      </c>
      <c r="Z191">
        <f>+DB!U191</f>
        <v>0</v>
      </c>
      <c r="AA191">
        <f>+IF(DB!F191="AAAC-35",19.5,33)</f>
        <v>33</v>
      </c>
      <c r="AB191">
        <f>+DB!V191</f>
        <v>0</v>
      </c>
      <c r="AC191" t="str">
        <f t="shared" si="8"/>
        <v>56-4</v>
      </c>
      <c r="AD191" s="21" t="s">
        <v>72</v>
      </c>
      <c r="AE191">
        <f>+DB!X191</f>
        <v>0</v>
      </c>
      <c r="AF191" s="22">
        <f>+DB!Y191</f>
        <v>0</v>
      </c>
      <c r="AG191">
        <f>+DB!AK191</f>
        <v>0</v>
      </c>
    </row>
    <row r="192" spans="1:33" x14ac:dyDescent="0.2">
      <c r="A192">
        <f>+DB!C192</f>
        <v>0</v>
      </c>
      <c r="B192">
        <f>+DB!D192</f>
        <v>0</v>
      </c>
      <c r="C192">
        <f>+DB!E192</f>
        <v>0</v>
      </c>
      <c r="D192">
        <f t="shared" si="6"/>
        <v>0</v>
      </c>
      <c r="E192">
        <f>+DB!G192</f>
        <v>0</v>
      </c>
      <c r="F192">
        <f>+DB!H192</f>
        <v>0</v>
      </c>
      <c r="G192">
        <f>+DB!N192</f>
        <v>0</v>
      </c>
      <c r="H192">
        <f>+DB!O192</f>
        <v>0</v>
      </c>
      <c r="I192">
        <f>+DB!I192</f>
        <v>0</v>
      </c>
      <c r="J192">
        <f>+DB!J192</f>
        <v>0</v>
      </c>
      <c r="K192">
        <f>+DB!L192</f>
        <v>0</v>
      </c>
      <c r="L192" t="str">
        <f t="shared" si="7"/>
        <v/>
      </c>
      <c r="M192" t="str">
        <f>+IF(LEFT(DB!M192,3)="13/","CAC","MAD")</f>
        <v>MAD</v>
      </c>
      <c r="N192" t="str">
        <f>+RIGHT(DB!M192,6)</f>
        <v/>
      </c>
      <c r="O192">
        <v>95</v>
      </c>
      <c r="P192">
        <v>5</v>
      </c>
      <c r="Q192">
        <f>+DB!AB192</f>
        <v>0</v>
      </c>
      <c r="R192">
        <f>+DB!K192</f>
        <v>0</v>
      </c>
      <c r="S192">
        <f>+DB!F192</f>
        <v>0</v>
      </c>
      <c r="T192">
        <f>+IF(DB!F192="AAAC-35",1,3)</f>
        <v>3</v>
      </c>
      <c r="U192">
        <f>+DB!R192</f>
        <v>0</v>
      </c>
      <c r="V192">
        <f>+IF(DB!P192="1RI",1,0)+IF(DB!P192="2RI",2,0)</f>
        <v>0</v>
      </c>
      <c r="W192">
        <f>+IF(DB!P192="1RV",1,0)+IF(DB!P192="2RV",2,0)</f>
        <v>0</v>
      </c>
      <c r="X192">
        <f>+IF(DB!P192="RYI",1,0)</f>
        <v>0</v>
      </c>
      <c r="Y192">
        <f>+IF(DB!P192="RYV",1,0)</f>
        <v>0</v>
      </c>
      <c r="Z192">
        <f>+DB!U192</f>
        <v>0</v>
      </c>
      <c r="AA192">
        <f>+IF(DB!F192="AAAC-35",19.5,33)</f>
        <v>33</v>
      </c>
      <c r="AB192">
        <f>+DB!V192</f>
        <v>0</v>
      </c>
      <c r="AC192" t="str">
        <f t="shared" si="8"/>
        <v>56-4</v>
      </c>
      <c r="AD192" s="21" t="s">
        <v>72</v>
      </c>
      <c r="AE192">
        <f>+DB!X192</f>
        <v>0</v>
      </c>
      <c r="AF192" s="22">
        <f>+DB!Y192</f>
        <v>0</v>
      </c>
      <c r="AG192">
        <f>+DB!AK192</f>
        <v>0</v>
      </c>
    </row>
    <row r="193" spans="1:33" x14ac:dyDescent="0.2">
      <c r="A193">
        <f>+DB!C193</f>
        <v>0</v>
      </c>
      <c r="B193">
        <f>+DB!D193</f>
        <v>0</v>
      </c>
      <c r="C193">
        <f>+DB!E193</f>
        <v>0</v>
      </c>
      <c r="D193">
        <f t="shared" si="6"/>
        <v>0</v>
      </c>
      <c r="E193">
        <f>+DB!G193</f>
        <v>0</v>
      </c>
      <c r="F193">
        <f>+DB!H193</f>
        <v>0</v>
      </c>
      <c r="G193">
        <f>+DB!N193</f>
        <v>0</v>
      </c>
      <c r="H193">
        <f>+DB!O193</f>
        <v>0</v>
      </c>
      <c r="I193">
        <f>+DB!I193</f>
        <v>0</v>
      </c>
      <c r="J193">
        <f>+DB!J193</f>
        <v>0</v>
      </c>
      <c r="K193">
        <f>+DB!L193</f>
        <v>0</v>
      </c>
      <c r="L193" t="str">
        <f t="shared" si="7"/>
        <v/>
      </c>
      <c r="M193" t="str">
        <f>+IF(LEFT(DB!M193,3)="13/","CAC","MAD")</f>
        <v>MAD</v>
      </c>
      <c r="N193" t="str">
        <f>+RIGHT(DB!M193,6)</f>
        <v/>
      </c>
      <c r="O193">
        <v>95</v>
      </c>
      <c r="P193">
        <v>5</v>
      </c>
      <c r="Q193">
        <f>+DB!AB193</f>
        <v>0</v>
      </c>
      <c r="R193">
        <f>+DB!K193</f>
        <v>0</v>
      </c>
      <c r="S193">
        <f>+DB!F193</f>
        <v>0</v>
      </c>
      <c r="T193">
        <f>+IF(DB!F193="AAAC-35",1,3)</f>
        <v>3</v>
      </c>
      <c r="U193">
        <f>+DB!R193</f>
        <v>0</v>
      </c>
      <c r="V193">
        <f>+IF(DB!P193="1RI",1,0)+IF(DB!P193="2RI",2,0)</f>
        <v>0</v>
      </c>
      <c r="W193">
        <f>+IF(DB!P193="1RV",1,0)+IF(DB!P193="2RV",2,0)</f>
        <v>0</v>
      </c>
      <c r="X193">
        <f>+IF(DB!P193="RYI",1,0)</f>
        <v>0</v>
      </c>
      <c r="Y193">
        <f>+IF(DB!P193="RYV",1,0)</f>
        <v>0</v>
      </c>
      <c r="Z193">
        <f>+DB!U193</f>
        <v>0</v>
      </c>
      <c r="AA193">
        <f>+IF(DB!F193="AAAC-35",19.5,33)</f>
        <v>33</v>
      </c>
      <c r="AB193">
        <f>+DB!V193</f>
        <v>0</v>
      </c>
      <c r="AC193" t="str">
        <f t="shared" si="8"/>
        <v>56-4</v>
      </c>
      <c r="AD193" s="21" t="s">
        <v>72</v>
      </c>
      <c r="AE193">
        <f>+DB!X193</f>
        <v>0</v>
      </c>
      <c r="AF193" s="22">
        <f>+DB!Y193</f>
        <v>0</v>
      </c>
      <c r="AG193">
        <f>+DB!AK193</f>
        <v>0</v>
      </c>
    </row>
    <row r="194" spans="1:33" x14ac:dyDescent="0.2">
      <c r="A194">
        <f>+DB!C194</f>
        <v>0</v>
      </c>
      <c r="B194">
        <f>+DB!D194</f>
        <v>0</v>
      </c>
      <c r="C194">
        <f>+DB!E194</f>
        <v>0</v>
      </c>
      <c r="D194">
        <f t="shared" si="6"/>
        <v>0</v>
      </c>
      <c r="E194">
        <f>+DB!G194</f>
        <v>0</v>
      </c>
      <c r="F194">
        <f>+DB!H194</f>
        <v>0</v>
      </c>
      <c r="G194">
        <f>+DB!N194</f>
        <v>0</v>
      </c>
      <c r="H194">
        <f>+DB!O194</f>
        <v>0</v>
      </c>
      <c r="I194">
        <f>+DB!I194</f>
        <v>0</v>
      </c>
      <c r="J194">
        <f>+DB!J194</f>
        <v>0</v>
      </c>
      <c r="K194">
        <f>+DB!L194</f>
        <v>0</v>
      </c>
      <c r="L194" t="str">
        <f t="shared" si="7"/>
        <v/>
      </c>
      <c r="M194" t="str">
        <f>+IF(LEFT(DB!M194,3)="13/","CAC","MAD")</f>
        <v>MAD</v>
      </c>
      <c r="N194" t="str">
        <f>+RIGHT(DB!M194,6)</f>
        <v/>
      </c>
      <c r="O194">
        <v>95</v>
      </c>
      <c r="P194">
        <v>5</v>
      </c>
      <c r="Q194">
        <f>+DB!AB194</f>
        <v>0</v>
      </c>
      <c r="R194">
        <f>+DB!K194</f>
        <v>0</v>
      </c>
      <c r="S194">
        <f>+DB!F194</f>
        <v>0</v>
      </c>
      <c r="T194">
        <f>+IF(DB!F194="AAAC-35",1,3)</f>
        <v>3</v>
      </c>
      <c r="U194">
        <f>+DB!R194</f>
        <v>0</v>
      </c>
      <c r="V194">
        <f>+IF(DB!P194="1RI",1,0)+IF(DB!P194="2RI",2,0)</f>
        <v>0</v>
      </c>
      <c r="W194">
        <f>+IF(DB!P194="1RV",1,0)+IF(DB!P194="2RV",2,0)</f>
        <v>0</v>
      </c>
      <c r="X194">
        <f>+IF(DB!P194="RYI",1,0)</f>
        <v>0</v>
      </c>
      <c r="Y194">
        <f>+IF(DB!P194="RYV",1,0)</f>
        <v>0</v>
      </c>
      <c r="Z194">
        <f>+DB!U194</f>
        <v>0</v>
      </c>
      <c r="AA194">
        <f>+IF(DB!F194="AAAC-35",19.5,33)</f>
        <v>33</v>
      </c>
      <c r="AB194">
        <f>+DB!V194</f>
        <v>0</v>
      </c>
      <c r="AC194" t="str">
        <f t="shared" si="8"/>
        <v>56-4</v>
      </c>
      <c r="AD194" s="21" t="s">
        <v>72</v>
      </c>
      <c r="AE194">
        <f>+DB!X194</f>
        <v>0</v>
      </c>
      <c r="AF194" s="22">
        <f>+DB!Y194</f>
        <v>0</v>
      </c>
      <c r="AG194">
        <f>+DB!AK194</f>
        <v>0</v>
      </c>
    </row>
    <row r="195" spans="1:33" x14ac:dyDescent="0.2">
      <c r="A195">
        <f>+DB!C195</f>
        <v>0</v>
      </c>
      <c r="B195">
        <f>+DB!D195</f>
        <v>0</v>
      </c>
      <c r="C195">
        <f>+DB!E195</f>
        <v>0</v>
      </c>
      <c r="D195">
        <f t="shared" ref="D195:D258" si="9">+IF(B195="PSEC-0PA","K",0)</f>
        <v>0</v>
      </c>
      <c r="E195">
        <f>+DB!G195</f>
        <v>0</v>
      </c>
      <c r="F195">
        <f>+DB!H195</f>
        <v>0</v>
      </c>
      <c r="G195">
        <f>+DB!N195</f>
        <v>0</v>
      </c>
      <c r="H195">
        <f>+DB!O195</f>
        <v>0</v>
      </c>
      <c r="I195">
        <f>+DB!I195</f>
        <v>0</v>
      </c>
      <c r="J195">
        <f>+DB!J195</f>
        <v>0</v>
      </c>
      <c r="K195">
        <f>+DB!L195</f>
        <v>0</v>
      </c>
      <c r="L195" t="str">
        <f t="shared" ref="L195:L258" si="10">+LEFT(N195,2)</f>
        <v/>
      </c>
      <c r="M195" t="str">
        <f>+IF(LEFT(DB!M195,3)="13/","CAC","MAD")</f>
        <v>MAD</v>
      </c>
      <c r="N195" t="str">
        <f>+RIGHT(DB!M195,6)</f>
        <v/>
      </c>
      <c r="O195">
        <v>95</v>
      </c>
      <c r="P195">
        <v>5</v>
      </c>
      <c r="Q195">
        <f>+DB!AB195</f>
        <v>0</v>
      </c>
      <c r="R195">
        <f>+DB!K195</f>
        <v>0</v>
      </c>
      <c r="S195">
        <f>+DB!F195</f>
        <v>0</v>
      </c>
      <c r="T195">
        <f>+IF(DB!F195="AAAC-35",1,3)</f>
        <v>3</v>
      </c>
      <c r="U195">
        <f>+DB!R195</f>
        <v>0</v>
      </c>
      <c r="V195">
        <f>+IF(DB!P195="1RI",1,0)+IF(DB!P195="2RI",2,0)</f>
        <v>0</v>
      </c>
      <c r="W195">
        <f>+IF(DB!P195="1RV",1,0)+IF(DB!P195="2RV",2,0)</f>
        <v>0</v>
      </c>
      <c r="X195">
        <f>+IF(DB!P195="RYI",1,0)</f>
        <v>0</v>
      </c>
      <c r="Y195">
        <f>+IF(DB!P195="RYV",1,0)</f>
        <v>0</v>
      </c>
      <c r="Z195">
        <f>+DB!U195</f>
        <v>0</v>
      </c>
      <c r="AA195">
        <f>+IF(DB!F195="AAAC-35",19.5,33)</f>
        <v>33</v>
      </c>
      <c r="AB195">
        <f>+DB!V195</f>
        <v>0</v>
      </c>
      <c r="AC195" t="str">
        <f t="shared" ref="AC195:AC258" si="11">+IF(F195&gt;1675,"56-5","56-4")</f>
        <v>56-4</v>
      </c>
      <c r="AD195" s="21" t="s">
        <v>72</v>
      </c>
      <c r="AE195">
        <f>+DB!X195</f>
        <v>0</v>
      </c>
      <c r="AF195" s="22">
        <f>+DB!Y195</f>
        <v>0</v>
      </c>
      <c r="AG195">
        <f>+DB!AK195</f>
        <v>0</v>
      </c>
    </row>
    <row r="196" spans="1:33" x14ac:dyDescent="0.2">
      <c r="A196">
        <f>+DB!C196</f>
        <v>0</v>
      </c>
      <c r="B196">
        <f>+DB!D196</f>
        <v>0</v>
      </c>
      <c r="C196">
        <f>+DB!E196</f>
        <v>0</v>
      </c>
      <c r="D196">
        <f t="shared" si="9"/>
        <v>0</v>
      </c>
      <c r="E196">
        <f>+DB!G196</f>
        <v>0</v>
      </c>
      <c r="F196">
        <f>+DB!H196</f>
        <v>0</v>
      </c>
      <c r="G196">
        <f>+DB!N196</f>
        <v>0</v>
      </c>
      <c r="H196">
        <f>+DB!O196</f>
        <v>0</v>
      </c>
      <c r="I196">
        <f>+DB!I196</f>
        <v>0</v>
      </c>
      <c r="J196">
        <f>+DB!J196</f>
        <v>0</v>
      </c>
      <c r="K196">
        <f>+DB!L196</f>
        <v>0</v>
      </c>
      <c r="L196" t="str">
        <f t="shared" si="10"/>
        <v/>
      </c>
      <c r="M196" t="str">
        <f>+IF(LEFT(DB!M196,3)="13/","CAC","MAD")</f>
        <v>MAD</v>
      </c>
      <c r="N196" t="str">
        <f>+RIGHT(DB!M196,6)</f>
        <v/>
      </c>
      <c r="O196">
        <v>95</v>
      </c>
      <c r="P196">
        <v>5</v>
      </c>
      <c r="Q196">
        <f>+DB!AB196</f>
        <v>0</v>
      </c>
      <c r="R196">
        <f>+DB!K196</f>
        <v>0</v>
      </c>
      <c r="S196">
        <f>+DB!F196</f>
        <v>0</v>
      </c>
      <c r="T196">
        <f>+IF(DB!F196="AAAC-35",1,3)</f>
        <v>3</v>
      </c>
      <c r="U196">
        <f>+DB!R196</f>
        <v>0</v>
      </c>
      <c r="V196">
        <f>+IF(DB!P196="1RI",1,0)+IF(DB!P196="2RI",2,0)</f>
        <v>0</v>
      </c>
      <c r="W196">
        <f>+IF(DB!P196="1RV",1,0)+IF(DB!P196="2RV",2,0)</f>
        <v>0</v>
      </c>
      <c r="X196">
        <f>+IF(DB!P196="RYI",1,0)</f>
        <v>0</v>
      </c>
      <c r="Y196">
        <f>+IF(DB!P196="RYV",1,0)</f>
        <v>0</v>
      </c>
      <c r="Z196">
        <f>+DB!U196</f>
        <v>0</v>
      </c>
      <c r="AA196">
        <f>+IF(DB!F196="AAAC-35",19.5,33)</f>
        <v>33</v>
      </c>
      <c r="AB196">
        <f>+DB!V196</f>
        <v>0</v>
      </c>
      <c r="AC196" t="str">
        <f t="shared" si="11"/>
        <v>56-4</v>
      </c>
      <c r="AD196" s="21" t="s">
        <v>72</v>
      </c>
      <c r="AE196">
        <f>+DB!X196</f>
        <v>0</v>
      </c>
      <c r="AF196" s="22">
        <f>+DB!Y196</f>
        <v>0</v>
      </c>
      <c r="AG196">
        <f>+DB!AK196</f>
        <v>0</v>
      </c>
    </row>
    <row r="197" spans="1:33" x14ac:dyDescent="0.2">
      <c r="A197">
        <f>+DB!C197</f>
        <v>0</v>
      </c>
      <c r="B197">
        <f>+DB!D197</f>
        <v>0</v>
      </c>
      <c r="C197">
        <f>+DB!E197</f>
        <v>0</v>
      </c>
      <c r="D197">
        <f t="shared" si="9"/>
        <v>0</v>
      </c>
      <c r="E197">
        <f>+DB!G197</f>
        <v>0</v>
      </c>
      <c r="F197">
        <f>+DB!H197</f>
        <v>0</v>
      </c>
      <c r="G197">
        <f>+DB!N197</f>
        <v>0</v>
      </c>
      <c r="H197">
        <f>+DB!O197</f>
        <v>0</v>
      </c>
      <c r="I197">
        <f>+DB!I197</f>
        <v>0</v>
      </c>
      <c r="J197">
        <f>+DB!J197</f>
        <v>0</v>
      </c>
      <c r="K197">
        <f>+DB!L197</f>
        <v>0</v>
      </c>
      <c r="L197" t="str">
        <f t="shared" si="10"/>
        <v/>
      </c>
      <c r="M197" t="str">
        <f>+IF(LEFT(DB!M197,3)="13/","CAC","MAD")</f>
        <v>MAD</v>
      </c>
      <c r="N197" t="str">
        <f>+RIGHT(DB!M197,6)</f>
        <v/>
      </c>
      <c r="O197">
        <v>95</v>
      </c>
      <c r="P197">
        <v>5</v>
      </c>
      <c r="Q197">
        <f>+DB!AB197</f>
        <v>0</v>
      </c>
      <c r="R197">
        <f>+DB!K197</f>
        <v>0</v>
      </c>
      <c r="S197">
        <f>+DB!F197</f>
        <v>0</v>
      </c>
      <c r="T197">
        <f>+IF(DB!F197="AAAC-35",1,3)</f>
        <v>3</v>
      </c>
      <c r="U197">
        <f>+DB!R197</f>
        <v>0</v>
      </c>
      <c r="V197">
        <f>+IF(DB!P197="1RI",1,0)+IF(DB!P197="2RI",2,0)</f>
        <v>0</v>
      </c>
      <c r="W197">
        <f>+IF(DB!P197="1RV",1,0)+IF(DB!P197="2RV",2,0)</f>
        <v>0</v>
      </c>
      <c r="X197">
        <f>+IF(DB!P197="RYI",1,0)</f>
        <v>0</v>
      </c>
      <c r="Y197">
        <f>+IF(DB!P197="RYV",1,0)</f>
        <v>0</v>
      </c>
      <c r="Z197">
        <f>+DB!U197</f>
        <v>0</v>
      </c>
      <c r="AA197">
        <f>+IF(DB!F197="AAAC-35",19.5,33)</f>
        <v>33</v>
      </c>
      <c r="AB197">
        <f>+DB!V197</f>
        <v>0</v>
      </c>
      <c r="AC197" t="str">
        <f t="shared" si="11"/>
        <v>56-4</v>
      </c>
      <c r="AD197" s="21" t="s">
        <v>72</v>
      </c>
      <c r="AE197">
        <f>+DB!X197</f>
        <v>0</v>
      </c>
      <c r="AF197" s="22">
        <f>+DB!Y197</f>
        <v>0</v>
      </c>
      <c r="AG197">
        <f>+DB!AK197</f>
        <v>0</v>
      </c>
    </row>
    <row r="198" spans="1:33" x14ac:dyDescent="0.2">
      <c r="A198">
        <f>+DB!C198</f>
        <v>0</v>
      </c>
      <c r="B198">
        <f>+DB!D198</f>
        <v>0</v>
      </c>
      <c r="C198">
        <f>+DB!E198</f>
        <v>0</v>
      </c>
      <c r="D198">
        <f t="shared" si="9"/>
        <v>0</v>
      </c>
      <c r="E198">
        <f>+DB!G198</f>
        <v>0</v>
      </c>
      <c r="F198">
        <f>+DB!H198</f>
        <v>0</v>
      </c>
      <c r="G198">
        <f>+DB!N198</f>
        <v>0</v>
      </c>
      <c r="H198">
        <f>+DB!O198</f>
        <v>0</v>
      </c>
      <c r="I198">
        <f>+DB!I198</f>
        <v>0</v>
      </c>
      <c r="J198">
        <f>+DB!J198</f>
        <v>0</v>
      </c>
      <c r="K198">
        <f>+DB!L198</f>
        <v>0</v>
      </c>
      <c r="L198" t="str">
        <f t="shared" si="10"/>
        <v/>
      </c>
      <c r="M198" t="str">
        <f>+IF(LEFT(DB!M198,3)="13/","CAC","MAD")</f>
        <v>MAD</v>
      </c>
      <c r="N198" t="str">
        <f>+RIGHT(DB!M198,6)</f>
        <v/>
      </c>
      <c r="O198">
        <v>95</v>
      </c>
      <c r="P198">
        <v>5</v>
      </c>
      <c r="Q198">
        <f>+DB!AB198</f>
        <v>0</v>
      </c>
      <c r="R198">
        <f>+DB!K198</f>
        <v>0</v>
      </c>
      <c r="S198">
        <f>+DB!F198</f>
        <v>0</v>
      </c>
      <c r="T198">
        <f>+IF(DB!F198="AAAC-35",1,3)</f>
        <v>3</v>
      </c>
      <c r="U198">
        <f>+DB!R198</f>
        <v>0</v>
      </c>
      <c r="V198">
        <f>+IF(DB!P198="1RI",1,0)+IF(DB!P198="2RI",2,0)</f>
        <v>0</v>
      </c>
      <c r="W198">
        <f>+IF(DB!P198="1RV",1,0)+IF(DB!P198="2RV",2,0)</f>
        <v>0</v>
      </c>
      <c r="X198">
        <f>+IF(DB!P198="RYI",1,0)</f>
        <v>0</v>
      </c>
      <c r="Y198">
        <f>+IF(DB!P198="RYV",1,0)</f>
        <v>0</v>
      </c>
      <c r="Z198">
        <f>+DB!U198</f>
        <v>0</v>
      </c>
      <c r="AA198">
        <f>+IF(DB!F198="AAAC-35",19.5,33)</f>
        <v>33</v>
      </c>
      <c r="AB198">
        <f>+DB!V198</f>
        <v>0</v>
      </c>
      <c r="AC198" t="str">
        <f t="shared" si="11"/>
        <v>56-4</v>
      </c>
      <c r="AD198" s="21" t="s">
        <v>72</v>
      </c>
      <c r="AE198">
        <f>+DB!X198</f>
        <v>0</v>
      </c>
      <c r="AF198" s="22">
        <f>+DB!Y198</f>
        <v>0</v>
      </c>
      <c r="AG198">
        <f>+DB!AK198</f>
        <v>0</v>
      </c>
    </row>
    <row r="199" spans="1:33" x14ac:dyDescent="0.2">
      <c r="A199">
        <f>+DB!C199</f>
        <v>0</v>
      </c>
      <c r="B199">
        <f>+DB!D199</f>
        <v>0</v>
      </c>
      <c r="C199">
        <f>+DB!E199</f>
        <v>0</v>
      </c>
      <c r="D199">
        <f t="shared" si="9"/>
        <v>0</v>
      </c>
      <c r="E199">
        <f>+DB!G199</f>
        <v>0</v>
      </c>
      <c r="F199">
        <f>+DB!H199</f>
        <v>0</v>
      </c>
      <c r="G199">
        <f>+DB!N199</f>
        <v>0</v>
      </c>
      <c r="H199">
        <f>+DB!O199</f>
        <v>0</v>
      </c>
      <c r="I199">
        <f>+DB!I199</f>
        <v>0</v>
      </c>
      <c r="J199">
        <f>+DB!J199</f>
        <v>0</v>
      </c>
      <c r="K199">
        <f>+DB!L199</f>
        <v>0</v>
      </c>
      <c r="L199" t="str">
        <f t="shared" si="10"/>
        <v/>
      </c>
      <c r="M199" t="str">
        <f>+IF(LEFT(DB!M199,3)="13/","CAC","MAD")</f>
        <v>MAD</v>
      </c>
      <c r="N199" t="str">
        <f>+RIGHT(DB!M199,6)</f>
        <v/>
      </c>
      <c r="O199">
        <v>95</v>
      </c>
      <c r="P199">
        <v>5</v>
      </c>
      <c r="Q199">
        <f>+DB!AB199</f>
        <v>0</v>
      </c>
      <c r="R199">
        <f>+DB!K199</f>
        <v>0</v>
      </c>
      <c r="S199">
        <f>+DB!F199</f>
        <v>0</v>
      </c>
      <c r="T199">
        <f>+IF(DB!F199="AAAC-35",1,3)</f>
        <v>3</v>
      </c>
      <c r="U199">
        <f>+DB!R199</f>
        <v>0</v>
      </c>
      <c r="V199">
        <f>+IF(DB!P199="1RI",1,0)+IF(DB!P199="2RI",2,0)</f>
        <v>0</v>
      </c>
      <c r="W199">
        <f>+IF(DB!P199="1RV",1,0)+IF(DB!P199="2RV",2,0)</f>
        <v>0</v>
      </c>
      <c r="X199">
        <f>+IF(DB!P199="RYI",1,0)</f>
        <v>0</v>
      </c>
      <c r="Y199">
        <f>+IF(DB!P199="RYV",1,0)</f>
        <v>0</v>
      </c>
      <c r="Z199">
        <f>+DB!U199</f>
        <v>0</v>
      </c>
      <c r="AA199">
        <f>+IF(DB!F199="AAAC-35",19.5,33)</f>
        <v>33</v>
      </c>
      <c r="AB199">
        <f>+DB!V199</f>
        <v>0</v>
      </c>
      <c r="AC199" t="str">
        <f t="shared" si="11"/>
        <v>56-4</v>
      </c>
      <c r="AD199" s="21" t="s">
        <v>72</v>
      </c>
      <c r="AE199">
        <f>+DB!X199</f>
        <v>0</v>
      </c>
      <c r="AF199" s="22">
        <f>+DB!Y199</f>
        <v>0</v>
      </c>
      <c r="AG199">
        <f>+DB!AK199</f>
        <v>0</v>
      </c>
    </row>
    <row r="200" spans="1:33" x14ac:dyDescent="0.2">
      <c r="A200">
        <f>+DB!C200</f>
        <v>0</v>
      </c>
      <c r="B200">
        <f>+DB!D200</f>
        <v>0</v>
      </c>
      <c r="C200">
        <f>+DB!E200</f>
        <v>0</v>
      </c>
      <c r="D200">
        <f t="shared" si="9"/>
        <v>0</v>
      </c>
      <c r="E200">
        <f>+DB!G200</f>
        <v>0</v>
      </c>
      <c r="F200">
        <f>+DB!H200</f>
        <v>0</v>
      </c>
      <c r="G200">
        <f>+DB!N200</f>
        <v>0</v>
      </c>
      <c r="H200">
        <f>+DB!O200</f>
        <v>0</v>
      </c>
      <c r="I200">
        <f>+DB!I200</f>
        <v>0</v>
      </c>
      <c r="J200">
        <f>+DB!J200</f>
        <v>0</v>
      </c>
      <c r="K200">
        <f>+DB!L200</f>
        <v>0</v>
      </c>
      <c r="L200" t="str">
        <f t="shared" si="10"/>
        <v/>
      </c>
      <c r="M200" t="str">
        <f>+IF(LEFT(DB!M200,3)="13/","CAC","MAD")</f>
        <v>MAD</v>
      </c>
      <c r="N200" t="str">
        <f>+RIGHT(DB!M200,6)</f>
        <v/>
      </c>
      <c r="O200">
        <v>95</v>
      </c>
      <c r="P200">
        <v>5</v>
      </c>
      <c r="Q200">
        <f>+DB!AB200</f>
        <v>0</v>
      </c>
      <c r="R200">
        <f>+DB!K200</f>
        <v>0</v>
      </c>
      <c r="S200">
        <f>+DB!F200</f>
        <v>0</v>
      </c>
      <c r="T200">
        <f>+IF(DB!F200="AAAC-35",1,3)</f>
        <v>3</v>
      </c>
      <c r="U200">
        <f>+DB!R200</f>
        <v>0</v>
      </c>
      <c r="V200">
        <f>+IF(DB!P200="1RI",1,0)+IF(DB!P200="2RI",2,0)</f>
        <v>0</v>
      </c>
      <c r="W200">
        <f>+IF(DB!P200="1RV",1,0)+IF(DB!P200="2RV",2,0)</f>
        <v>0</v>
      </c>
      <c r="X200">
        <f>+IF(DB!P200="RYI",1,0)</f>
        <v>0</v>
      </c>
      <c r="Y200">
        <f>+IF(DB!P200="RYV",1,0)</f>
        <v>0</v>
      </c>
      <c r="Z200">
        <f>+DB!U200</f>
        <v>0</v>
      </c>
      <c r="AA200">
        <f>+IF(DB!F200="AAAC-35",19.5,33)</f>
        <v>33</v>
      </c>
      <c r="AB200">
        <f>+DB!V200</f>
        <v>0</v>
      </c>
      <c r="AC200" t="str">
        <f t="shared" si="11"/>
        <v>56-4</v>
      </c>
      <c r="AD200" s="21" t="s">
        <v>72</v>
      </c>
      <c r="AE200">
        <f>+DB!X200</f>
        <v>0</v>
      </c>
      <c r="AF200" s="22">
        <f>+DB!Y200</f>
        <v>0</v>
      </c>
      <c r="AG200">
        <f>+DB!AK200</f>
        <v>0</v>
      </c>
    </row>
    <row r="201" spans="1:33" x14ac:dyDescent="0.2">
      <c r="A201">
        <f>+DB!C201</f>
        <v>0</v>
      </c>
      <c r="B201">
        <f>+DB!D201</f>
        <v>0</v>
      </c>
      <c r="C201">
        <f>+DB!E201</f>
        <v>0</v>
      </c>
      <c r="D201">
        <f t="shared" si="9"/>
        <v>0</v>
      </c>
      <c r="E201">
        <f>+DB!G201</f>
        <v>0</v>
      </c>
      <c r="F201">
        <f>+DB!H201</f>
        <v>0</v>
      </c>
      <c r="G201">
        <f>+DB!N201</f>
        <v>0</v>
      </c>
      <c r="H201">
        <f>+DB!O201</f>
        <v>0</v>
      </c>
      <c r="I201">
        <f>+DB!I201</f>
        <v>0</v>
      </c>
      <c r="J201">
        <f>+DB!J201</f>
        <v>0</v>
      </c>
      <c r="K201">
        <f>+DB!L201</f>
        <v>0</v>
      </c>
      <c r="L201" t="str">
        <f t="shared" si="10"/>
        <v/>
      </c>
      <c r="M201" t="str">
        <f>+IF(LEFT(DB!M201,3)="13/","CAC","MAD")</f>
        <v>MAD</v>
      </c>
      <c r="N201" t="str">
        <f>+RIGHT(DB!M201,6)</f>
        <v/>
      </c>
      <c r="O201">
        <v>95</v>
      </c>
      <c r="P201">
        <v>5</v>
      </c>
      <c r="Q201">
        <f>+DB!AB201</f>
        <v>0</v>
      </c>
      <c r="R201">
        <f>+DB!K201</f>
        <v>0</v>
      </c>
      <c r="S201">
        <f>+DB!F201</f>
        <v>0</v>
      </c>
      <c r="T201">
        <f>+IF(DB!F201="AAAC-35",1,3)</f>
        <v>3</v>
      </c>
      <c r="U201">
        <f>+DB!R201</f>
        <v>0</v>
      </c>
      <c r="V201">
        <f>+IF(DB!P201="1RI",1,0)+IF(DB!P201="2RI",2,0)</f>
        <v>0</v>
      </c>
      <c r="W201">
        <f>+IF(DB!P201="1RV",1,0)+IF(DB!P201="2RV",2,0)</f>
        <v>0</v>
      </c>
      <c r="X201">
        <f>+IF(DB!P201="RYI",1,0)</f>
        <v>0</v>
      </c>
      <c r="Y201">
        <f>+IF(DB!P201="RYV",1,0)</f>
        <v>0</v>
      </c>
      <c r="Z201">
        <f>+DB!U201</f>
        <v>0</v>
      </c>
      <c r="AA201">
        <f>+IF(DB!F201="AAAC-35",19.5,33)</f>
        <v>33</v>
      </c>
      <c r="AB201">
        <f>+DB!V201</f>
        <v>0</v>
      </c>
      <c r="AC201" t="str">
        <f t="shared" si="11"/>
        <v>56-4</v>
      </c>
      <c r="AD201" s="21" t="s">
        <v>72</v>
      </c>
      <c r="AE201">
        <f>+DB!X201</f>
        <v>0</v>
      </c>
      <c r="AF201" s="22">
        <f>+DB!Y201</f>
        <v>0</v>
      </c>
      <c r="AG201">
        <f>+DB!AK201</f>
        <v>0</v>
      </c>
    </row>
    <row r="202" spans="1:33" x14ac:dyDescent="0.2">
      <c r="A202">
        <f>+DB!C202</f>
        <v>0</v>
      </c>
      <c r="B202">
        <f>+DB!D202</f>
        <v>0</v>
      </c>
      <c r="C202">
        <f>+DB!E202</f>
        <v>0</v>
      </c>
      <c r="D202">
        <f t="shared" si="9"/>
        <v>0</v>
      </c>
      <c r="E202">
        <f>+DB!G202</f>
        <v>0</v>
      </c>
      <c r="F202">
        <f>+DB!H202</f>
        <v>0</v>
      </c>
      <c r="G202">
        <f>+DB!N202</f>
        <v>0</v>
      </c>
      <c r="H202">
        <f>+DB!O202</f>
        <v>0</v>
      </c>
      <c r="I202">
        <f>+DB!I202</f>
        <v>0</v>
      </c>
      <c r="J202">
        <f>+DB!J202</f>
        <v>0</v>
      </c>
      <c r="K202">
        <f>+DB!L202</f>
        <v>0</v>
      </c>
      <c r="L202" t="str">
        <f t="shared" si="10"/>
        <v/>
      </c>
      <c r="M202" t="str">
        <f>+IF(LEFT(DB!M202,3)="13/","CAC","MAD")</f>
        <v>MAD</v>
      </c>
      <c r="N202" t="str">
        <f>+RIGHT(DB!M202,6)</f>
        <v/>
      </c>
      <c r="O202">
        <v>95</v>
      </c>
      <c r="P202">
        <v>5</v>
      </c>
      <c r="Q202">
        <f>+DB!AB202</f>
        <v>0</v>
      </c>
      <c r="R202">
        <f>+DB!K202</f>
        <v>0</v>
      </c>
      <c r="S202">
        <f>+DB!F202</f>
        <v>0</v>
      </c>
      <c r="T202">
        <f>+IF(DB!F202="AAAC-35",1,3)</f>
        <v>3</v>
      </c>
      <c r="U202">
        <f>+DB!R202</f>
        <v>0</v>
      </c>
      <c r="V202">
        <f>+IF(DB!P202="1RI",1,0)+IF(DB!P202="2RI",2,0)</f>
        <v>0</v>
      </c>
      <c r="W202">
        <f>+IF(DB!P202="1RV",1,0)+IF(DB!P202="2RV",2,0)</f>
        <v>0</v>
      </c>
      <c r="X202">
        <f>+IF(DB!P202="RYI",1,0)</f>
        <v>0</v>
      </c>
      <c r="Y202">
        <f>+IF(DB!P202="RYV",1,0)</f>
        <v>0</v>
      </c>
      <c r="Z202">
        <f>+DB!U202</f>
        <v>0</v>
      </c>
      <c r="AA202">
        <f>+IF(DB!F202="AAAC-35",19.5,33)</f>
        <v>33</v>
      </c>
      <c r="AB202">
        <f>+DB!V202</f>
        <v>0</v>
      </c>
      <c r="AC202" t="str">
        <f t="shared" si="11"/>
        <v>56-4</v>
      </c>
      <c r="AD202" s="21" t="s">
        <v>72</v>
      </c>
      <c r="AE202">
        <f>+DB!X202</f>
        <v>0</v>
      </c>
      <c r="AF202" s="22">
        <f>+DB!Y202</f>
        <v>0</v>
      </c>
      <c r="AG202">
        <f>+DB!AK202</f>
        <v>0</v>
      </c>
    </row>
    <row r="203" spans="1:33" x14ac:dyDescent="0.2">
      <c r="A203">
        <f>+DB!C203</f>
        <v>0</v>
      </c>
      <c r="B203">
        <f>+DB!D203</f>
        <v>0</v>
      </c>
      <c r="C203">
        <f>+DB!E203</f>
        <v>0</v>
      </c>
      <c r="D203">
        <f t="shared" si="9"/>
        <v>0</v>
      </c>
      <c r="E203">
        <f>+DB!G203</f>
        <v>0</v>
      </c>
      <c r="F203">
        <f>+DB!H203</f>
        <v>0</v>
      </c>
      <c r="G203">
        <f>+DB!N203</f>
        <v>0</v>
      </c>
      <c r="H203">
        <f>+DB!O203</f>
        <v>0</v>
      </c>
      <c r="I203">
        <f>+DB!I203</f>
        <v>0</v>
      </c>
      <c r="J203">
        <f>+DB!J203</f>
        <v>0</v>
      </c>
      <c r="K203">
        <f>+DB!L203</f>
        <v>0</v>
      </c>
      <c r="L203" t="str">
        <f t="shared" si="10"/>
        <v/>
      </c>
      <c r="M203" t="str">
        <f>+IF(LEFT(DB!M203,3)="13/","CAC","MAD")</f>
        <v>MAD</v>
      </c>
      <c r="N203" t="str">
        <f>+RIGHT(DB!M203,6)</f>
        <v/>
      </c>
      <c r="O203">
        <v>95</v>
      </c>
      <c r="P203">
        <v>5</v>
      </c>
      <c r="Q203">
        <f>+DB!AB203</f>
        <v>0</v>
      </c>
      <c r="R203">
        <f>+DB!K203</f>
        <v>0</v>
      </c>
      <c r="S203">
        <f>+DB!F203</f>
        <v>0</v>
      </c>
      <c r="T203">
        <f>+IF(DB!F203="AAAC-35",1,3)</f>
        <v>3</v>
      </c>
      <c r="U203">
        <f>+DB!R203</f>
        <v>0</v>
      </c>
      <c r="V203">
        <f>+IF(DB!P203="1RI",1,0)+IF(DB!P203="2RI",2,0)</f>
        <v>0</v>
      </c>
      <c r="W203">
        <f>+IF(DB!P203="1RV",1,0)+IF(DB!P203="2RV",2,0)</f>
        <v>0</v>
      </c>
      <c r="X203">
        <f>+IF(DB!P203="RYI",1,0)</f>
        <v>0</v>
      </c>
      <c r="Y203">
        <f>+IF(DB!P203="RYV",1,0)</f>
        <v>0</v>
      </c>
      <c r="Z203">
        <f>+DB!U203</f>
        <v>0</v>
      </c>
      <c r="AA203">
        <f>+IF(DB!F203="AAAC-35",19.5,33)</f>
        <v>33</v>
      </c>
      <c r="AB203">
        <f>+DB!V203</f>
        <v>0</v>
      </c>
      <c r="AC203" t="str">
        <f t="shared" si="11"/>
        <v>56-4</v>
      </c>
      <c r="AD203" s="21" t="s">
        <v>72</v>
      </c>
      <c r="AE203">
        <f>+DB!X203</f>
        <v>0</v>
      </c>
      <c r="AF203" s="22">
        <f>+DB!Y203</f>
        <v>0</v>
      </c>
      <c r="AG203">
        <f>+DB!AK203</f>
        <v>0</v>
      </c>
    </row>
    <row r="204" spans="1:33" x14ac:dyDescent="0.2">
      <c r="A204">
        <f>+DB!C204</f>
        <v>0</v>
      </c>
      <c r="B204">
        <f>+DB!D204</f>
        <v>0</v>
      </c>
      <c r="C204">
        <f>+DB!E204</f>
        <v>0</v>
      </c>
      <c r="D204">
        <f t="shared" si="9"/>
        <v>0</v>
      </c>
      <c r="E204">
        <f>+DB!G204</f>
        <v>0</v>
      </c>
      <c r="F204">
        <f>+DB!H204</f>
        <v>0</v>
      </c>
      <c r="G204">
        <f>+DB!N204</f>
        <v>0</v>
      </c>
      <c r="H204">
        <f>+DB!O204</f>
        <v>0</v>
      </c>
      <c r="I204">
        <f>+DB!I204</f>
        <v>0</v>
      </c>
      <c r="J204">
        <f>+DB!J204</f>
        <v>0</v>
      </c>
      <c r="K204">
        <f>+DB!L204</f>
        <v>0</v>
      </c>
      <c r="L204" t="str">
        <f t="shared" si="10"/>
        <v/>
      </c>
      <c r="M204" t="str">
        <f>+IF(LEFT(DB!M204,3)="13/","CAC","MAD")</f>
        <v>MAD</v>
      </c>
      <c r="N204" t="str">
        <f>+RIGHT(DB!M204,6)</f>
        <v/>
      </c>
      <c r="O204">
        <v>95</v>
      </c>
      <c r="P204">
        <v>5</v>
      </c>
      <c r="Q204">
        <f>+DB!AB204</f>
        <v>0</v>
      </c>
      <c r="R204">
        <f>+DB!K204</f>
        <v>0</v>
      </c>
      <c r="S204">
        <f>+DB!F204</f>
        <v>0</v>
      </c>
      <c r="T204">
        <f>+IF(DB!F204="AAAC-35",1,3)</f>
        <v>3</v>
      </c>
      <c r="U204">
        <f>+DB!R204</f>
        <v>0</v>
      </c>
      <c r="V204">
        <f>+IF(DB!P204="1RI",1,0)+IF(DB!P204="2RI",2,0)</f>
        <v>0</v>
      </c>
      <c r="W204">
        <f>+IF(DB!P204="1RV",1,0)+IF(DB!P204="2RV",2,0)</f>
        <v>0</v>
      </c>
      <c r="X204">
        <f>+IF(DB!P204="RYI",1,0)</f>
        <v>0</v>
      </c>
      <c r="Y204">
        <f>+IF(DB!P204="RYV",1,0)</f>
        <v>0</v>
      </c>
      <c r="Z204">
        <f>+DB!U204</f>
        <v>0</v>
      </c>
      <c r="AA204">
        <f>+IF(DB!F204="AAAC-35",19.5,33)</f>
        <v>33</v>
      </c>
      <c r="AB204">
        <f>+DB!V204</f>
        <v>0</v>
      </c>
      <c r="AC204" t="str">
        <f t="shared" si="11"/>
        <v>56-4</v>
      </c>
      <c r="AD204" s="21" t="s">
        <v>72</v>
      </c>
      <c r="AE204">
        <f>+DB!X204</f>
        <v>0</v>
      </c>
      <c r="AF204" s="22">
        <f>+DB!Y204</f>
        <v>0</v>
      </c>
      <c r="AG204">
        <f>+DB!AK204</f>
        <v>0</v>
      </c>
    </row>
    <row r="205" spans="1:33" x14ac:dyDescent="0.2">
      <c r="A205">
        <f>+DB!C205</f>
        <v>0</v>
      </c>
      <c r="B205">
        <f>+DB!D205</f>
        <v>0</v>
      </c>
      <c r="C205">
        <f>+DB!E205</f>
        <v>0</v>
      </c>
      <c r="D205">
        <f t="shared" si="9"/>
        <v>0</v>
      </c>
      <c r="E205">
        <f>+DB!G205</f>
        <v>0</v>
      </c>
      <c r="F205">
        <f>+DB!H205</f>
        <v>0</v>
      </c>
      <c r="G205">
        <f>+DB!N205</f>
        <v>0</v>
      </c>
      <c r="H205">
        <f>+DB!O205</f>
        <v>0</v>
      </c>
      <c r="I205">
        <f>+DB!I205</f>
        <v>0</v>
      </c>
      <c r="J205">
        <f>+DB!J205</f>
        <v>0</v>
      </c>
      <c r="K205">
        <f>+DB!L205</f>
        <v>0</v>
      </c>
      <c r="L205" t="str">
        <f t="shared" si="10"/>
        <v/>
      </c>
      <c r="M205" t="str">
        <f>+IF(LEFT(DB!M205,3)="13/","CAC","MAD")</f>
        <v>MAD</v>
      </c>
      <c r="N205" t="str">
        <f>+RIGHT(DB!M205,6)</f>
        <v/>
      </c>
      <c r="O205">
        <v>95</v>
      </c>
      <c r="P205">
        <v>5</v>
      </c>
      <c r="Q205">
        <f>+DB!AB205</f>
        <v>0</v>
      </c>
      <c r="R205">
        <f>+DB!K205</f>
        <v>0</v>
      </c>
      <c r="S205">
        <f>+DB!F205</f>
        <v>0</v>
      </c>
      <c r="T205">
        <f>+IF(DB!F205="AAAC-35",1,3)</f>
        <v>3</v>
      </c>
      <c r="U205">
        <f>+DB!R205</f>
        <v>0</v>
      </c>
      <c r="V205">
        <f>+IF(DB!P205="1RI",1,0)+IF(DB!P205="2RI",2,0)</f>
        <v>0</v>
      </c>
      <c r="W205">
        <f>+IF(DB!P205="1RV",1,0)+IF(DB!P205="2RV",2,0)</f>
        <v>0</v>
      </c>
      <c r="X205">
        <f>+IF(DB!P205="RYI",1,0)</f>
        <v>0</v>
      </c>
      <c r="Y205">
        <f>+IF(DB!P205="RYV",1,0)</f>
        <v>0</v>
      </c>
      <c r="Z205">
        <f>+DB!U205</f>
        <v>0</v>
      </c>
      <c r="AA205">
        <f>+IF(DB!F205="AAAC-35",19.5,33)</f>
        <v>33</v>
      </c>
      <c r="AB205">
        <f>+DB!V205</f>
        <v>0</v>
      </c>
      <c r="AC205" t="str">
        <f t="shared" si="11"/>
        <v>56-4</v>
      </c>
      <c r="AD205" s="21" t="s">
        <v>72</v>
      </c>
      <c r="AE205">
        <f>+DB!X205</f>
        <v>0</v>
      </c>
      <c r="AF205" s="22">
        <f>+DB!Y205</f>
        <v>0</v>
      </c>
      <c r="AG205">
        <f>+DB!AK205</f>
        <v>0</v>
      </c>
    </row>
    <row r="206" spans="1:33" x14ac:dyDescent="0.2">
      <c r="A206">
        <f>+DB!C206</f>
        <v>0</v>
      </c>
      <c r="B206">
        <f>+DB!D206</f>
        <v>0</v>
      </c>
      <c r="C206">
        <f>+DB!E206</f>
        <v>0</v>
      </c>
      <c r="D206">
        <f t="shared" si="9"/>
        <v>0</v>
      </c>
      <c r="E206">
        <f>+DB!G206</f>
        <v>0</v>
      </c>
      <c r="F206">
        <f>+DB!H206</f>
        <v>0</v>
      </c>
      <c r="G206">
        <f>+DB!N206</f>
        <v>0</v>
      </c>
      <c r="H206">
        <f>+DB!O206</f>
        <v>0</v>
      </c>
      <c r="I206">
        <f>+DB!I206</f>
        <v>0</v>
      </c>
      <c r="J206">
        <f>+DB!J206</f>
        <v>0</v>
      </c>
      <c r="K206">
        <f>+DB!L206</f>
        <v>0</v>
      </c>
      <c r="L206" t="str">
        <f t="shared" si="10"/>
        <v/>
      </c>
      <c r="M206" t="str">
        <f>+IF(LEFT(DB!M206,3)="13/","CAC","MAD")</f>
        <v>MAD</v>
      </c>
      <c r="N206" t="str">
        <f>+RIGHT(DB!M206,6)</f>
        <v/>
      </c>
      <c r="O206">
        <v>95</v>
      </c>
      <c r="P206">
        <v>5</v>
      </c>
      <c r="Q206">
        <f>+DB!AB206</f>
        <v>0</v>
      </c>
      <c r="R206">
        <f>+DB!K206</f>
        <v>0</v>
      </c>
      <c r="S206">
        <f>+DB!F206</f>
        <v>0</v>
      </c>
      <c r="T206">
        <f>+IF(DB!F206="AAAC-35",1,3)</f>
        <v>3</v>
      </c>
      <c r="U206">
        <f>+DB!R206</f>
        <v>0</v>
      </c>
      <c r="V206">
        <f>+IF(DB!P206="1RI",1,0)+IF(DB!P206="2RI",2,0)</f>
        <v>0</v>
      </c>
      <c r="W206">
        <f>+IF(DB!P206="1RV",1,0)+IF(DB!P206="2RV",2,0)</f>
        <v>0</v>
      </c>
      <c r="X206">
        <f>+IF(DB!P206="RYI",1,0)</f>
        <v>0</v>
      </c>
      <c r="Y206">
        <f>+IF(DB!P206="RYV",1,0)</f>
        <v>0</v>
      </c>
      <c r="Z206">
        <f>+DB!U206</f>
        <v>0</v>
      </c>
      <c r="AA206">
        <f>+IF(DB!F206="AAAC-35",19.5,33)</f>
        <v>33</v>
      </c>
      <c r="AB206">
        <f>+DB!V206</f>
        <v>0</v>
      </c>
      <c r="AC206" t="str">
        <f t="shared" si="11"/>
        <v>56-4</v>
      </c>
      <c r="AD206" s="21" t="s">
        <v>72</v>
      </c>
      <c r="AE206">
        <f>+DB!X206</f>
        <v>0</v>
      </c>
      <c r="AF206" s="22">
        <f>+DB!Y206</f>
        <v>0</v>
      </c>
      <c r="AG206">
        <f>+DB!AK206</f>
        <v>0</v>
      </c>
    </row>
    <row r="207" spans="1:33" x14ac:dyDescent="0.2">
      <c r="A207">
        <f>+DB!C207</f>
        <v>0</v>
      </c>
      <c r="B207">
        <f>+DB!D207</f>
        <v>0</v>
      </c>
      <c r="C207">
        <f>+DB!E207</f>
        <v>0</v>
      </c>
      <c r="D207">
        <f t="shared" si="9"/>
        <v>0</v>
      </c>
      <c r="E207">
        <f>+DB!G207</f>
        <v>0</v>
      </c>
      <c r="F207">
        <f>+DB!H207</f>
        <v>0</v>
      </c>
      <c r="G207">
        <f>+DB!N207</f>
        <v>0</v>
      </c>
      <c r="H207">
        <f>+DB!O207</f>
        <v>0</v>
      </c>
      <c r="I207">
        <f>+DB!I207</f>
        <v>0</v>
      </c>
      <c r="J207">
        <f>+DB!J207</f>
        <v>0</v>
      </c>
      <c r="K207">
        <f>+DB!L207</f>
        <v>0</v>
      </c>
      <c r="L207" t="str">
        <f t="shared" si="10"/>
        <v/>
      </c>
      <c r="M207" t="str">
        <f>+IF(LEFT(DB!M207,3)="13/","CAC","MAD")</f>
        <v>MAD</v>
      </c>
      <c r="N207" t="str">
        <f>+RIGHT(DB!M207,6)</f>
        <v/>
      </c>
      <c r="O207">
        <v>95</v>
      </c>
      <c r="P207">
        <v>5</v>
      </c>
      <c r="Q207">
        <f>+DB!AB207</f>
        <v>0</v>
      </c>
      <c r="R207">
        <f>+DB!K207</f>
        <v>0</v>
      </c>
      <c r="S207">
        <f>+DB!F207</f>
        <v>0</v>
      </c>
      <c r="T207">
        <f>+IF(DB!F207="AAAC-35",1,3)</f>
        <v>3</v>
      </c>
      <c r="U207">
        <f>+DB!R207</f>
        <v>0</v>
      </c>
      <c r="V207">
        <f>+IF(DB!P207="1RI",1,0)+IF(DB!P207="2RI",2,0)</f>
        <v>0</v>
      </c>
      <c r="W207">
        <f>+IF(DB!P207="1RV",1,0)+IF(DB!P207="2RV",2,0)</f>
        <v>0</v>
      </c>
      <c r="X207">
        <f>+IF(DB!P207="RYI",1,0)</f>
        <v>0</v>
      </c>
      <c r="Y207">
        <f>+IF(DB!P207="RYV",1,0)</f>
        <v>0</v>
      </c>
      <c r="Z207">
        <f>+DB!U207</f>
        <v>0</v>
      </c>
      <c r="AA207">
        <f>+IF(DB!F207="AAAC-35",19.5,33)</f>
        <v>33</v>
      </c>
      <c r="AB207">
        <f>+DB!V207</f>
        <v>0</v>
      </c>
      <c r="AC207" t="str">
        <f t="shared" si="11"/>
        <v>56-4</v>
      </c>
      <c r="AD207" s="21" t="s">
        <v>72</v>
      </c>
      <c r="AE207">
        <f>+DB!X207</f>
        <v>0</v>
      </c>
      <c r="AF207" s="22">
        <f>+DB!Y207</f>
        <v>0</v>
      </c>
      <c r="AG207">
        <f>+DB!AK207</f>
        <v>0</v>
      </c>
    </row>
    <row r="208" spans="1:33" x14ac:dyDescent="0.2">
      <c r="A208">
        <f>+DB!C208</f>
        <v>0</v>
      </c>
      <c r="B208">
        <f>+DB!D208</f>
        <v>0</v>
      </c>
      <c r="C208">
        <f>+DB!E208</f>
        <v>0</v>
      </c>
      <c r="D208">
        <f t="shared" si="9"/>
        <v>0</v>
      </c>
      <c r="E208">
        <f>+DB!G208</f>
        <v>0</v>
      </c>
      <c r="F208">
        <f>+DB!H208</f>
        <v>0</v>
      </c>
      <c r="G208">
        <f>+DB!N208</f>
        <v>0</v>
      </c>
      <c r="H208">
        <f>+DB!O208</f>
        <v>0</v>
      </c>
      <c r="I208">
        <f>+DB!I208</f>
        <v>0</v>
      </c>
      <c r="J208">
        <f>+DB!J208</f>
        <v>0</v>
      </c>
      <c r="K208">
        <f>+DB!L208</f>
        <v>0</v>
      </c>
      <c r="L208" t="str">
        <f t="shared" si="10"/>
        <v/>
      </c>
      <c r="M208" t="str">
        <f>+IF(LEFT(DB!M208,3)="13/","CAC","MAD")</f>
        <v>MAD</v>
      </c>
      <c r="N208" t="str">
        <f>+RIGHT(DB!M208,6)</f>
        <v/>
      </c>
      <c r="O208">
        <v>95</v>
      </c>
      <c r="P208">
        <v>5</v>
      </c>
      <c r="Q208">
        <f>+DB!AB208</f>
        <v>0</v>
      </c>
      <c r="R208">
        <f>+DB!K208</f>
        <v>0</v>
      </c>
      <c r="S208">
        <f>+DB!F208</f>
        <v>0</v>
      </c>
      <c r="T208">
        <f>+IF(DB!F208="AAAC-35",1,3)</f>
        <v>3</v>
      </c>
      <c r="U208">
        <f>+DB!R208</f>
        <v>0</v>
      </c>
      <c r="V208">
        <f>+IF(DB!P208="1RI",1,0)+IF(DB!P208="2RI",2,0)</f>
        <v>0</v>
      </c>
      <c r="W208">
        <f>+IF(DB!P208="1RV",1,0)+IF(DB!P208="2RV",2,0)</f>
        <v>0</v>
      </c>
      <c r="X208">
        <f>+IF(DB!P208="RYI",1,0)</f>
        <v>0</v>
      </c>
      <c r="Y208">
        <f>+IF(DB!P208="RYV",1,0)</f>
        <v>0</v>
      </c>
      <c r="Z208">
        <f>+DB!U208</f>
        <v>0</v>
      </c>
      <c r="AA208">
        <f>+IF(DB!F208="AAAC-35",19.5,33)</f>
        <v>33</v>
      </c>
      <c r="AB208">
        <f>+DB!V208</f>
        <v>0</v>
      </c>
      <c r="AC208" t="str">
        <f t="shared" si="11"/>
        <v>56-4</v>
      </c>
      <c r="AD208" s="21" t="s">
        <v>72</v>
      </c>
      <c r="AE208">
        <f>+DB!X208</f>
        <v>0</v>
      </c>
      <c r="AF208" s="22">
        <f>+DB!Y208</f>
        <v>0</v>
      </c>
      <c r="AG208">
        <f>+DB!AK208</f>
        <v>0</v>
      </c>
    </row>
    <row r="209" spans="1:33" x14ac:dyDescent="0.2">
      <c r="A209">
        <f>+DB!C209</f>
        <v>0</v>
      </c>
      <c r="B209">
        <f>+DB!D209</f>
        <v>0</v>
      </c>
      <c r="C209">
        <f>+DB!E209</f>
        <v>0</v>
      </c>
      <c r="D209">
        <f t="shared" si="9"/>
        <v>0</v>
      </c>
      <c r="E209">
        <f>+DB!G209</f>
        <v>0</v>
      </c>
      <c r="F209">
        <f>+DB!H209</f>
        <v>0</v>
      </c>
      <c r="G209">
        <f>+DB!N209</f>
        <v>0</v>
      </c>
      <c r="H209">
        <f>+DB!O209</f>
        <v>0</v>
      </c>
      <c r="I209">
        <f>+DB!I209</f>
        <v>0</v>
      </c>
      <c r="J209">
        <f>+DB!J209</f>
        <v>0</v>
      </c>
      <c r="K209">
        <f>+DB!L209</f>
        <v>0</v>
      </c>
      <c r="L209" t="str">
        <f t="shared" si="10"/>
        <v/>
      </c>
      <c r="M209" t="str">
        <f>+IF(LEFT(DB!M209,3)="13/","CAC","MAD")</f>
        <v>MAD</v>
      </c>
      <c r="N209" t="str">
        <f>+RIGHT(DB!M209,6)</f>
        <v/>
      </c>
      <c r="O209">
        <v>95</v>
      </c>
      <c r="P209">
        <v>5</v>
      </c>
      <c r="Q209">
        <f>+DB!AB209</f>
        <v>0</v>
      </c>
      <c r="R209">
        <f>+DB!K209</f>
        <v>0</v>
      </c>
      <c r="S209">
        <f>+DB!F209</f>
        <v>0</v>
      </c>
      <c r="T209">
        <f>+IF(DB!F209="AAAC-35",1,3)</f>
        <v>3</v>
      </c>
      <c r="U209">
        <f>+DB!R209</f>
        <v>0</v>
      </c>
      <c r="V209">
        <f>+IF(DB!P209="1RI",1,0)+IF(DB!P209="2RI",2,0)</f>
        <v>0</v>
      </c>
      <c r="W209">
        <f>+IF(DB!P209="1RV",1,0)+IF(DB!P209="2RV",2,0)</f>
        <v>0</v>
      </c>
      <c r="X209">
        <f>+IF(DB!P209="RYI",1,0)</f>
        <v>0</v>
      </c>
      <c r="Y209">
        <f>+IF(DB!P209="RYV",1,0)</f>
        <v>0</v>
      </c>
      <c r="Z209">
        <f>+DB!U209</f>
        <v>0</v>
      </c>
      <c r="AA209">
        <f>+IF(DB!F209="AAAC-35",19.5,33)</f>
        <v>33</v>
      </c>
      <c r="AB209">
        <f>+DB!V209</f>
        <v>0</v>
      </c>
      <c r="AC209" t="str">
        <f t="shared" si="11"/>
        <v>56-4</v>
      </c>
      <c r="AD209" s="21" t="s">
        <v>72</v>
      </c>
      <c r="AE209">
        <f>+DB!X209</f>
        <v>0</v>
      </c>
      <c r="AF209" s="22">
        <f>+DB!Y209</f>
        <v>0</v>
      </c>
      <c r="AG209">
        <f>+DB!AK209</f>
        <v>0</v>
      </c>
    </row>
    <row r="210" spans="1:33" x14ac:dyDescent="0.2">
      <c r="A210">
        <f>+DB!C210</f>
        <v>0</v>
      </c>
      <c r="B210">
        <f>+DB!D210</f>
        <v>0</v>
      </c>
      <c r="C210">
        <f>+DB!E210</f>
        <v>0</v>
      </c>
      <c r="D210">
        <f t="shared" si="9"/>
        <v>0</v>
      </c>
      <c r="E210">
        <f>+DB!G210</f>
        <v>0</v>
      </c>
      <c r="F210">
        <f>+DB!H210</f>
        <v>0</v>
      </c>
      <c r="G210">
        <f>+DB!N210</f>
        <v>0</v>
      </c>
      <c r="H210">
        <f>+DB!O210</f>
        <v>0</v>
      </c>
      <c r="I210">
        <f>+DB!I210</f>
        <v>0</v>
      </c>
      <c r="J210">
        <f>+DB!J210</f>
        <v>0</v>
      </c>
      <c r="K210">
        <f>+DB!L210</f>
        <v>0</v>
      </c>
      <c r="L210" t="str">
        <f t="shared" si="10"/>
        <v/>
      </c>
      <c r="M210" t="str">
        <f>+IF(LEFT(DB!M210,3)="13/","CAC","MAD")</f>
        <v>MAD</v>
      </c>
      <c r="N210" t="str">
        <f>+RIGHT(DB!M210,6)</f>
        <v/>
      </c>
      <c r="O210">
        <v>95</v>
      </c>
      <c r="P210">
        <v>5</v>
      </c>
      <c r="Q210">
        <f>+DB!AB210</f>
        <v>0</v>
      </c>
      <c r="R210">
        <f>+DB!K210</f>
        <v>0</v>
      </c>
      <c r="S210">
        <f>+DB!F210</f>
        <v>0</v>
      </c>
      <c r="T210">
        <f>+IF(DB!F210="AAAC-35",1,3)</f>
        <v>3</v>
      </c>
      <c r="U210">
        <f>+DB!R210</f>
        <v>0</v>
      </c>
      <c r="V210">
        <f>+IF(DB!P210="1RI",1,0)+IF(DB!P210="2RI",2,0)</f>
        <v>0</v>
      </c>
      <c r="W210">
        <f>+IF(DB!P210="1RV",1,0)+IF(DB!P210="2RV",2,0)</f>
        <v>0</v>
      </c>
      <c r="X210">
        <f>+IF(DB!P210="RYI",1,0)</f>
        <v>0</v>
      </c>
      <c r="Y210">
        <f>+IF(DB!P210="RYV",1,0)</f>
        <v>0</v>
      </c>
      <c r="Z210">
        <f>+DB!U210</f>
        <v>0</v>
      </c>
      <c r="AA210">
        <f>+IF(DB!F210="AAAC-35",19.5,33)</f>
        <v>33</v>
      </c>
      <c r="AB210">
        <f>+DB!V210</f>
        <v>0</v>
      </c>
      <c r="AC210" t="str">
        <f t="shared" si="11"/>
        <v>56-4</v>
      </c>
      <c r="AD210" s="21" t="s">
        <v>72</v>
      </c>
      <c r="AE210">
        <f>+DB!X210</f>
        <v>0</v>
      </c>
      <c r="AF210" s="22">
        <f>+DB!Y210</f>
        <v>0</v>
      </c>
      <c r="AG210">
        <f>+DB!AK210</f>
        <v>0</v>
      </c>
    </row>
    <row r="211" spans="1:33" x14ac:dyDescent="0.2">
      <c r="A211">
        <f>+DB!C211</f>
        <v>0</v>
      </c>
      <c r="B211">
        <f>+DB!D211</f>
        <v>0</v>
      </c>
      <c r="C211">
        <f>+DB!E211</f>
        <v>0</v>
      </c>
      <c r="D211">
        <f t="shared" si="9"/>
        <v>0</v>
      </c>
      <c r="E211">
        <f>+DB!G211</f>
        <v>0</v>
      </c>
      <c r="F211">
        <f>+DB!H211</f>
        <v>0</v>
      </c>
      <c r="G211">
        <f>+DB!N211</f>
        <v>0</v>
      </c>
      <c r="H211">
        <f>+DB!O211</f>
        <v>0</v>
      </c>
      <c r="I211">
        <f>+DB!I211</f>
        <v>0</v>
      </c>
      <c r="J211">
        <f>+DB!J211</f>
        <v>0</v>
      </c>
      <c r="K211">
        <f>+DB!L211</f>
        <v>0</v>
      </c>
      <c r="L211" t="str">
        <f t="shared" si="10"/>
        <v/>
      </c>
      <c r="M211" t="str">
        <f>+IF(LEFT(DB!M211,3)="13/","CAC","MAD")</f>
        <v>MAD</v>
      </c>
      <c r="N211" t="str">
        <f>+RIGHT(DB!M211,6)</f>
        <v/>
      </c>
      <c r="O211">
        <v>95</v>
      </c>
      <c r="P211">
        <v>5</v>
      </c>
      <c r="Q211">
        <f>+DB!AB211</f>
        <v>0</v>
      </c>
      <c r="R211">
        <f>+DB!K211</f>
        <v>0</v>
      </c>
      <c r="S211">
        <f>+DB!F211</f>
        <v>0</v>
      </c>
      <c r="T211">
        <f>+IF(DB!F211="AAAC-35",1,3)</f>
        <v>3</v>
      </c>
      <c r="U211">
        <f>+DB!R211</f>
        <v>0</v>
      </c>
      <c r="V211">
        <f>+IF(DB!P211="1RI",1,0)+IF(DB!P211="2RI",2,0)</f>
        <v>0</v>
      </c>
      <c r="W211">
        <f>+IF(DB!P211="1RV",1,0)+IF(DB!P211="2RV",2,0)</f>
        <v>0</v>
      </c>
      <c r="X211">
        <f>+IF(DB!P211="RYI",1,0)</f>
        <v>0</v>
      </c>
      <c r="Y211">
        <f>+IF(DB!P211="RYV",1,0)</f>
        <v>0</v>
      </c>
      <c r="Z211">
        <f>+DB!U211</f>
        <v>0</v>
      </c>
      <c r="AA211">
        <f>+IF(DB!F211="AAAC-35",19.5,33)</f>
        <v>33</v>
      </c>
      <c r="AB211">
        <f>+DB!V211</f>
        <v>0</v>
      </c>
      <c r="AC211" t="str">
        <f t="shared" si="11"/>
        <v>56-4</v>
      </c>
      <c r="AD211" s="21" t="s">
        <v>72</v>
      </c>
      <c r="AE211">
        <f>+DB!X211</f>
        <v>0</v>
      </c>
      <c r="AF211" s="22">
        <f>+DB!Y211</f>
        <v>0</v>
      </c>
      <c r="AG211">
        <f>+DB!AK211</f>
        <v>0</v>
      </c>
    </row>
    <row r="212" spans="1:33" x14ac:dyDescent="0.2">
      <c r="A212">
        <f>+DB!C212</f>
        <v>0</v>
      </c>
      <c r="B212">
        <f>+DB!D212</f>
        <v>0</v>
      </c>
      <c r="C212">
        <f>+DB!E212</f>
        <v>0</v>
      </c>
      <c r="D212">
        <f t="shared" si="9"/>
        <v>0</v>
      </c>
      <c r="E212">
        <f>+DB!G212</f>
        <v>0</v>
      </c>
      <c r="F212">
        <f>+DB!H212</f>
        <v>0</v>
      </c>
      <c r="G212">
        <f>+DB!N212</f>
        <v>0</v>
      </c>
      <c r="H212">
        <f>+DB!O212</f>
        <v>0</v>
      </c>
      <c r="I212">
        <f>+DB!I212</f>
        <v>0</v>
      </c>
      <c r="J212">
        <f>+DB!J212</f>
        <v>0</v>
      </c>
      <c r="K212">
        <f>+DB!L212</f>
        <v>0</v>
      </c>
      <c r="L212" t="str">
        <f t="shared" si="10"/>
        <v/>
      </c>
      <c r="M212" t="str">
        <f>+IF(LEFT(DB!M212,3)="13/","CAC","MAD")</f>
        <v>MAD</v>
      </c>
      <c r="N212" t="str">
        <f>+RIGHT(DB!M212,6)</f>
        <v/>
      </c>
      <c r="O212">
        <v>95</v>
      </c>
      <c r="P212">
        <v>5</v>
      </c>
      <c r="Q212">
        <f>+DB!AB212</f>
        <v>0</v>
      </c>
      <c r="R212">
        <f>+DB!K212</f>
        <v>0</v>
      </c>
      <c r="S212">
        <f>+DB!F212</f>
        <v>0</v>
      </c>
      <c r="T212">
        <f>+IF(DB!F212="AAAC-35",1,3)</f>
        <v>3</v>
      </c>
      <c r="U212">
        <f>+DB!R212</f>
        <v>0</v>
      </c>
      <c r="V212">
        <f>+IF(DB!P212="1RI",1,0)+IF(DB!P212="2RI",2,0)</f>
        <v>0</v>
      </c>
      <c r="W212">
        <f>+IF(DB!P212="1RV",1,0)+IF(DB!P212="2RV",2,0)</f>
        <v>0</v>
      </c>
      <c r="X212">
        <f>+IF(DB!P212="RYI",1,0)</f>
        <v>0</v>
      </c>
      <c r="Y212">
        <f>+IF(DB!P212="RYV",1,0)</f>
        <v>0</v>
      </c>
      <c r="Z212">
        <f>+DB!U212</f>
        <v>0</v>
      </c>
      <c r="AA212">
        <f>+IF(DB!F212="AAAC-35",19.5,33)</f>
        <v>33</v>
      </c>
      <c r="AB212">
        <f>+DB!V212</f>
        <v>0</v>
      </c>
      <c r="AC212" t="str">
        <f t="shared" si="11"/>
        <v>56-4</v>
      </c>
      <c r="AD212" s="21" t="s">
        <v>72</v>
      </c>
      <c r="AE212">
        <f>+DB!X212</f>
        <v>0</v>
      </c>
      <c r="AF212" s="22">
        <f>+DB!Y212</f>
        <v>0</v>
      </c>
      <c r="AG212">
        <f>+DB!AK212</f>
        <v>0</v>
      </c>
    </row>
    <row r="213" spans="1:33" x14ac:dyDescent="0.2">
      <c r="A213">
        <f>+DB!C213</f>
        <v>0</v>
      </c>
      <c r="B213">
        <f>+DB!D213</f>
        <v>0</v>
      </c>
      <c r="C213">
        <f>+DB!E213</f>
        <v>0</v>
      </c>
      <c r="D213">
        <f t="shared" si="9"/>
        <v>0</v>
      </c>
      <c r="E213">
        <f>+DB!G213</f>
        <v>0</v>
      </c>
      <c r="F213">
        <f>+DB!H213</f>
        <v>0</v>
      </c>
      <c r="G213">
        <f>+DB!N213</f>
        <v>0</v>
      </c>
      <c r="H213">
        <f>+DB!O213</f>
        <v>0</v>
      </c>
      <c r="I213">
        <f>+DB!I213</f>
        <v>0</v>
      </c>
      <c r="J213">
        <f>+DB!J213</f>
        <v>0</v>
      </c>
      <c r="K213">
        <f>+DB!L213</f>
        <v>0</v>
      </c>
      <c r="L213" t="str">
        <f t="shared" si="10"/>
        <v/>
      </c>
      <c r="M213" t="str">
        <f>+IF(LEFT(DB!M213,3)="13/","CAC","MAD")</f>
        <v>MAD</v>
      </c>
      <c r="N213" t="str">
        <f>+RIGHT(DB!M213,6)</f>
        <v/>
      </c>
      <c r="O213">
        <v>95</v>
      </c>
      <c r="P213">
        <v>5</v>
      </c>
      <c r="Q213">
        <f>+DB!AB213</f>
        <v>0</v>
      </c>
      <c r="R213">
        <f>+DB!K213</f>
        <v>0</v>
      </c>
      <c r="S213">
        <f>+DB!F213</f>
        <v>0</v>
      </c>
      <c r="T213">
        <f>+IF(DB!F213="AAAC-35",1,3)</f>
        <v>3</v>
      </c>
      <c r="U213">
        <f>+DB!R213</f>
        <v>0</v>
      </c>
      <c r="V213">
        <f>+IF(DB!P213="1RI",1,0)+IF(DB!P213="2RI",2,0)</f>
        <v>0</v>
      </c>
      <c r="W213">
        <f>+IF(DB!P213="1RV",1,0)+IF(DB!P213="2RV",2,0)</f>
        <v>0</v>
      </c>
      <c r="X213">
        <f>+IF(DB!P213="RYI",1,0)</f>
        <v>0</v>
      </c>
      <c r="Y213">
        <f>+IF(DB!P213="RYV",1,0)</f>
        <v>0</v>
      </c>
      <c r="Z213">
        <f>+DB!U213</f>
        <v>0</v>
      </c>
      <c r="AA213">
        <f>+IF(DB!F213="AAAC-35",19.5,33)</f>
        <v>33</v>
      </c>
      <c r="AB213">
        <f>+DB!V213</f>
        <v>0</v>
      </c>
      <c r="AC213" t="str">
        <f t="shared" si="11"/>
        <v>56-4</v>
      </c>
      <c r="AD213" s="21" t="s">
        <v>72</v>
      </c>
      <c r="AE213">
        <f>+DB!X213</f>
        <v>0</v>
      </c>
      <c r="AF213" s="22">
        <f>+DB!Y213</f>
        <v>0</v>
      </c>
      <c r="AG213">
        <f>+DB!AK213</f>
        <v>0</v>
      </c>
    </row>
    <row r="214" spans="1:33" x14ac:dyDescent="0.2">
      <c r="A214">
        <f>+DB!C214</f>
        <v>0</v>
      </c>
      <c r="B214">
        <f>+DB!D214</f>
        <v>0</v>
      </c>
      <c r="C214">
        <f>+DB!E214</f>
        <v>0</v>
      </c>
      <c r="D214">
        <f t="shared" si="9"/>
        <v>0</v>
      </c>
      <c r="E214">
        <f>+DB!G214</f>
        <v>0</v>
      </c>
      <c r="F214">
        <f>+DB!H214</f>
        <v>0</v>
      </c>
      <c r="G214">
        <f>+DB!N214</f>
        <v>0</v>
      </c>
      <c r="H214">
        <f>+DB!O214</f>
        <v>0</v>
      </c>
      <c r="I214">
        <f>+DB!I214</f>
        <v>0</v>
      </c>
      <c r="J214">
        <f>+DB!J214</f>
        <v>0</v>
      </c>
      <c r="K214">
        <f>+DB!L214</f>
        <v>0</v>
      </c>
      <c r="L214" t="str">
        <f t="shared" si="10"/>
        <v/>
      </c>
      <c r="M214" t="str">
        <f>+IF(LEFT(DB!M214,3)="13/","CAC","MAD")</f>
        <v>MAD</v>
      </c>
      <c r="N214" t="str">
        <f>+RIGHT(DB!M214,6)</f>
        <v/>
      </c>
      <c r="O214">
        <v>95</v>
      </c>
      <c r="P214">
        <v>5</v>
      </c>
      <c r="Q214">
        <f>+DB!AB214</f>
        <v>0</v>
      </c>
      <c r="R214">
        <f>+DB!K214</f>
        <v>0</v>
      </c>
      <c r="S214">
        <f>+DB!F214</f>
        <v>0</v>
      </c>
      <c r="T214">
        <f>+IF(DB!F214="AAAC-35",1,3)</f>
        <v>3</v>
      </c>
      <c r="U214">
        <f>+DB!R214</f>
        <v>0</v>
      </c>
      <c r="V214">
        <f>+IF(DB!P214="1RI",1,0)+IF(DB!P214="2RI",2,0)</f>
        <v>0</v>
      </c>
      <c r="W214">
        <f>+IF(DB!P214="1RV",1,0)+IF(DB!P214="2RV",2,0)</f>
        <v>0</v>
      </c>
      <c r="X214">
        <f>+IF(DB!P214="RYI",1,0)</f>
        <v>0</v>
      </c>
      <c r="Y214">
        <f>+IF(DB!P214="RYV",1,0)</f>
        <v>0</v>
      </c>
      <c r="Z214">
        <f>+DB!U214</f>
        <v>0</v>
      </c>
      <c r="AA214">
        <f>+IF(DB!F214="AAAC-35",19.5,33)</f>
        <v>33</v>
      </c>
      <c r="AB214">
        <f>+DB!V214</f>
        <v>0</v>
      </c>
      <c r="AC214" t="str">
        <f t="shared" si="11"/>
        <v>56-4</v>
      </c>
      <c r="AD214" s="21" t="s">
        <v>72</v>
      </c>
      <c r="AE214">
        <f>+DB!X214</f>
        <v>0</v>
      </c>
      <c r="AF214" s="22">
        <f>+DB!Y214</f>
        <v>0</v>
      </c>
      <c r="AG214">
        <f>+DB!AK214</f>
        <v>0</v>
      </c>
    </row>
    <row r="215" spans="1:33" x14ac:dyDescent="0.2">
      <c r="A215">
        <f>+DB!C215</f>
        <v>0</v>
      </c>
      <c r="B215">
        <f>+DB!D215</f>
        <v>0</v>
      </c>
      <c r="C215">
        <f>+DB!E215</f>
        <v>0</v>
      </c>
      <c r="D215">
        <f t="shared" si="9"/>
        <v>0</v>
      </c>
      <c r="E215">
        <f>+DB!G215</f>
        <v>0</v>
      </c>
      <c r="F215">
        <f>+DB!H215</f>
        <v>0</v>
      </c>
      <c r="G215">
        <f>+DB!N215</f>
        <v>0</v>
      </c>
      <c r="H215">
        <f>+DB!O215</f>
        <v>0</v>
      </c>
      <c r="I215">
        <f>+DB!I215</f>
        <v>0</v>
      </c>
      <c r="J215">
        <f>+DB!J215</f>
        <v>0</v>
      </c>
      <c r="K215">
        <f>+DB!L215</f>
        <v>0</v>
      </c>
      <c r="L215" t="str">
        <f t="shared" si="10"/>
        <v/>
      </c>
      <c r="M215" t="str">
        <f>+IF(LEFT(DB!M215,3)="13/","CAC","MAD")</f>
        <v>MAD</v>
      </c>
      <c r="N215" t="str">
        <f>+RIGHT(DB!M215,6)</f>
        <v/>
      </c>
      <c r="O215">
        <v>95</v>
      </c>
      <c r="P215">
        <v>5</v>
      </c>
      <c r="Q215">
        <f>+DB!AB215</f>
        <v>0</v>
      </c>
      <c r="R215">
        <f>+DB!K215</f>
        <v>0</v>
      </c>
      <c r="S215">
        <f>+DB!F215</f>
        <v>0</v>
      </c>
      <c r="T215">
        <f>+IF(DB!F215="AAAC-35",1,3)</f>
        <v>3</v>
      </c>
      <c r="U215">
        <f>+DB!R215</f>
        <v>0</v>
      </c>
      <c r="V215">
        <f>+IF(DB!P215="1RI",1,0)+IF(DB!P215="2RI",2,0)</f>
        <v>0</v>
      </c>
      <c r="W215">
        <f>+IF(DB!P215="1RV",1,0)+IF(DB!P215="2RV",2,0)</f>
        <v>0</v>
      </c>
      <c r="X215">
        <f>+IF(DB!P215="RYI",1,0)</f>
        <v>0</v>
      </c>
      <c r="Y215">
        <f>+IF(DB!P215="RYV",1,0)</f>
        <v>0</v>
      </c>
      <c r="Z215">
        <f>+DB!U215</f>
        <v>0</v>
      </c>
      <c r="AA215">
        <f>+IF(DB!F215="AAAC-35",19.5,33)</f>
        <v>33</v>
      </c>
      <c r="AB215">
        <f>+DB!V215</f>
        <v>0</v>
      </c>
      <c r="AC215" t="str">
        <f t="shared" si="11"/>
        <v>56-4</v>
      </c>
      <c r="AD215" s="21" t="s">
        <v>72</v>
      </c>
      <c r="AE215">
        <f>+DB!X215</f>
        <v>0</v>
      </c>
      <c r="AF215" s="22">
        <f>+DB!Y215</f>
        <v>0</v>
      </c>
      <c r="AG215">
        <f>+DB!AK215</f>
        <v>0</v>
      </c>
    </row>
    <row r="216" spans="1:33" x14ac:dyDescent="0.2">
      <c r="A216">
        <f>+DB!C216</f>
        <v>0</v>
      </c>
      <c r="B216">
        <f>+DB!D216</f>
        <v>0</v>
      </c>
      <c r="C216">
        <f>+DB!E216</f>
        <v>0</v>
      </c>
      <c r="D216">
        <f t="shared" si="9"/>
        <v>0</v>
      </c>
      <c r="E216">
        <f>+DB!G216</f>
        <v>0</v>
      </c>
      <c r="F216">
        <f>+DB!H216</f>
        <v>0</v>
      </c>
      <c r="G216">
        <f>+DB!N216</f>
        <v>0</v>
      </c>
      <c r="H216">
        <f>+DB!O216</f>
        <v>0</v>
      </c>
      <c r="I216">
        <f>+DB!I216</f>
        <v>0</v>
      </c>
      <c r="J216">
        <f>+DB!J216</f>
        <v>0</v>
      </c>
      <c r="K216">
        <f>+DB!L216</f>
        <v>0</v>
      </c>
      <c r="L216" t="str">
        <f t="shared" si="10"/>
        <v/>
      </c>
      <c r="M216" t="str">
        <f>+IF(LEFT(DB!M216,3)="13/","CAC","MAD")</f>
        <v>MAD</v>
      </c>
      <c r="N216" t="str">
        <f>+RIGHT(DB!M216,6)</f>
        <v/>
      </c>
      <c r="O216">
        <v>95</v>
      </c>
      <c r="P216">
        <v>5</v>
      </c>
      <c r="Q216">
        <f>+DB!AB216</f>
        <v>0</v>
      </c>
      <c r="R216">
        <f>+DB!K216</f>
        <v>0</v>
      </c>
      <c r="S216">
        <f>+DB!F216</f>
        <v>0</v>
      </c>
      <c r="T216">
        <f>+IF(DB!F216="AAAC-35",1,3)</f>
        <v>3</v>
      </c>
      <c r="U216">
        <f>+DB!R216</f>
        <v>0</v>
      </c>
      <c r="V216">
        <f>+IF(DB!P216="1RI",1,0)+IF(DB!P216="2RI",2,0)</f>
        <v>0</v>
      </c>
      <c r="W216">
        <f>+IF(DB!P216="1RV",1,0)+IF(DB!P216="2RV",2,0)</f>
        <v>0</v>
      </c>
      <c r="X216">
        <f>+IF(DB!P216="RYI",1,0)</f>
        <v>0</v>
      </c>
      <c r="Y216">
        <f>+IF(DB!P216="RYV",1,0)</f>
        <v>0</v>
      </c>
      <c r="Z216">
        <f>+DB!U216</f>
        <v>0</v>
      </c>
      <c r="AA216">
        <f>+IF(DB!F216="AAAC-35",19.5,33)</f>
        <v>33</v>
      </c>
      <c r="AB216">
        <f>+DB!V216</f>
        <v>0</v>
      </c>
      <c r="AC216" t="str">
        <f t="shared" si="11"/>
        <v>56-4</v>
      </c>
      <c r="AD216" s="21" t="s">
        <v>72</v>
      </c>
      <c r="AE216">
        <f>+DB!X216</f>
        <v>0</v>
      </c>
      <c r="AF216" s="22">
        <f>+DB!Y216</f>
        <v>0</v>
      </c>
      <c r="AG216">
        <f>+DB!AK216</f>
        <v>0</v>
      </c>
    </row>
    <row r="217" spans="1:33" x14ac:dyDescent="0.2">
      <c r="A217">
        <f>+DB!C217</f>
        <v>0</v>
      </c>
      <c r="B217">
        <f>+DB!D217</f>
        <v>0</v>
      </c>
      <c r="C217">
        <f>+DB!E217</f>
        <v>0</v>
      </c>
      <c r="D217">
        <f t="shared" si="9"/>
        <v>0</v>
      </c>
      <c r="E217">
        <f>+DB!G217</f>
        <v>0</v>
      </c>
      <c r="F217">
        <f>+DB!H217</f>
        <v>0</v>
      </c>
      <c r="G217">
        <f>+DB!N217</f>
        <v>0</v>
      </c>
      <c r="H217">
        <f>+DB!O217</f>
        <v>0</v>
      </c>
      <c r="I217">
        <f>+DB!I217</f>
        <v>0</v>
      </c>
      <c r="J217">
        <f>+DB!J217</f>
        <v>0</v>
      </c>
      <c r="K217">
        <f>+DB!L217</f>
        <v>0</v>
      </c>
      <c r="L217" t="str">
        <f t="shared" si="10"/>
        <v/>
      </c>
      <c r="M217" t="str">
        <f>+IF(LEFT(DB!M217,3)="13/","CAC","MAD")</f>
        <v>MAD</v>
      </c>
      <c r="N217" t="str">
        <f>+RIGHT(DB!M217,6)</f>
        <v/>
      </c>
      <c r="O217">
        <v>95</v>
      </c>
      <c r="P217">
        <v>5</v>
      </c>
      <c r="Q217">
        <f>+DB!AB217</f>
        <v>0</v>
      </c>
      <c r="R217">
        <f>+DB!K217</f>
        <v>0</v>
      </c>
      <c r="S217">
        <f>+DB!F217</f>
        <v>0</v>
      </c>
      <c r="T217">
        <f>+IF(DB!F217="AAAC-35",1,3)</f>
        <v>3</v>
      </c>
      <c r="U217">
        <f>+DB!R217</f>
        <v>0</v>
      </c>
      <c r="V217">
        <f>+IF(DB!P217="1RI",1,0)+IF(DB!P217="2RI",2,0)</f>
        <v>0</v>
      </c>
      <c r="W217">
        <f>+IF(DB!P217="1RV",1,0)+IF(DB!P217="2RV",2,0)</f>
        <v>0</v>
      </c>
      <c r="X217">
        <f>+IF(DB!P217="RYI",1,0)</f>
        <v>0</v>
      </c>
      <c r="Y217">
        <f>+IF(DB!P217="RYV",1,0)</f>
        <v>0</v>
      </c>
      <c r="Z217">
        <f>+DB!U217</f>
        <v>0</v>
      </c>
      <c r="AA217">
        <f>+IF(DB!F217="AAAC-35",19.5,33)</f>
        <v>33</v>
      </c>
      <c r="AB217">
        <f>+DB!V217</f>
        <v>0</v>
      </c>
      <c r="AC217" t="str">
        <f t="shared" si="11"/>
        <v>56-4</v>
      </c>
      <c r="AD217" s="21" t="s">
        <v>72</v>
      </c>
      <c r="AE217">
        <f>+DB!X217</f>
        <v>0</v>
      </c>
      <c r="AF217" s="22">
        <f>+DB!Y217</f>
        <v>0</v>
      </c>
      <c r="AG217">
        <f>+DB!AK217</f>
        <v>0</v>
      </c>
    </row>
    <row r="218" spans="1:33" x14ac:dyDescent="0.2">
      <c r="A218">
        <f>+DB!C218</f>
        <v>0</v>
      </c>
      <c r="B218">
        <f>+DB!D218</f>
        <v>0</v>
      </c>
      <c r="C218">
        <f>+DB!E218</f>
        <v>0</v>
      </c>
      <c r="D218">
        <f t="shared" si="9"/>
        <v>0</v>
      </c>
      <c r="E218">
        <f>+DB!G218</f>
        <v>0</v>
      </c>
      <c r="F218">
        <f>+DB!H218</f>
        <v>0</v>
      </c>
      <c r="G218">
        <f>+DB!N218</f>
        <v>0</v>
      </c>
      <c r="H218">
        <f>+DB!O218</f>
        <v>0</v>
      </c>
      <c r="I218">
        <f>+DB!I218</f>
        <v>0</v>
      </c>
      <c r="J218">
        <f>+DB!J218</f>
        <v>0</v>
      </c>
      <c r="K218">
        <f>+DB!L218</f>
        <v>0</v>
      </c>
      <c r="L218" t="str">
        <f t="shared" si="10"/>
        <v/>
      </c>
      <c r="M218" t="str">
        <f>+IF(LEFT(DB!M218,3)="13/","CAC","MAD")</f>
        <v>MAD</v>
      </c>
      <c r="N218" t="str">
        <f>+RIGHT(DB!M218,6)</f>
        <v/>
      </c>
      <c r="O218">
        <v>95</v>
      </c>
      <c r="P218">
        <v>5</v>
      </c>
      <c r="Q218">
        <f>+DB!AB218</f>
        <v>0</v>
      </c>
      <c r="R218">
        <f>+DB!K218</f>
        <v>0</v>
      </c>
      <c r="S218">
        <f>+DB!F218</f>
        <v>0</v>
      </c>
      <c r="T218">
        <f>+IF(DB!F218="AAAC-35",1,3)</f>
        <v>3</v>
      </c>
      <c r="U218">
        <f>+DB!R218</f>
        <v>0</v>
      </c>
      <c r="V218">
        <f>+IF(DB!P218="1RI",1,0)+IF(DB!P218="2RI",2,0)</f>
        <v>0</v>
      </c>
      <c r="W218">
        <f>+IF(DB!P218="1RV",1,0)+IF(DB!P218="2RV",2,0)</f>
        <v>0</v>
      </c>
      <c r="X218">
        <f>+IF(DB!P218="RYI",1,0)</f>
        <v>0</v>
      </c>
      <c r="Y218">
        <f>+IF(DB!P218="RYV",1,0)</f>
        <v>0</v>
      </c>
      <c r="Z218">
        <f>+DB!U218</f>
        <v>0</v>
      </c>
      <c r="AA218">
        <f>+IF(DB!F218="AAAC-35",19.5,33)</f>
        <v>33</v>
      </c>
      <c r="AB218">
        <f>+DB!V218</f>
        <v>0</v>
      </c>
      <c r="AC218" t="str">
        <f t="shared" si="11"/>
        <v>56-4</v>
      </c>
      <c r="AD218" s="21" t="s">
        <v>72</v>
      </c>
      <c r="AE218">
        <f>+DB!X218</f>
        <v>0</v>
      </c>
      <c r="AF218" s="22">
        <f>+DB!Y218</f>
        <v>0</v>
      </c>
      <c r="AG218">
        <f>+DB!AK218</f>
        <v>0</v>
      </c>
    </row>
    <row r="219" spans="1:33" x14ac:dyDescent="0.2">
      <c r="A219">
        <f>+DB!C219</f>
        <v>0</v>
      </c>
      <c r="B219">
        <f>+DB!D219</f>
        <v>0</v>
      </c>
      <c r="C219">
        <f>+DB!E219</f>
        <v>0</v>
      </c>
      <c r="D219">
        <f t="shared" si="9"/>
        <v>0</v>
      </c>
      <c r="E219">
        <f>+DB!G219</f>
        <v>0</v>
      </c>
      <c r="F219">
        <f>+DB!H219</f>
        <v>0</v>
      </c>
      <c r="G219">
        <f>+DB!N219</f>
        <v>0</v>
      </c>
      <c r="H219">
        <f>+DB!O219</f>
        <v>0</v>
      </c>
      <c r="I219">
        <f>+DB!I219</f>
        <v>0</v>
      </c>
      <c r="J219">
        <f>+DB!J219</f>
        <v>0</v>
      </c>
      <c r="K219">
        <f>+DB!L219</f>
        <v>0</v>
      </c>
      <c r="L219" t="str">
        <f t="shared" si="10"/>
        <v/>
      </c>
      <c r="M219" t="str">
        <f>+IF(LEFT(DB!M219,3)="13/","CAC","MAD")</f>
        <v>MAD</v>
      </c>
      <c r="N219" t="str">
        <f>+RIGHT(DB!M219,6)</f>
        <v/>
      </c>
      <c r="O219">
        <v>95</v>
      </c>
      <c r="P219">
        <v>5</v>
      </c>
      <c r="Q219">
        <f>+DB!AB219</f>
        <v>0</v>
      </c>
      <c r="R219">
        <f>+DB!K219</f>
        <v>0</v>
      </c>
      <c r="S219">
        <f>+DB!F219</f>
        <v>0</v>
      </c>
      <c r="T219">
        <f>+IF(DB!F219="AAAC-35",1,3)</f>
        <v>3</v>
      </c>
      <c r="U219">
        <f>+DB!R219</f>
        <v>0</v>
      </c>
      <c r="V219">
        <f>+IF(DB!P219="1RI",1,0)+IF(DB!P219="2RI",2,0)</f>
        <v>0</v>
      </c>
      <c r="W219">
        <f>+IF(DB!P219="1RV",1,0)+IF(DB!P219="2RV",2,0)</f>
        <v>0</v>
      </c>
      <c r="X219">
        <f>+IF(DB!P219="RYI",1,0)</f>
        <v>0</v>
      </c>
      <c r="Y219">
        <f>+IF(DB!P219="RYV",1,0)</f>
        <v>0</v>
      </c>
      <c r="Z219">
        <f>+DB!U219</f>
        <v>0</v>
      </c>
      <c r="AA219">
        <f>+IF(DB!F219="AAAC-35",19.5,33)</f>
        <v>33</v>
      </c>
      <c r="AB219">
        <f>+DB!V219</f>
        <v>0</v>
      </c>
      <c r="AC219" t="str">
        <f t="shared" si="11"/>
        <v>56-4</v>
      </c>
      <c r="AD219" s="21" t="s">
        <v>72</v>
      </c>
      <c r="AE219">
        <f>+DB!X219</f>
        <v>0</v>
      </c>
      <c r="AF219" s="22">
        <f>+DB!Y219</f>
        <v>0</v>
      </c>
      <c r="AG219">
        <f>+DB!AK219</f>
        <v>0</v>
      </c>
    </row>
    <row r="220" spans="1:33" x14ac:dyDescent="0.2">
      <c r="A220">
        <f>+DB!C220</f>
        <v>0</v>
      </c>
      <c r="B220">
        <f>+DB!D220</f>
        <v>0</v>
      </c>
      <c r="C220">
        <f>+DB!E220</f>
        <v>0</v>
      </c>
      <c r="D220">
        <f t="shared" si="9"/>
        <v>0</v>
      </c>
      <c r="E220">
        <f>+DB!G220</f>
        <v>0</v>
      </c>
      <c r="F220">
        <f>+DB!H220</f>
        <v>0</v>
      </c>
      <c r="G220">
        <f>+DB!N220</f>
        <v>0</v>
      </c>
      <c r="H220">
        <f>+DB!O220</f>
        <v>0</v>
      </c>
      <c r="I220">
        <f>+DB!I220</f>
        <v>0</v>
      </c>
      <c r="J220">
        <f>+DB!J220</f>
        <v>0</v>
      </c>
      <c r="K220">
        <f>+DB!L220</f>
        <v>0</v>
      </c>
      <c r="L220" t="str">
        <f t="shared" si="10"/>
        <v/>
      </c>
      <c r="M220" t="str">
        <f>+IF(LEFT(DB!M220,3)="13/","CAC","MAD")</f>
        <v>MAD</v>
      </c>
      <c r="N220" t="str">
        <f>+RIGHT(DB!M220,6)</f>
        <v/>
      </c>
      <c r="O220">
        <v>95</v>
      </c>
      <c r="P220">
        <v>5</v>
      </c>
      <c r="Q220">
        <f>+DB!AB220</f>
        <v>0</v>
      </c>
      <c r="R220">
        <f>+DB!K220</f>
        <v>0</v>
      </c>
      <c r="S220">
        <f>+DB!F220</f>
        <v>0</v>
      </c>
      <c r="T220">
        <f>+IF(DB!F220="AAAC-35",1,3)</f>
        <v>3</v>
      </c>
      <c r="U220">
        <f>+DB!R220</f>
        <v>0</v>
      </c>
      <c r="V220">
        <f>+IF(DB!P220="1RI",1,0)+IF(DB!P220="2RI",2,0)</f>
        <v>0</v>
      </c>
      <c r="W220">
        <f>+IF(DB!P220="1RV",1,0)+IF(DB!P220="2RV",2,0)</f>
        <v>0</v>
      </c>
      <c r="X220">
        <f>+IF(DB!P220="RYI",1,0)</f>
        <v>0</v>
      </c>
      <c r="Y220">
        <f>+IF(DB!P220="RYV",1,0)</f>
        <v>0</v>
      </c>
      <c r="Z220">
        <f>+DB!U220</f>
        <v>0</v>
      </c>
      <c r="AA220">
        <f>+IF(DB!F220="AAAC-35",19.5,33)</f>
        <v>33</v>
      </c>
      <c r="AB220">
        <f>+DB!V220</f>
        <v>0</v>
      </c>
      <c r="AC220" t="str">
        <f t="shared" si="11"/>
        <v>56-4</v>
      </c>
      <c r="AD220" s="21" t="s">
        <v>72</v>
      </c>
      <c r="AE220">
        <f>+DB!X220</f>
        <v>0</v>
      </c>
      <c r="AF220" s="22">
        <f>+DB!Y220</f>
        <v>0</v>
      </c>
      <c r="AG220">
        <f>+DB!AK220</f>
        <v>0</v>
      </c>
    </row>
    <row r="221" spans="1:33" x14ac:dyDescent="0.2">
      <c r="A221">
        <f>+DB!C221</f>
        <v>0</v>
      </c>
      <c r="B221">
        <f>+DB!D221</f>
        <v>0</v>
      </c>
      <c r="C221">
        <f>+DB!E221</f>
        <v>0</v>
      </c>
      <c r="D221">
        <f t="shared" si="9"/>
        <v>0</v>
      </c>
      <c r="E221">
        <f>+DB!G221</f>
        <v>0</v>
      </c>
      <c r="F221">
        <f>+DB!H221</f>
        <v>0</v>
      </c>
      <c r="G221">
        <f>+DB!N221</f>
        <v>0</v>
      </c>
      <c r="H221">
        <f>+DB!O221</f>
        <v>0</v>
      </c>
      <c r="I221">
        <f>+DB!I221</f>
        <v>0</v>
      </c>
      <c r="J221">
        <f>+DB!J221</f>
        <v>0</v>
      </c>
      <c r="K221">
        <f>+DB!L221</f>
        <v>0</v>
      </c>
      <c r="L221" t="str">
        <f t="shared" si="10"/>
        <v/>
      </c>
      <c r="M221" t="str">
        <f>+IF(LEFT(DB!M221,3)="13/","CAC","MAD")</f>
        <v>MAD</v>
      </c>
      <c r="N221" t="str">
        <f>+RIGHT(DB!M221,6)</f>
        <v/>
      </c>
      <c r="O221">
        <v>95</v>
      </c>
      <c r="P221">
        <v>5</v>
      </c>
      <c r="Q221">
        <f>+DB!AB221</f>
        <v>0</v>
      </c>
      <c r="R221">
        <f>+DB!K221</f>
        <v>0</v>
      </c>
      <c r="S221">
        <f>+DB!F221</f>
        <v>0</v>
      </c>
      <c r="T221">
        <f>+IF(DB!F221="AAAC-35",1,3)</f>
        <v>3</v>
      </c>
      <c r="U221">
        <f>+DB!R221</f>
        <v>0</v>
      </c>
      <c r="V221">
        <f>+IF(DB!P221="1RI",1,0)+IF(DB!P221="2RI",2,0)</f>
        <v>0</v>
      </c>
      <c r="W221">
        <f>+IF(DB!P221="1RV",1,0)+IF(DB!P221="2RV",2,0)</f>
        <v>0</v>
      </c>
      <c r="X221">
        <f>+IF(DB!P221="RYI",1,0)</f>
        <v>0</v>
      </c>
      <c r="Y221">
        <f>+IF(DB!P221="RYV",1,0)</f>
        <v>0</v>
      </c>
      <c r="Z221">
        <f>+DB!U221</f>
        <v>0</v>
      </c>
      <c r="AA221">
        <f>+IF(DB!F221="AAAC-35",19.5,33)</f>
        <v>33</v>
      </c>
      <c r="AB221">
        <f>+DB!V221</f>
        <v>0</v>
      </c>
      <c r="AC221" t="str">
        <f t="shared" si="11"/>
        <v>56-4</v>
      </c>
      <c r="AD221" s="21" t="s">
        <v>72</v>
      </c>
      <c r="AE221">
        <f>+DB!X221</f>
        <v>0</v>
      </c>
      <c r="AF221" s="22">
        <f>+DB!Y221</f>
        <v>0</v>
      </c>
      <c r="AG221">
        <f>+DB!AK221</f>
        <v>0</v>
      </c>
    </row>
    <row r="222" spans="1:33" x14ac:dyDescent="0.2">
      <c r="A222">
        <f>+DB!C222</f>
        <v>0</v>
      </c>
      <c r="B222">
        <f>+DB!D222</f>
        <v>0</v>
      </c>
      <c r="C222">
        <f>+DB!E222</f>
        <v>0</v>
      </c>
      <c r="D222">
        <f t="shared" si="9"/>
        <v>0</v>
      </c>
      <c r="E222">
        <f>+DB!G222</f>
        <v>0</v>
      </c>
      <c r="F222">
        <f>+DB!H222</f>
        <v>0</v>
      </c>
      <c r="G222">
        <f>+DB!N222</f>
        <v>0</v>
      </c>
      <c r="H222">
        <f>+DB!O222</f>
        <v>0</v>
      </c>
      <c r="I222">
        <f>+DB!I222</f>
        <v>0</v>
      </c>
      <c r="J222">
        <f>+DB!J222</f>
        <v>0</v>
      </c>
      <c r="K222">
        <f>+DB!L222</f>
        <v>0</v>
      </c>
      <c r="L222" t="str">
        <f t="shared" si="10"/>
        <v/>
      </c>
      <c r="M222" t="str">
        <f>+IF(LEFT(DB!M222,3)="13/","CAC","MAD")</f>
        <v>MAD</v>
      </c>
      <c r="N222" t="str">
        <f>+RIGHT(DB!M222,6)</f>
        <v/>
      </c>
      <c r="O222">
        <v>95</v>
      </c>
      <c r="P222">
        <v>5</v>
      </c>
      <c r="Q222">
        <f>+DB!AB222</f>
        <v>0</v>
      </c>
      <c r="R222">
        <f>+DB!K222</f>
        <v>0</v>
      </c>
      <c r="S222">
        <f>+DB!F222</f>
        <v>0</v>
      </c>
      <c r="T222">
        <f>+IF(DB!F222="AAAC-35",1,3)</f>
        <v>3</v>
      </c>
      <c r="U222">
        <f>+DB!R222</f>
        <v>0</v>
      </c>
      <c r="V222">
        <f>+IF(DB!P222="1RI",1,0)+IF(DB!P222="2RI",2,0)</f>
        <v>0</v>
      </c>
      <c r="W222">
        <f>+IF(DB!P222="1RV",1,0)+IF(DB!P222="2RV",2,0)</f>
        <v>0</v>
      </c>
      <c r="X222">
        <f>+IF(DB!P222="RYI",1,0)</f>
        <v>0</v>
      </c>
      <c r="Y222">
        <f>+IF(DB!P222="RYV",1,0)</f>
        <v>0</v>
      </c>
      <c r="Z222">
        <f>+DB!U222</f>
        <v>0</v>
      </c>
      <c r="AA222">
        <f>+IF(DB!F222="AAAC-35",19.5,33)</f>
        <v>33</v>
      </c>
      <c r="AB222">
        <f>+DB!V222</f>
        <v>0</v>
      </c>
      <c r="AC222" t="str">
        <f t="shared" si="11"/>
        <v>56-4</v>
      </c>
      <c r="AD222" s="21" t="s">
        <v>72</v>
      </c>
      <c r="AE222">
        <f>+DB!X222</f>
        <v>0</v>
      </c>
      <c r="AF222" s="22">
        <f>+DB!Y222</f>
        <v>0</v>
      </c>
      <c r="AG222">
        <f>+DB!AK222</f>
        <v>0</v>
      </c>
    </row>
    <row r="223" spans="1:33" x14ac:dyDescent="0.2">
      <c r="A223">
        <f>+DB!C223</f>
        <v>0</v>
      </c>
      <c r="B223">
        <f>+DB!D223</f>
        <v>0</v>
      </c>
      <c r="C223">
        <f>+DB!E223</f>
        <v>0</v>
      </c>
      <c r="D223">
        <f t="shared" si="9"/>
        <v>0</v>
      </c>
      <c r="E223">
        <f>+DB!G223</f>
        <v>0</v>
      </c>
      <c r="F223">
        <f>+DB!H223</f>
        <v>0</v>
      </c>
      <c r="G223">
        <f>+DB!N223</f>
        <v>0</v>
      </c>
      <c r="H223">
        <f>+DB!O223</f>
        <v>0</v>
      </c>
      <c r="I223">
        <f>+DB!I223</f>
        <v>0</v>
      </c>
      <c r="J223">
        <f>+DB!J223</f>
        <v>0</v>
      </c>
      <c r="K223">
        <f>+DB!L223</f>
        <v>0</v>
      </c>
      <c r="L223" t="str">
        <f t="shared" si="10"/>
        <v/>
      </c>
      <c r="M223" t="str">
        <f>+IF(LEFT(DB!M223,3)="13/","CAC","MAD")</f>
        <v>MAD</v>
      </c>
      <c r="N223" t="str">
        <f>+RIGHT(DB!M223,6)</f>
        <v/>
      </c>
      <c r="O223">
        <v>95</v>
      </c>
      <c r="P223">
        <v>5</v>
      </c>
      <c r="Q223">
        <f>+DB!AB223</f>
        <v>0</v>
      </c>
      <c r="R223">
        <f>+DB!K223</f>
        <v>0</v>
      </c>
      <c r="S223">
        <f>+DB!F223</f>
        <v>0</v>
      </c>
      <c r="T223">
        <f>+IF(DB!F223="AAAC-35",1,3)</f>
        <v>3</v>
      </c>
      <c r="U223">
        <f>+DB!R223</f>
        <v>0</v>
      </c>
      <c r="V223">
        <f>+IF(DB!P223="1RI",1,0)+IF(DB!P223="2RI",2,0)</f>
        <v>0</v>
      </c>
      <c r="W223">
        <f>+IF(DB!P223="1RV",1,0)+IF(DB!P223="2RV",2,0)</f>
        <v>0</v>
      </c>
      <c r="X223">
        <f>+IF(DB!P223="RYI",1,0)</f>
        <v>0</v>
      </c>
      <c r="Y223">
        <f>+IF(DB!P223="RYV",1,0)</f>
        <v>0</v>
      </c>
      <c r="Z223">
        <f>+DB!U223</f>
        <v>0</v>
      </c>
      <c r="AA223">
        <f>+IF(DB!F223="AAAC-35",19.5,33)</f>
        <v>33</v>
      </c>
      <c r="AB223">
        <f>+DB!V223</f>
        <v>0</v>
      </c>
      <c r="AC223" t="str">
        <f t="shared" si="11"/>
        <v>56-4</v>
      </c>
      <c r="AD223" s="21" t="s">
        <v>72</v>
      </c>
      <c r="AE223">
        <f>+DB!X223</f>
        <v>0</v>
      </c>
      <c r="AF223" s="22">
        <f>+DB!Y223</f>
        <v>0</v>
      </c>
      <c r="AG223">
        <f>+DB!AK223</f>
        <v>0</v>
      </c>
    </row>
    <row r="224" spans="1:33" x14ac:dyDescent="0.2">
      <c r="A224">
        <f>+DB!C224</f>
        <v>0</v>
      </c>
      <c r="B224">
        <f>+DB!D224</f>
        <v>0</v>
      </c>
      <c r="C224">
        <f>+DB!E224</f>
        <v>0</v>
      </c>
      <c r="D224">
        <f t="shared" si="9"/>
        <v>0</v>
      </c>
      <c r="E224">
        <f>+DB!G224</f>
        <v>0</v>
      </c>
      <c r="F224">
        <f>+DB!H224</f>
        <v>0</v>
      </c>
      <c r="G224">
        <f>+DB!N224</f>
        <v>0</v>
      </c>
      <c r="H224">
        <f>+DB!O224</f>
        <v>0</v>
      </c>
      <c r="I224">
        <f>+DB!I224</f>
        <v>0</v>
      </c>
      <c r="J224">
        <f>+DB!J224</f>
        <v>0</v>
      </c>
      <c r="K224">
        <f>+DB!L224</f>
        <v>0</v>
      </c>
      <c r="L224" t="str">
        <f t="shared" si="10"/>
        <v/>
      </c>
      <c r="M224" t="str">
        <f>+IF(LEFT(DB!M224,3)="13/","CAC","MAD")</f>
        <v>MAD</v>
      </c>
      <c r="N224" t="str">
        <f>+RIGHT(DB!M224,6)</f>
        <v/>
      </c>
      <c r="O224">
        <v>95</v>
      </c>
      <c r="P224">
        <v>5</v>
      </c>
      <c r="Q224">
        <f>+DB!AB224</f>
        <v>0</v>
      </c>
      <c r="R224">
        <f>+DB!K224</f>
        <v>0</v>
      </c>
      <c r="S224">
        <f>+DB!F224</f>
        <v>0</v>
      </c>
      <c r="T224">
        <f>+IF(DB!F224="AAAC-35",1,3)</f>
        <v>3</v>
      </c>
      <c r="U224">
        <f>+DB!R224</f>
        <v>0</v>
      </c>
      <c r="V224">
        <f>+IF(DB!P224="1RI",1,0)+IF(DB!P224="2RI",2,0)</f>
        <v>0</v>
      </c>
      <c r="W224">
        <f>+IF(DB!P224="1RV",1,0)+IF(DB!P224="2RV",2,0)</f>
        <v>0</v>
      </c>
      <c r="X224">
        <f>+IF(DB!P224="RYI",1,0)</f>
        <v>0</v>
      </c>
      <c r="Y224">
        <f>+IF(DB!P224="RYV",1,0)</f>
        <v>0</v>
      </c>
      <c r="Z224">
        <f>+DB!U224</f>
        <v>0</v>
      </c>
      <c r="AA224">
        <f>+IF(DB!F224="AAAC-35",19.5,33)</f>
        <v>33</v>
      </c>
      <c r="AB224">
        <f>+DB!V224</f>
        <v>0</v>
      </c>
      <c r="AC224" t="str">
        <f t="shared" si="11"/>
        <v>56-4</v>
      </c>
      <c r="AD224" s="21" t="s">
        <v>72</v>
      </c>
      <c r="AE224">
        <f>+DB!X224</f>
        <v>0</v>
      </c>
      <c r="AF224" s="22">
        <f>+DB!Y224</f>
        <v>0</v>
      </c>
      <c r="AG224">
        <f>+DB!AK224</f>
        <v>0</v>
      </c>
    </row>
    <row r="225" spans="1:33" x14ac:dyDescent="0.2">
      <c r="A225">
        <f>+DB!C225</f>
        <v>0</v>
      </c>
      <c r="B225">
        <f>+DB!D225</f>
        <v>0</v>
      </c>
      <c r="C225">
        <f>+DB!E225</f>
        <v>0</v>
      </c>
      <c r="D225">
        <f t="shared" si="9"/>
        <v>0</v>
      </c>
      <c r="E225">
        <f>+DB!G225</f>
        <v>0</v>
      </c>
      <c r="F225">
        <f>+DB!H225</f>
        <v>0</v>
      </c>
      <c r="G225">
        <f>+DB!N225</f>
        <v>0</v>
      </c>
      <c r="H225">
        <f>+DB!O225</f>
        <v>0</v>
      </c>
      <c r="I225">
        <f>+DB!I225</f>
        <v>0</v>
      </c>
      <c r="J225">
        <f>+DB!J225</f>
        <v>0</v>
      </c>
      <c r="K225">
        <f>+DB!L225</f>
        <v>0</v>
      </c>
      <c r="L225" t="str">
        <f t="shared" si="10"/>
        <v/>
      </c>
      <c r="M225" t="str">
        <f>+IF(LEFT(DB!M225,3)="13/","CAC","MAD")</f>
        <v>MAD</v>
      </c>
      <c r="N225" t="str">
        <f>+RIGHT(DB!M225,6)</f>
        <v/>
      </c>
      <c r="O225">
        <v>95</v>
      </c>
      <c r="P225">
        <v>5</v>
      </c>
      <c r="Q225">
        <f>+DB!AB225</f>
        <v>0</v>
      </c>
      <c r="R225">
        <f>+DB!K225</f>
        <v>0</v>
      </c>
      <c r="S225">
        <f>+DB!F225</f>
        <v>0</v>
      </c>
      <c r="T225">
        <f>+IF(DB!F225="AAAC-35",1,3)</f>
        <v>3</v>
      </c>
      <c r="U225">
        <f>+DB!R225</f>
        <v>0</v>
      </c>
      <c r="V225">
        <f>+IF(DB!P225="1RI",1,0)+IF(DB!P225="2RI",2,0)</f>
        <v>0</v>
      </c>
      <c r="W225">
        <f>+IF(DB!P225="1RV",1,0)+IF(DB!P225="2RV",2,0)</f>
        <v>0</v>
      </c>
      <c r="X225">
        <f>+IF(DB!P225="RYI",1,0)</f>
        <v>0</v>
      </c>
      <c r="Y225">
        <f>+IF(DB!P225="RYV",1,0)</f>
        <v>0</v>
      </c>
      <c r="Z225">
        <f>+DB!U225</f>
        <v>0</v>
      </c>
      <c r="AA225">
        <f>+IF(DB!F225="AAAC-35",19.5,33)</f>
        <v>33</v>
      </c>
      <c r="AB225">
        <f>+DB!V225</f>
        <v>0</v>
      </c>
      <c r="AC225" t="str">
        <f t="shared" si="11"/>
        <v>56-4</v>
      </c>
      <c r="AD225" s="21" t="s">
        <v>72</v>
      </c>
      <c r="AE225">
        <f>+DB!X225</f>
        <v>0</v>
      </c>
      <c r="AF225" s="22">
        <f>+DB!Y225</f>
        <v>0</v>
      </c>
      <c r="AG225">
        <f>+DB!AK225</f>
        <v>0</v>
      </c>
    </row>
    <row r="226" spans="1:33" x14ac:dyDescent="0.2">
      <c r="A226">
        <f>+DB!C226</f>
        <v>0</v>
      </c>
      <c r="B226">
        <f>+DB!D226</f>
        <v>0</v>
      </c>
      <c r="C226">
        <f>+DB!E226</f>
        <v>0</v>
      </c>
      <c r="D226">
        <f t="shared" si="9"/>
        <v>0</v>
      </c>
      <c r="E226">
        <f>+DB!G226</f>
        <v>0</v>
      </c>
      <c r="F226">
        <f>+DB!H226</f>
        <v>0</v>
      </c>
      <c r="G226">
        <f>+DB!N226</f>
        <v>0</v>
      </c>
      <c r="H226">
        <f>+DB!O226</f>
        <v>0</v>
      </c>
      <c r="I226">
        <f>+DB!I226</f>
        <v>0</v>
      </c>
      <c r="J226">
        <f>+DB!J226</f>
        <v>0</v>
      </c>
      <c r="K226">
        <f>+DB!L226</f>
        <v>0</v>
      </c>
      <c r="L226" t="str">
        <f t="shared" si="10"/>
        <v/>
      </c>
      <c r="M226" t="str">
        <f>+IF(LEFT(DB!M226,3)="13/","CAC","MAD")</f>
        <v>MAD</v>
      </c>
      <c r="N226" t="str">
        <f>+RIGHT(DB!M226,6)</f>
        <v/>
      </c>
      <c r="O226">
        <v>95</v>
      </c>
      <c r="P226">
        <v>5</v>
      </c>
      <c r="Q226">
        <f>+DB!AB226</f>
        <v>0</v>
      </c>
      <c r="R226">
        <f>+DB!K226</f>
        <v>0</v>
      </c>
      <c r="S226">
        <f>+DB!F226</f>
        <v>0</v>
      </c>
      <c r="T226">
        <f>+IF(DB!F226="AAAC-35",1,3)</f>
        <v>3</v>
      </c>
      <c r="U226">
        <f>+DB!R226</f>
        <v>0</v>
      </c>
      <c r="V226">
        <f>+IF(DB!P226="1RI",1,0)+IF(DB!P226="2RI",2,0)</f>
        <v>0</v>
      </c>
      <c r="W226">
        <f>+IF(DB!P226="1RV",1,0)+IF(DB!P226="2RV",2,0)</f>
        <v>0</v>
      </c>
      <c r="X226">
        <f>+IF(DB!P226="RYI",1,0)</f>
        <v>0</v>
      </c>
      <c r="Y226">
        <f>+IF(DB!P226="RYV",1,0)</f>
        <v>0</v>
      </c>
      <c r="Z226">
        <f>+DB!U226</f>
        <v>0</v>
      </c>
      <c r="AA226">
        <f>+IF(DB!F226="AAAC-35",19.5,33)</f>
        <v>33</v>
      </c>
      <c r="AB226">
        <f>+DB!V226</f>
        <v>0</v>
      </c>
      <c r="AC226" t="str">
        <f t="shared" si="11"/>
        <v>56-4</v>
      </c>
      <c r="AD226" s="21" t="s">
        <v>72</v>
      </c>
      <c r="AE226">
        <f>+DB!X226</f>
        <v>0</v>
      </c>
      <c r="AF226" s="22">
        <f>+DB!Y226</f>
        <v>0</v>
      </c>
      <c r="AG226">
        <f>+DB!AK226</f>
        <v>0</v>
      </c>
    </row>
    <row r="227" spans="1:33" x14ac:dyDescent="0.2">
      <c r="A227">
        <f>+DB!C227</f>
        <v>0</v>
      </c>
      <c r="B227">
        <f>+DB!D227</f>
        <v>0</v>
      </c>
      <c r="C227">
        <f>+DB!E227</f>
        <v>0</v>
      </c>
      <c r="D227">
        <f t="shared" si="9"/>
        <v>0</v>
      </c>
      <c r="E227">
        <f>+DB!G227</f>
        <v>0</v>
      </c>
      <c r="F227">
        <f>+DB!H227</f>
        <v>0</v>
      </c>
      <c r="G227">
        <f>+DB!N227</f>
        <v>0</v>
      </c>
      <c r="H227">
        <f>+DB!O227</f>
        <v>0</v>
      </c>
      <c r="I227">
        <f>+DB!I227</f>
        <v>0</v>
      </c>
      <c r="J227">
        <f>+DB!J227</f>
        <v>0</v>
      </c>
      <c r="K227">
        <f>+DB!L227</f>
        <v>0</v>
      </c>
      <c r="L227" t="str">
        <f t="shared" si="10"/>
        <v/>
      </c>
      <c r="M227" t="str">
        <f>+IF(LEFT(DB!M227,3)="13/","CAC","MAD")</f>
        <v>MAD</v>
      </c>
      <c r="N227" t="str">
        <f>+RIGHT(DB!M227,6)</f>
        <v/>
      </c>
      <c r="O227">
        <v>95</v>
      </c>
      <c r="P227">
        <v>5</v>
      </c>
      <c r="Q227">
        <f>+DB!AB227</f>
        <v>0</v>
      </c>
      <c r="R227">
        <f>+DB!K227</f>
        <v>0</v>
      </c>
      <c r="S227">
        <f>+DB!F227</f>
        <v>0</v>
      </c>
      <c r="T227">
        <f>+IF(DB!F227="AAAC-35",1,3)</f>
        <v>3</v>
      </c>
      <c r="U227">
        <f>+DB!R227</f>
        <v>0</v>
      </c>
      <c r="V227">
        <f>+IF(DB!P227="1RI",1,0)+IF(DB!P227="2RI",2,0)</f>
        <v>0</v>
      </c>
      <c r="W227">
        <f>+IF(DB!P227="1RV",1,0)+IF(DB!P227="2RV",2,0)</f>
        <v>0</v>
      </c>
      <c r="X227">
        <f>+IF(DB!P227="RYI",1,0)</f>
        <v>0</v>
      </c>
      <c r="Y227">
        <f>+IF(DB!P227="RYV",1,0)</f>
        <v>0</v>
      </c>
      <c r="Z227">
        <f>+DB!U227</f>
        <v>0</v>
      </c>
      <c r="AA227">
        <f>+IF(DB!F227="AAAC-35",19.5,33)</f>
        <v>33</v>
      </c>
      <c r="AB227">
        <f>+DB!V227</f>
        <v>0</v>
      </c>
      <c r="AC227" t="str">
        <f t="shared" si="11"/>
        <v>56-4</v>
      </c>
      <c r="AD227" s="21" t="s">
        <v>72</v>
      </c>
      <c r="AE227">
        <f>+DB!X227</f>
        <v>0</v>
      </c>
      <c r="AF227" s="22">
        <f>+DB!Y227</f>
        <v>0</v>
      </c>
      <c r="AG227">
        <f>+DB!AK227</f>
        <v>0</v>
      </c>
    </row>
    <row r="228" spans="1:33" x14ac:dyDescent="0.2">
      <c r="A228">
        <f>+DB!C228</f>
        <v>0</v>
      </c>
      <c r="B228">
        <f>+DB!D228</f>
        <v>0</v>
      </c>
      <c r="C228">
        <f>+DB!E228</f>
        <v>0</v>
      </c>
      <c r="D228">
        <f t="shared" si="9"/>
        <v>0</v>
      </c>
      <c r="E228">
        <f>+DB!G228</f>
        <v>0</v>
      </c>
      <c r="F228">
        <f>+DB!H228</f>
        <v>0</v>
      </c>
      <c r="G228">
        <f>+DB!N228</f>
        <v>0</v>
      </c>
      <c r="H228">
        <f>+DB!O228</f>
        <v>0</v>
      </c>
      <c r="I228">
        <f>+DB!I228</f>
        <v>0</v>
      </c>
      <c r="J228">
        <f>+DB!J228</f>
        <v>0</v>
      </c>
      <c r="K228">
        <f>+DB!L228</f>
        <v>0</v>
      </c>
      <c r="L228" t="str">
        <f t="shared" si="10"/>
        <v/>
      </c>
      <c r="M228" t="str">
        <f>+IF(LEFT(DB!M228,3)="13/","CAC","MAD")</f>
        <v>MAD</v>
      </c>
      <c r="N228" t="str">
        <f>+RIGHT(DB!M228,6)</f>
        <v/>
      </c>
      <c r="O228">
        <v>95</v>
      </c>
      <c r="P228">
        <v>5</v>
      </c>
      <c r="Q228">
        <f>+DB!AB228</f>
        <v>0</v>
      </c>
      <c r="R228">
        <f>+DB!K228</f>
        <v>0</v>
      </c>
      <c r="S228">
        <f>+DB!F228</f>
        <v>0</v>
      </c>
      <c r="T228">
        <f>+IF(DB!F228="AAAC-35",1,3)</f>
        <v>3</v>
      </c>
      <c r="U228">
        <f>+DB!R228</f>
        <v>0</v>
      </c>
      <c r="V228">
        <f>+IF(DB!P228="1RI",1,0)+IF(DB!P228="2RI",2,0)</f>
        <v>0</v>
      </c>
      <c r="W228">
        <f>+IF(DB!P228="1RV",1,0)+IF(DB!P228="2RV",2,0)</f>
        <v>0</v>
      </c>
      <c r="X228">
        <f>+IF(DB!P228="RYI",1,0)</f>
        <v>0</v>
      </c>
      <c r="Y228">
        <f>+IF(DB!P228="RYV",1,0)</f>
        <v>0</v>
      </c>
      <c r="Z228">
        <f>+DB!U228</f>
        <v>0</v>
      </c>
      <c r="AA228">
        <f>+IF(DB!F228="AAAC-35",19.5,33)</f>
        <v>33</v>
      </c>
      <c r="AB228">
        <f>+DB!V228</f>
        <v>0</v>
      </c>
      <c r="AC228" t="str">
        <f t="shared" si="11"/>
        <v>56-4</v>
      </c>
      <c r="AD228" s="21" t="s">
        <v>72</v>
      </c>
      <c r="AE228">
        <f>+DB!X228</f>
        <v>0</v>
      </c>
      <c r="AF228" s="22">
        <f>+DB!Y228</f>
        <v>0</v>
      </c>
      <c r="AG228">
        <f>+DB!AK228</f>
        <v>0</v>
      </c>
    </row>
    <row r="229" spans="1:33" x14ac:dyDescent="0.2">
      <c r="A229">
        <f>+DB!C229</f>
        <v>0</v>
      </c>
      <c r="B229">
        <f>+DB!D229</f>
        <v>0</v>
      </c>
      <c r="C229">
        <f>+DB!E229</f>
        <v>0</v>
      </c>
      <c r="D229">
        <f t="shared" si="9"/>
        <v>0</v>
      </c>
      <c r="E229">
        <f>+DB!G229</f>
        <v>0</v>
      </c>
      <c r="F229">
        <f>+DB!H229</f>
        <v>0</v>
      </c>
      <c r="G229">
        <f>+DB!N229</f>
        <v>0</v>
      </c>
      <c r="H229">
        <f>+DB!O229</f>
        <v>0</v>
      </c>
      <c r="I229">
        <f>+DB!I229</f>
        <v>0</v>
      </c>
      <c r="J229">
        <f>+DB!J229</f>
        <v>0</v>
      </c>
      <c r="K229">
        <f>+DB!L229</f>
        <v>0</v>
      </c>
      <c r="L229" t="str">
        <f t="shared" si="10"/>
        <v/>
      </c>
      <c r="M229" t="str">
        <f>+IF(LEFT(DB!M229,3)="13/","CAC","MAD")</f>
        <v>MAD</v>
      </c>
      <c r="N229" t="str">
        <f>+RIGHT(DB!M229,6)</f>
        <v/>
      </c>
      <c r="O229">
        <v>95</v>
      </c>
      <c r="P229">
        <v>5</v>
      </c>
      <c r="Q229">
        <f>+DB!AB229</f>
        <v>0</v>
      </c>
      <c r="R229">
        <f>+DB!K229</f>
        <v>0</v>
      </c>
      <c r="S229">
        <f>+DB!F229</f>
        <v>0</v>
      </c>
      <c r="T229">
        <f>+IF(DB!F229="AAAC-35",1,3)</f>
        <v>3</v>
      </c>
      <c r="U229">
        <f>+DB!R229</f>
        <v>0</v>
      </c>
      <c r="V229">
        <f>+IF(DB!P229="1RI",1,0)+IF(DB!P229="2RI",2,0)</f>
        <v>0</v>
      </c>
      <c r="W229">
        <f>+IF(DB!P229="1RV",1,0)+IF(DB!P229="2RV",2,0)</f>
        <v>0</v>
      </c>
      <c r="X229">
        <f>+IF(DB!P229="RYI",1,0)</f>
        <v>0</v>
      </c>
      <c r="Y229">
        <f>+IF(DB!P229="RYV",1,0)</f>
        <v>0</v>
      </c>
      <c r="Z229">
        <f>+DB!U229</f>
        <v>0</v>
      </c>
      <c r="AA229">
        <f>+IF(DB!F229="AAAC-35",19.5,33)</f>
        <v>33</v>
      </c>
      <c r="AB229">
        <f>+DB!V229</f>
        <v>0</v>
      </c>
      <c r="AC229" t="str">
        <f t="shared" si="11"/>
        <v>56-4</v>
      </c>
      <c r="AD229" s="21" t="s">
        <v>72</v>
      </c>
      <c r="AE229">
        <f>+DB!X229</f>
        <v>0</v>
      </c>
      <c r="AF229" s="22">
        <f>+DB!Y229</f>
        <v>0</v>
      </c>
      <c r="AG229">
        <f>+DB!AK229</f>
        <v>0</v>
      </c>
    </row>
    <row r="230" spans="1:33" x14ac:dyDescent="0.2">
      <c r="A230">
        <f>+DB!C230</f>
        <v>0</v>
      </c>
      <c r="B230">
        <f>+DB!D230</f>
        <v>0</v>
      </c>
      <c r="C230">
        <f>+DB!E230</f>
        <v>0</v>
      </c>
      <c r="D230">
        <f t="shared" si="9"/>
        <v>0</v>
      </c>
      <c r="E230">
        <f>+DB!G230</f>
        <v>0</v>
      </c>
      <c r="F230">
        <f>+DB!H230</f>
        <v>0</v>
      </c>
      <c r="G230">
        <f>+DB!N230</f>
        <v>0</v>
      </c>
      <c r="H230">
        <f>+DB!O230</f>
        <v>0</v>
      </c>
      <c r="I230">
        <f>+DB!I230</f>
        <v>0</v>
      </c>
      <c r="J230">
        <f>+DB!J230</f>
        <v>0</v>
      </c>
      <c r="K230">
        <f>+DB!L230</f>
        <v>0</v>
      </c>
      <c r="L230" t="str">
        <f t="shared" si="10"/>
        <v/>
      </c>
      <c r="M230" t="str">
        <f>+IF(LEFT(DB!M230,3)="13/","CAC","MAD")</f>
        <v>MAD</v>
      </c>
      <c r="N230" t="str">
        <f>+RIGHT(DB!M230,6)</f>
        <v/>
      </c>
      <c r="O230">
        <v>95</v>
      </c>
      <c r="P230">
        <v>5</v>
      </c>
      <c r="Q230">
        <f>+DB!AB230</f>
        <v>0</v>
      </c>
      <c r="R230">
        <f>+DB!K230</f>
        <v>0</v>
      </c>
      <c r="S230">
        <f>+DB!F230</f>
        <v>0</v>
      </c>
      <c r="T230">
        <f>+IF(DB!F230="AAAC-35",1,3)</f>
        <v>3</v>
      </c>
      <c r="U230">
        <f>+DB!R230</f>
        <v>0</v>
      </c>
      <c r="V230">
        <f>+IF(DB!P230="1RI",1,0)+IF(DB!P230="2RI",2,0)</f>
        <v>0</v>
      </c>
      <c r="W230">
        <f>+IF(DB!P230="1RV",1,0)+IF(DB!P230="2RV",2,0)</f>
        <v>0</v>
      </c>
      <c r="X230">
        <f>+IF(DB!P230="RYI",1,0)</f>
        <v>0</v>
      </c>
      <c r="Y230">
        <f>+IF(DB!P230="RYV",1,0)</f>
        <v>0</v>
      </c>
      <c r="Z230">
        <f>+DB!U230</f>
        <v>0</v>
      </c>
      <c r="AA230">
        <f>+IF(DB!F230="AAAC-35",19.5,33)</f>
        <v>33</v>
      </c>
      <c r="AB230">
        <f>+DB!V230</f>
        <v>0</v>
      </c>
      <c r="AC230" t="str">
        <f t="shared" si="11"/>
        <v>56-4</v>
      </c>
      <c r="AD230" s="21" t="s">
        <v>72</v>
      </c>
      <c r="AE230">
        <f>+DB!X230</f>
        <v>0</v>
      </c>
      <c r="AF230" s="22">
        <f>+DB!Y230</f>
        <v>0</v>
      </c>
      <c r="AG230">
        <f>+DB!AK230</f>
        <v>0</v>
      </c>
    </row>
    <row r="231" spans="1:33" x14ac:dyDescent="0.2">
      <c r="A231">
        <f>+DB!C231</f>
        <v>0</v>
      </c>
      <c r="B231">
        <f>+DB!D231</f>
        <v>0</v>
      </c>
      <c r="C231">
        <f>+DB!E231</f>
        <v>0</v>
      </c>
      <c r="D231">
        <f t="shared" si="9"/>
        <v>0</v>
      </c>
      <c r="E231">
        <f>+DB!G231</f>
        <v>0</v>
      </c>
      <c r="F231">
        <f>+DB!H231</f>
        <v>0</v>
      </c>
      <c r="G231">
        <f>+DB!N231</f>
        <v>0</v>
      </c>
      <c r="H231">
        <f>+DB!O231</f>
        <v>0</v>
      </c>
      <c r="I231">
        <f>+DB!I231</f>
        <v>0</v>
      </c>
      <c r="J231">
        <f>+DB!J231</f>
        <v>0</v>
      </c>
      <c r="K231">
        <f>+DB!L231</f>
        <v>0</v>
      </c>
      <c r="L231" t="str">
        <f t="shared" si="10"/>
        <v/>
      </c>
      <c r="M231" t="str">
        <f>+IF(LEFT(DB!M231,3)="13/","CAC","MAD")</f>
        <v>MAD</v>
      </c>
      <c r="N231" t="str">
        <f>+RIGHT(DB!M231,6)</f>
        <v/>
      </c>
      <c r="O231">
        <v>95</v>
      </c>
      <c r="P231">
        <v>5</v>
      </c>
      <c r="Q231">
        <f>+DB!AB231</f>
        <v>0</v>
      </c>
      <c r="R231">
        <f>+DB!K231</f>
        <v>0</v>
      </c>
      <c r="S231">
        <f>+DB!F231</f>
        <v>0</v>
      </c>
      <c r="T231">
        <f>+IF(DB!F231="AAAC-35",1,3)</f>
        <v>3</v>
      </c>
      <c r="U231">
        <f>+DB!R231</f>
        <v>0</v>
      </c>
      <c r="V231">
        <f>+IF(DB!P231="1RI",1,0)+IF(DB!P231="2RI",2,0)</f>
        <v>0</v>
      </c>
      <c r="W231">
        <f>+IF(DB!P231="1RV",1,0)+IF(DB!P231="2RV",2,0)</f>
        <v>0</v>
      </c>
      <c r="X231">
        <f>+IF(DB!P231="RYI",1,0)</f>
        <v>0</v>
      </c>
      <c r="Y231">
        <f>+IF(DB!P231="RYV",1,0)</f>
        <v>0</v>
      </c>
      <c r="Z231">
        <f>+DB!U231</f>
        <v>0</v>
      </c>
      <c r="AA231">
        <f>+IF(DB!F231="AAAC-35",19.5,33)</f>
        <v>33</v>
      </c>
      <c r="AB231">
        <f>+DB!V231</f>
        <v>0</v>
      </c>
      <c r="AC231" t="str">
        <f t="shared" si="11"/>
        <v>56-4</v>
      </c>
      <c r="AD231" s="21" t="s">
        <v>72</v>
      </c>
      <c r="AE231">
        <f>+DB!X231</f>
        <v>0</v>
      </c>
      <c r="AF231" s="22">
        <f>+DB!Y231</f>
        <v>0</v>
      </c>
      <c r="AG231">
        <f>+DB!AK231</f>
        <v>0</v>
      </c>
    </row>
    <row r="232" spans="1:33" x14ac:dyDescent="0.2">
      <c r="A232">
        <f>+DB!C232</f>
        <v>0</v>
      </c>
      <c r="B232">
        <f>+DB!D232</f>
        <v>0</v>
      </c>
      <c r="C232">
        <f>+DB!E232</f>
        <v>0</v>
      </c>
      <c r="D232">
        <f t="shared" si="9"/>
        <v>0</v>
      </c>
      <c r="E232">
        <f>+DB!G232</f>
        <v>0</v>
      </c>
      <c r="F232">
        <f>+DB!H232</f>
        <v>0</v>
      </c>
      <c r="G232">
        <f>+DB!N232</f>
        <v>0</v>
      </c>
      <c r="H232">
        <f>+DB!O232</f>
        <v>0</v>
      </c>
      <c r="I232">
        <f>+DB!I232</f>
        <v>0</v>
      </c>
      <c r="J232">
        <f>+DB!J232</f>
        <v>0</v>
      </c>
      <c r="K232">
        <f>+DB!L232</f>
        <v>0</v>
      </c>
      <c r="L232" t="str">
        <f t="shared" si="10"/>
        <v/>
      </c>
      <c r="M232" t="str">
        <f>+IF(LEFT(DB!M232,3)="13/","CAC","MAD")</f>
        <v>MAD</v>
      </c>
      <c r="N232" t="str">
        <f>+RIGHT(DB!M232,6)</f>
        <v/>
      </c>
      <c r="O232">
        <v>95</v>
      </c>
      <c r="P232">
        <v>5</v>
      </c>
      <c r="Q232">
        <f>+DB!AB232</f>
        <v>0</v>
      </c>
      <c r="R232">
        <f>+DB!K232</f>
        <v>0</v>
      </c>
      <c r="S232">
        <f>+DB!F232</f>
        <v>0</v>
      </c>
      <c r="T232">
        <f>+IF(DB!F232="AAAC-35",1,3)</f>
        <v>3</v>
      </c>
      <c r="U232">
        <f>+DB!R232</f>
        <v>0</v>
      </c>
      <c r="V232">
        <f>+IF(DB!P232="1RI",1,0)+IF(DB!P232="2RI",2,0)</f>
        <v>0</v>
      </c>
      <c r="W232">
        <f>+IF(DB!P232="1RV",1,0)+IF(DB!P232="2RV",2,0)</f>
        <v>0</v>
      </c>
      <c r="X232">
        <f>+IF(DB!P232="RYI",1,0)</f>
        <v>0</v>
      </c>
      <c r="Y232">
        <f>+IF(DB!P232="RYV",1,0)</f>
        <v>0</v>
      </c>
      <c r="Z232">
        <f>+DB!U232</f>
        <v>0</v>
      </c>
      <c r="AA232">
        <f>+IF(DB!F232="AAAC-35",19.5,33)</f>
        <v>33</v>
      </c>
      <c r="AB232">
        <f>+DB!V232</f>
        <v>0</v>
      </c>
      <c r="AC232" t="str">
        <f t="shared" si="11"/>
        <v>56-4</v>
      </c>
      <c r="AD232" s="21" t="s">
        <v>72</v>
      </c>
      <c r="AE232">
        <f>+DB!X232</f>
        <v>0</v>
      </c>
      <c r="AF232" s="22">
        <f>+DB!Y232</f>
        <v>0</v>
      </c>
      <c r="AG232">
        <f>+DB!AK232</f>
        <v>0</v>
      </c>
    </row>
    <row r="233" spans="1:33" x14ac:dyDescent="0.2">
      <c r="A233">
        <f>+DB!C233</f>
        <v>0</v>
      </c>
      <c r="B233">
        <f>+DB!D233</f>
        <v>0</v>
      </c>
      <c r="C233">
        <f>+DB!E233</f>
        <v>0</v>
      </c>
      <c r="D233">
        <f t="shared" si="9"/>
        <v>0</v>
      </c>
      <c r="E233">
        <f>+DB!G233</f>
        <v>0</v>
      </c>
      <c r="F233">
        <f>+DB!H233</f>
        <v>0</v>
      </c>
      <c r="G233">
        <f>+DB!N233</f>
        <v>0</v>
      </c>
      <c r="H233">
        <f>+DB!O233</f>
        <v>0</v>
      </c>
      <c r="I233">
        <f>+DB!I233</f>
        <v>0</v>
      </c>
      <c r="J233">
        <f>+DB!J233</f>
        <v>0</v>
      </c>
      <c r="K233">
        <f>+DB!L233</f>
        <v>0</v>
      </c>
      <c r="L233" t="str">
        <f t="shared" si="10"/>
        <v/>
      </c>
      <c r="M233" t="str">
        <f>+IF(LEFT(DB!M233,3)="13/","CAC","MAD")</f>
        <v>MAD</v>
      </c>
      <c r="N233" t="str">
        <f>+RIGHT(DB!M233,6)</f>
        <v/>
      </c>
      <c r="O233">
        <v>95</v>
      </c>
      <c r="P233">
        <v>5</v>
      </c>
      <c r="Q233">
        <f>+DB!AB233</f>
        <v>0</v>
      </c>
      <c r="R233">
        <f>+DB!K233</f>
        <v>0</v>
      </c>
      <c r="S233">
        <f>+DB!F233</f>
        <v>0</v>
      </c>
      <c r="T233">
        <f>+IF(DB!F233="AAAC-35",1,3)</f>
        <v>3</v>
      </c>
      <c r="U233">
        <f>+DB!R233</f>
        <v>0</v>
      </c>
      <c r="V233">
        <f>+IF(DB!P233="1RI",1,0)+IF(DB!P233="2RI",2,0)</f>
        <v>0</v>
      </c>
      <c r="W233">
        <f>+IF(DB!P233="1RV",1,0)+IF(DB!P233="2RV",2,0)</f>
        <v>0</v>
      </c>
      <c r="X233">
        <f>+IF(DB!P233="RYI",1,0)</f>
        <v>0</v>
      </c>
      <c r="Y233">
        <f>+IF(DB!P233="RYV",1,0)</f>
        <v>0</v>
      </c>
      <c r="Z233">
        <f>+DB!U233</f>
        <v>0</v>
      </c>
      <c r="AA233">
        <f>+IF(DB!F233="AAAC-35",19.5,33)</f>
        <v>33</v>
      </c>
      <c r="AB233">
        <f>+DB!V233</f>
        <v>0</v>
      </c>
      <c r="AC233" t="str">
        <f t="shared" si="11"/>
        <v>56-4</v>
      </c>
      <c r="AD233" s="21" t="s">
        <v>72</v>
      </c>
      <c r="AE233">
        <f>+DB!X233</f>
        <v>0</v>
      </c>
      <c r="AF233" s="22">
        <f>+DB!Y233</f>
        <v>0</v>
      </c>
      <c r="AG233">
        <f>+DB!AK233</f>
        <v>0</v>
      </c>
    </row>
    <row r="234" spans="1:33" x14ac:dyDescent="0.2">
      <c r="A234">
        <f>+DB!C234</f>
        <v>0</v>
      </c>
      <c r="B234">
        <f>+DB!D234</f>
        <v>0</v>
      </c>
      <c r="C234">
        <f>+DB!E234</f>
        <v>0</v>
      </c>
      <c r="D234">
        <f t="shared" si="9"/>
        <v>0</v>
      </c>
      <c r="E234">
        <f>+DB!G234</f>
        <v>0</v>
      </c>
      <c r="F234">
        <f>+DB!H234</f>
        <v>0</v>
      </c>
      <c r="G234">
        <f>+DB!N234</f>
        <v>0</v>
      </c>
      <c r="H234">
        <f>+DB!O234</f>
        <v>0</v>
      </c>
      <c r="I234">
        <f>+DB!I234</f>
        <v>0</v>
      </c>
      <c r="J234">
        <f>+DB!J234</f>
        <v>0</v>
      </c>
      <c r="K234">
        <f>+DB!L234</f>
        <v>0</v>
      </c>
      <c r="L234" t="str">
        <f t="shared" si="10"/>
        <v/>
      </c>
      <c r="M234" t="str">
        <f>+IF(LEFT(DB!M234,3)="13/","CAC","MAD")</f>
        <v>MAD</v>
      </c>
      <c r="N234" t="str">
        <f>+RIGHT(DB!M234,6)</f>
        <v/>
      </c>
      <c r="O234">
        <v>95</v>
      </c>
      <c r="P234">
        <v>5</v>
      </c>
      <c r="Q234">
        <f>+DB!AB234</f>
        <v>0</v>
      </c>
      <c r="R234">
        <f>+DB!K234</f>
        <v>0</v>
      </c>
      <c r="S234">
        <f>+DB!F234</f>
        <v>0</v>
      </c>
      <c r="T234">
        <f>+IF(DB!F234="AAAC-35",1,3)</f>
        <v>3</v>
      </c>
      <c r="U234">
        <f>+DB!R234</f>
        <v>0</v>
      </c>
      <c r="V234">
        <f>+IF(DB!P234="1RI",1,0)+IF(DB!P234="2RI",2,0)</f>
        <v>0</v>
      </c>
      <c r="W234">
        <f>+IF(DB!P234="1RV",1,0)+IF(DB!P234="2RV",2,0)</f>
        <v>0</v>
      </c>
      <c r="X234">
        <f>+IF(DB!P234="RYI",1,0)</f>
        <v>0</v>
      </c>
      <c r="Y234">
        <f>+IF(DB!P234="RYV",1,0)</f>
        <v>0</v>
      </c>
      <c r="Z234">
        <f>+DB!U234</f>
        <v>0</v>
      </c>
      <c r="AA234">
        <f>+IF(DB!F234="AAAC-35",19.5,33)</f>
        <v>33</v>
      </c>
      <c r="AB234">
        <f>+DB!V234</f>
        <v>0</v>
      </c>
      <c r="AC234" t="str">
        <f t="shared" si="11"/>
        <v>56-4</v>
      </c>
      <c r="AD234" s="21" t="s">
        <v>72</v>
      </c>
      <c r="AE234">
        <f>+DB!X234</f>
        <v>0</v>
      </c>
      <c r="AF234" s="22">
        <f>+DB!Y234</f>
        <v>0</v>
      </c>
      <c r="AG234">
        <f>+DB!AK234</f>
        <v>0</v>
      </c>
    </row>
    <row r="235" spans="1:33" x14ac:dyDescent="0.2">
      <c r="A235">
        <f>+DB!C235</f>
        <v>0</v>
      </c>
      <c r="B235">
        <f>+DB!D235</f>
        <v>0</v>
      </c>
      <c r="C235">
        <f>+DB!E235</f>
        <v>0</v>
      </c>
      <c r="D235">
        <f t="shared" si="9"/>
        <v>0</v>
      </c>
      <c r="E235">
        <f>+DB!G235</f>
        <v>0</v>
      </c>
      <c r="F235">
        <f>+DB!H235</f>
        <v>0</v>
      </c>
      <c r="G235">
        <f>+DB!N235</f>
        <v>0</v>
      </c>
      <c r="H235">
        <f>+DB!O235</f>
        <v>0</v>
      </c>
      <c r="I235">
        <f>+DB!I235</f>
        <v>0</v>
      </c>
      <c r="J235">
        <f>+DB!J235</f>
        <v>0</v>
      </c>
      <c r="K235">
        <f>+DB!L235</f>
        <v>0</v>
      </c>
      <c r="L235" t="str">
        <f t="shared" si="10"/>
        <v/>
      </c>
      <c r="M235" t="str">
        <f>+IF(LEFT(DB!M235,3)="13/","CAC","MAD")</f>
        <v>MAD</v>
      </c>
      <c r="N235" t="str">
        <f>+RIGHT(DB!M235,6)</f>
        <v/>
      </c>
      <c r="O235">
        <v>95</v>
      </c>
      <c r="P235">
        <v>5</v>
      </c>
      <c r="Q235">
        <f>+DB!AB235</f>
        <v>0</v>
      </c>
      <c r="R235">
        <f>+DB!K235</f>
        <v>0</v>
      </c>
      <c r="S235">
        <f>+DB!F235</f>
        <v>0</v>
      </c>
      <c r="T235">
        <f>+IF(DB!F235="AAAC-35",1,3)</f>
        <v>3</v>
      </c>
      <c r="U235">
        <f>+DB!R235</f>
        <v>0</v>
      </c>
      <c r="V235">
        <f>+IF(DB!P235="1RI",1,0)+IF(DB!P235="2RI",2,0)</f>
        <v>0</v>
      </c>
      <c r="W235">
        <f>+IF(DB!P235="1RV",1,0)+IF(DB!P235="2RV",2,0)</f>
        <v>0</v>
      </c>
      <c r="X235">
        <f>+IF(DB!P235="RYI",1,0)</f>
        <v>0</v>
      </c>
      <c r="Y235">
        <f>+IF(DB!P235="RYV",1,0)</f>
        <v>0</v>
      </c>
      <c r="Z235">
        <f>+DB!U235</f>
        <v>0</v>
      </c>
      <c r="AA235">
        <f>+IF(DB!F235="AAAC-35",19.5,33)</f>
        <v>33</v>
      </c>
      <c r="AB235">
        <f>+DB!V235</f>
        <v>0</v>
      </c>
      <c r="AC235" t="str">
        <f t="shared" si="11"/>
        <v>56-4</v>
      </c>
      <c r="AD235" s="21" t="s">
        <v>72</v>
      </c>
      <c r="AE235">
        <f>+DB!X235</f>
        <v>0</v>
      </c>
      <c r="AF235" s="22">
        <f>+DB!Y235</f>
        <v>0</v>
      </c>
      <c r="AG235">
        <f>+DB!AK235</f>
        <v>0</v>
      </c>
    </row>
    <row r="236" spans="1:33" x14ac:dyDescent="0.2">
      <c r="A236">
        <f>+DB!C236</f>
        <v>0</v>
      </c>
      <c r="B236">
        <f>+DB!D236</f>
        <v>0</v>
      </c>
      <c r="C236">
        <f>+DB!E236</f>
        <v>0</v>
      </c>
      <c r="D236">
        <f t="shared" si="9"/>
        <v>0</v>
      </c>
      <c r="E236">
        <f>+DB!G236</f>
        <v>0</v>
      </c>
      <c r="F236">
        <f>+DB!H236</f>
        <v>0</v>
      </c>
      <c r="G236">
        <f>+DB!N236</f>
        <v>0</v>
      </c>
      <c r="H236">
        <f>+DB!O236</f>
        <v>0</v>
      </c>
      <c r="I236">
        <f>+DB!I236</f>
        <v>0</v>
      </c>
      <c r="J236">
        <f>+DB!J236</f>
        <v>0</v>
      </c>
      <c r="K236">
        <f>+DB!L236</f>
        <v>0</v>
      </c>
      <c r="L236" t="str">
        <f t="shared" si="10"/>
        <v/>
      </c>
      <c r="M236" t="str">
        <f>+IF(LEFT(DB!M236,3)="13/","CAC","MAD")</f>
        <v>MAD</v>
      </c>
      <c r="N236" t="str">
        <f>+RIGHT(DB!M236,6)</f>
        <v/>
      </c>
      <c r="O236">
        <v>95</v>
      </c>
      <c r="P236">
        <v>5</v>
      </c>
      <c r="Q236">
        <f>+DB!AB236</f>
        <v>0</v>
      </c>
      <c r="R236">
        <f>+DB!K236</f>
        <v>0</v>
      </c>
      <c r="S236">
        <f>+DB!F236</f>
        <v>0</v>
      </c>
      <c r="T236">
        <f>+IF(DB!F236="AAAC-35",1,3)</f>
        <v>3</v>
      </c>
      <c r="U236">
        <f>+DB!R236</f>
        <v>0</v>
      </c>
      <c r="V236">
        <f>+IF(DB!P236="1RI",1,0)+IF(DB!P236="2RI",2,0)</f>
        <v>0</v>
      </c>
      <c r="W236">
        <f>+IF(DB!P236="1RV",1,0)+IF(DB!P236="2RV",2,0)</f>
        <v>0</v>
      </c>
      <c r="X236">
        <f>+IF(DB!P236="RYI",1,0)</f>
        <v>0</v>
      </c>
      <c r="Y236">
        <f>+IF(DB!P236="RYV",1,0)</f>
        <v>0</v>
      </c>
      <c r="Z236">
        <f>+DB!U236</f>
        <v>0</v>
      </c>
      <c r="AA236">
        <f>+IF(DB!F236="AAAC-35",19.5,33)</f>
        <v>33</v>
      </c>
      <c r="AB236">
        <f>+DB!V236</f>
        <v>0</v>
      </c>
      <c r="AC236" t="str">
        <f t="shared" si="11"/>
        <v>56-4</v>
      </c>
      <c r="AD236" s="21" t="s">
        <v>72</v>
      </c>
      <c r="AE236">
        <f>+DB!X236</f>
        <v>0</v>
      </c>
      <c r="AF236" s="22">
        <f>+DB!Y236</f>
        <v>0</v>
      </c>
      <c r="AG236">
        <f>+DB!AK236</f>
        <v>0</v>
      </c>
    </row>
    <row r="237" spans="1:33" x14ac:dyDescent="0.2">
      <c r="A237">
        <f>+DB!C237</f>
        <v>0</v>
      </c>
      <c r="B237">
        <f>+DB!D237</f>
        <v>0</v>
      </c>
      <c r="C237">
        <f>+DB!E237</f>
        <v>0</v>
      </c>
      <c r="D237">
        <f t="shared" si="9"/>
        <v>0</v>
      </c>
      <c r="E237">
        <f>+DB!G237</f>
        <v>0</v>
      </c>
      <c r="F237">
        <f>+DB!H237</f>
        <v>0</v>
      </c>
      <c r="G237">
        <f>+DB!N237</f>
        <v>0</v>
      </c>
      <c r="H237">
        <f>+DB!O237</f>
        <v>0</v>
      </c>
      <c r="I237">
        <f>+DB!I237</f>
        <v>0</v>
      </c>
      <c r="J237">
        <f>+DB!J237</f>
        <v>0</v>
      </c>
      <c r="K237">
        <f>+DB!L237</f>
        <v>0</v>
      </c>
      <c r="L237" t="str">
        <f t="shared" si="10"/>
        <v/>
      </c>
      <c r="M237" t="str">
        <f>+IF(LEFT(DB!M237,3)="13/","CAC","MAD")</f>
        <v>MAD</v>
      </c>
      <c r="N237" t="str">
        <f>+RIGHT(DB!M237,6)</f>
        <v/>
      </c>
      <c r="O237">
        <v>95</v>
      </c>
      <c r="P237">
        <v>5</v>
      </c>
      <c r="Q237">
        <f>+DB!AB237</f>
        <v>0</v>
      </c>
      <c r="R237">
        <f>+DB!K237</f>
        <v>0</v>
      </c>
      <c r="S237">
        <f>+DB!F237</f>
        <v>0</v>
      </c>
      <c r="T237">
        <f>+IF(DB!F237="AAAC-35",1,3)</f>
        <v>3</v>
      </c>
      <c r="U237">
        <f>+DB!R237</f>
        <v>0</v>
      </c>
      <c r="V237">
        <f>+IF(DB!P237="1RI",1,0)+IF(DB!P237="2RI",2,0)</f>
        <v>0</v>
      </c>
      <c r="W237">
        <f>+IF(DB!P237="1RV",1,0)+IF(DB!P237="2RV",2,0)</f>
        <v>0</v>
      </c>
      <c r="X237">
        <f>+IF(DB!P237="RYI",1,0)</f>
        <v>0</v>
      </c>
      <c r="Y237">
        <f>+IF(DB!P237="RYV",1,0)</f>
        <v>0</v>
      </c>
      <c r="Z237">
        <f>+DB!U237</f>
        <v>0</v>
      </c>
      <c r="AA237">
        <f>+IF(DB!F237="AAAC-35",19.5,33)</f>
        <v>33</v>
      </c>
      <c r="AB237">
        <f>+DB!V237</f>
        <v>0</v>
      </c>
      <c r="AC237" t="str">
        <f t="shared" si="11"/>
        <v>56-4</v>
      </c>
      <c r="AD237" s="21" t="s">
        <v>72</v>
      </c>
      <c r="AE237">
        <f>+DB!X237</f>
        <v>0</v>
      </c>
      <c r="AF237" s="22">
        <f>+DB!Y237</f>
        <v>0</v>
      </c>
      <c r="AG237">
        <f>+DB!AK237</f>
        <v>0</v>
      </c>
    </row>
    <row r="238" spans="1:33" x14ac:dyDescent="0.2">
      <c r="A238">
        <f>+DB!C238</f>
        <v>0</v>
      </c>
      <c r="B238">
        <f>+DB!D238</f>
        <v>0</v>
      </c>
      <c r="C238">
        <f>+DB!E238</f>
        <v>0</v>
      </c>
      <c r="D238">
        <f t="shared" si="9"/>
        <v>0</v>
      </c>
      <c r="E238">
        <f>+DB!G238</f>
        <v>0</v>
      </c>
      <c r="F238">
        <f>+DB!H238</f>
        <v>0</v>
      </c>
      <c r="G238">
        <f>+DB!N238</f>
        <v>0</v>
      </c>
      <c r="H238">
        <f>+DB!O238</f>
        <v>0</v>
      </c>
      <c r="I238">
        <f>+DB!I238</f>
        <v>0</v>
      </c>
      <c r="J238">
        <f>+DB!J238</f>
        <v>0</v>
      </c>
      <c r="K238">
        <f>+DB!L238</f>
        <v>0</v>
      </c>
      <c r="L238" t="str">
        <f t="shared" si="10"/>
        <v/>
      </c>
      <c r="M238" t="str">
        <f>+IF(LEFT(DB!M238,3)="13/","CAC","MAD")</f>
        <v>MAD</v>
      </c>
      <c r="N238" t="str">
        <f>+RIGHT(DB!M238,6)</f>
        <v/>
      </c>
      <c r="O238">
        <v>95</v>
      </c>
      <c r="P238">
        <v>5</v>
      </c>
      <c r="Q238">
        <f>+DB!AB238</f>
        <v>0</v>
      </c>
      <c r="R238">
        <f>+DB!K238</f>
        <v>0</v>
      </c>
      <c r="S238">
        <f>+DB!F238</f>
        <v>0</v>
      </c>
      <c r="T238">
        <f>+IF(DB!F238="AAAC-35",1,3)</f>
        <v>3</v>
      </c>
      <c r="U238">
        <f>+DB!R238</f>
        <v>0</v>
      </c>
      <c r="V238">
        <f>+IF(DB!P238="1RI",1,0)+IF(DB!P238="2RI",2,0)</f>
        <v>0</v>
      </c>
      <c r="W238">
        <f>+IF(DB!P238="1RV",1,0)+IF(DB!P238="2RV",2,0)</f>
        <v>0</v>
      </c>
      <c r="X238">
        <f>+IF(DB!P238="RYI",1,0)</f>
        <v>0</v>
      </c>
      <c r="Y238">
        <f>+IF(DB!P238="RYV",1,0)</f>
        <v>0</v>
      </c>
      <c r="Z238">
        <f>+DB!U238</f>
        <v>0</v>
      </c>
      <c r="AA238">
        <f>+IF(DB!F238="AAAC-35",19.5,33)</f>
        <v>33</v>
      </c>
      <c r="AB238">
        <f>+DB!V238</f>
        <v>0</v>
      </c>
      <c r="AC238" t="str">
        <f t="shared" si="11"/>
        <v>56-4</v>
      </c>
      <c r="AD238" s="21" t="s">
        <v>72</v>
      </c>
      <c r="AE238">
        <f>+DB!X238</f>
        <v>0</v>
      </c>
      <c r="AF238" s="22">
        <f>+DB!Y238</f>
        <v>0</v>
      </c>
      <c r="AG238">
        <f>+DB!AK238</f>
        <v>0</v>
      </c>
    </row>
    <row r="239" spans="1:33" x14ac:dyDescent="0.2">
      <c r="A239">
        <f>+DB!C239</f>
        <v>0</v>
      </c>
      <c r="B239">
        <f>+DB!D239</f>
        <v>0</v>
      </c>
      <c r="C239">
        <f>+DB!E239</f>
        <v>0</v>
      </c>
      <c r="D239">
        <f t="shared" si="9"/>
        <v>0</v>
      </c>
      <c r="E239">
        <f>+DB!G239</f>
        <v>0</v>
      </c>
      <c r="F239">
        <f>+DB!H239</f>
        <v>0</v>
      </c>
      <c r="G239">
        <f>+DB!N239</f>
        <v>0</v>
      </c>
      <c r="H239">
        <f>+DB!O239</f>
        <v>0</v>
      </c>
      <c r="I239">
        <f>+DB!I239</f>
        <v>0</v>
      </c>
      <c r="J239">
        <f>+DB!J239</f>
        <v>0</v>
      </c>
      <c r="K239">
        <f>+DB!L239</f>
        <v>0</v>
      </c>
      <c r="L239" t="str">
        <f t="shared" si="10"/>
        <v/>
      </c>
      <c r="M239" t="str">
        <f>+IF(LEFT(DB!M239,3)="13/","CAC","MAD")</f>
        <v>MAD</v>
      </c>
      <c r="N239" t="str">
        <f>+RIGHT(DB!M239,6)</f>
        <v/>
      </c>
      <c r="O239">
        <v>95</v>
      </c>
      <c r="P239">
        <v>5</v>
      </c>
      <c r="Q239">
        <f>+DB!AB239</f>
        <v>0</v>
      </c>
      <c r="R239">
        <f>+DB!K239</f>
        <v>0</v>
      </c>
      <c r="S239">
        <f>+DB!F239</f>
        <v>0</v>
      </c>
      <c r="T239">
        <f>+IF(DB!F239="AAAC-35",1,3)</f>
        <v>3</v>
      </c>
      <c r="U239">
        <f>+DB!R239</f>
        <v>0</v>
      </c>
      <c r="V239">
        <f>+IF(DB!P239="1RI",1,0)+IF(DB!P239="2RI",2,0)</f>
        <v>0</v>
      </c>
      <c r="W239">
        <f>+IF(DB!P239="1RV",1,0)+IF(DB!P239="2RV",2,0)</f>
        <v>0</v>
      </c>
      <c r="X239">
        <f>+IF(DB!P239="RYI",1,0)</f>
        <v>0</v>
      </c>
      <c r="Y239">
        <f>+IF(DB!P239="RYV",1,0)</f>
        <v>0</v>
      </c>
      <c r="Z239">
        <f>+DB!U239</f>
        <v>0</v>
      </c>
      <c r="AA239">
        <f>+IF(DB!F239="AAAC-35",19.5,33)</f>
        <v>33</v>
      </c>
      <c r="AB239">
        <f>+DB!V239</f>
        <v>0</v>
      </c>
      <c r="AC239" t="str">
        <f t="shared" si="11"/>
        <v>56-4</v>
      </c>
      <c r="AD239" s="21" t="s">
        <v>72</v>
      </c>
      <c r="AE239">
        <f>+DB!X239</f>
        <v>0</v>
      </c>
      <c r="AF239" s="22">
        <f>+DB!Y239</f>
        <v>0</v>
      </c>
      <c r="AG239">
        <f>+DB!AK239</f>
        <v>0</v>
      </c>
    </row>
    <row r="240" spans="1:33" x14ac:dyDescent="0.2">
      <c r="A240">
        <f>+DB!C240</f>
        <v>0</v>
      </c>
      <c r="B240">
        <f>+DB!D240</f>
        <v>0</v>
      </c>
      <c r="C240">
        <f>+DB!E240</f>
        <v>0</v>
      </c>
      <c r="D240">
        <f t="shared" si="9"/>
        <v>0</v>
      </c>
      <c r="E240">
        <f>+DB!G240</f>
        <v>0</v>
      </c>
      <c r="F240">
        <f>+DB!H240</f>
        <v>0</v>
      </c>
      <c r="G240">
        <f>+DB!N240</f>
        <v>0</v>
      </c>
      <c r="H240">
        <f>+DB!O240</f>
        <v>0</v>
      </c>
      <c r="I240">
        <f>+DB!I240</f>
        <v>0</v>
      </c>
      <c r="J240">
        <f>+DB!J240</f>
        <v>0</v>
      </c>
      <c r="K240">
        <f>+DB!L240</f>
        <v>0</v>
      </c>
      <c r="L240" t="str">
        <f t="shared" si="10"/>
        <v/>
      </c>
      <c r="M240" t="str">
        <f>+IF(LEFT(DB!M240,3)="13/","CAC","MAD")</f>
        <v>MAD</v>
      </c>
      <c r="N240" t="str">
        <f>+RIGHT(DB!M240,6)</f>
        <v/>
      </c>
      <c r="O240">
        <v>95</v>
      </c>
      <c r="P240">
        <v>5</v>
      </c>
      <c r="Q240">
        <f>+DB!AB240</f>
        <v>0</v>
      </c>
      <c r="R240">
        <f>+DB!K240</f>
        <v>0</v>
      </c>
      <c r="S240">
        <f>+DB!F240</f>
        <v>0</v>
      </c>
      <c r="T240">
        <f>+IF(DB!F240="AAAC-35",1,3)</f>
        <v>3</v>
      </c>
      <c r="U240">
        <f>+DB!R240</f>
        <v>0</v>
      </c>
      <c r="V240">
        <f>+IF(DB!P240="1RI",1,0)+IF(DB!P240="2RI",2,0)</f>
        <v>0</v>
      </c>
      <c r="W240">
        <f>+IF(DB!P240="1RV",1,0)+IF(DB!P240="2RV",2,0)</f>
        <v>0</v>
      </c>
      <c r="X240">
        <f>+IF(DB!P240="RYI",1,0)</f>
        <v>0</v>
      </c>
      <c r="Y240">
        <f>+IF(DB!P240="RYV",1,0)</f>
        <v>0</v>
      </c>
      <c r="Z240">
        <f>+DB!U240</f>
        <v>0</v>
      </c>
      <c r="AA240">
        <f>+IF(DB!F240="AAAC-35",19.5,33)</f>
        <v>33</v>
      </c>
      <c r="AB240">
        <f>+DB!V240</f>
        <v>0</v>
      </c>
      <c r="AC240" t="str">
        <f t="shared" si="11"/>
        <v>56-4</v>
      </c>
      <c r="AD240" s="21" t="s">
        <v>72</v>
      </c>
      <c r="AE240">
        <f>+DB!X240</f>
        <v>0</v>
      </c>
      <c r="AF240" s="22">
        <f>+DB!Y240</f>
        <v>0</v>
      </c>
      <c r="AG240">
        <f>+DB!AK240</f>
        <v>0</v>
      </c>
    </row>
    <row r="241" spans="1:33" x14ac:dyDescent="0.2">
      <c r="A241">
        <f>+DB!C241</f>
        <v>0</v>
      </c>
      <c r="B241">
        <f>+DB!D241</f>
        <v>0</v>
      </c>
      <c r="C241">
        <f>+DB!E241</f>
        <v>0</v>
      </c>
      <c r="D241">
        <f t="shared" si="9"/>
        <v>0</v>
      </c>
      <c r="E241">
        <f>+DB!G241</f>
        <v>0</v>
      </c>
      <c r="F241">
        <f>+DB!H241</f>
        <v>0</v>
      </c>
      <c r="G241">
        <f>+DB!N241</f>
        <v>0</v>
      </c>
      <c r="H241">
        <f>+DB!O241</f>
        <v>0</v>
      </c>
      <c r="I241">
        <f>+DB!I241</f>
        <v>0</v>
      </c>
      <c r="J241">
        <f>+DB!J241</f>
        <v>0</v>
      </c>
      <c r="K241">
        <f>+DB!L241</f>
        <v>0</v>
      </c>
      <c r="L241" t="str">
        <f t="shared" si="10"/>
        <v/>
      </c>
      <c r="M241" t="str">
        <f>+IF(LEFT(DB!M241,3)="13/","CAC","MAD")</f>
        <v>MAD</v>
      </c>
      <c r="N241" t="str">
        <f>+RIGHT(DB!M241,6)</f>
        <v/>
      </c>
      <c r="O241">
        <v>95</v>
      </c>
      <c r="P241">
        <v>5</v>
      </c>
      <c r="Q241">
        <f>+DB!AB241</f>
        <v>0</v>
      </c>
      <c r="R241">
        <f>+DB!K241</f>
        <v>0</v>
      </c>
      <c r="S241">
        <f>+DB!F241</f>
        <v>0</v>
      </c>
      <c r="T241">
        <f>+IF(DB!F241="AAAC-35",1,3)</f>
        <v>3</v>
      </c>
      <c r="U241">
        <f>+DB!R241</f>
        <v>0</v>
      </c>
      <c r="V241">
        <f>+IF(DB!P241="1RI",1,0)+IF(DB!P241="2RI",2,0)</f>
        <v>0</v>
      </c>
      <c r="W241">
        <f>+IF(DB!P241="1RV",1,0)+IF(DB!P241="2RV",2,0)</f>
        <v>0</v>
      </c>
      <c r="X241">
        <f>+IF(DB!P241="RYI",1,0)</f>
        <v>0</v>
      </c>
      <c r="Y241">
        <f>+IF(DB!P241="RYV",1,0)</f>
        <v>0</v>
      </c>
      <c r="Z241">
        <f>+DB!U241</f>
        <v>0</v>
      </c>
      <c r="AA241">
        <f>+IF(DB!F241="AAAC-35",19.5,33)</f>
        <v>33</v>
      </c>
      <c r="AB241">
        <f>+DB!V241</f>
        <v>0</v>
      </c>
      <c r="AC241" t="str">
        <f t="shared" si="11"/>
        <v>56-4</v>
      </c>
      <c r="AD241" s="21" t="s">
        <v>72</v>
      </c>
      <c r="AE241">
        <f>+DB!X241</f>
        <v>0</v>
      </c>
      <c r="AF241" s="22">
        <f>+DB!Y241</f>
        <v>0</v>
      </c>
      <c r="AG241">
        <f>+DB!AK241</f>
        <v>0</v>
      </c>
    </row>
    <row r="242" spans="1:33" x14ac:dyDescent="0.2">
      <c r="A242">
        <f>+DB!C242</f>
        <v>0</v>
      </c>
      <c r="B242">
        <f>+DB!D242</f>
        <v>0</v>
      </c>
      <c r="C242">
        <f>+DB!E242</f>
        <v>0</v>
      </c>
      <c r="D242">
        <f t="shared" si="9"/>
        <v>0</v>
      </c>
      <c r="E242">
        <f>+DB!G242</f>
        <v>0</v>
      </c>
      <c r="F242">
        <f>+DB!H242</f>
        <v>0</v>
      </c>
      <c r="G242">
        <f>+DB!N242</f>
        <v>0</v>
      </c>
      <c r="H242">
        <f>+DB!O242</f>
        <v>0</v>
      </c>
      <c r="I242">
        <f>+DB!I242</f>
        <v>0</v>
      </c>
      <c r="J242">
        <f>+DB!J242</f>
        <v>0</v>
      </c>
      <c r="K242">
        <f>+DB!L242</f>
        <v>0</v>
      </c>
      <c r="L242" t="str">
        <f t="shared" si="10"/>
        <v/>
      </c>
      <c r="M242" t="str">
        <f>+IF(LEFT(DB!M242,3)="13/","CAC","MAD")</f>
        <v>MAD</v>
      </c>
      <c r="N242" t="str">
        <f>+RIGHT(DB!M242,6)</f>
        <v/>
      </c>
      <c r="O242">
        <v>95</v>
      </c>
      <c r="P242">
        <v>5</v>
      </c>
      <c r="Q242">
        <f>+DB!AB242</f>
        <v>0</v>
      </c>
      <c r="R242">
        <f>+DB!K242</f>
        <v>0</v>
      </c>
      <c r="S242">
        <f>+DB!F242</f>
        <v>0</v>
      </c>
      <c r="T242">
        <f>+IF(DB!F242="AAAC-35",1,3)</f>
        <v>3</v>
      </c>
      <c r="U242">
        <f>+DB!R242</f>
        <v>0</v>
      </c>
      <c r="V242">
        <f>+IF(DB!P242="1RI",1,0)+IF(DB!P242="2RI",2,0)</f>
        <v>0</v>
      </c>
      <c r="W242">
        <f>+IF(DB!P242="1RV",1,0)+IF(DB!P242="2RV",2,0)</f>
        <v>0</v>
      </c>
      <c r="X242">
        <f>+IF(DB!P242="RYI",1,0)</f>
        <v>0</v>
      </c>
      <c r="Y242">
        <f>+IF(DB!P242="RYV",1,0)</f>
        <v>0</v>
      </c>
      <c r="Z242">
        <f>+DB!U242</f>
        <v>0</v>
      </c>
      <c r="AA242">
        <f>+IF(DB!F242="AAAC-35",19.5,33)</f>
        <v>33</v>
      </c>
      <c r="AB242">
        <f>+DB!V242</f>
        <v>0</v>
      </c>
      <c r="AC242" t="str">
        <f t="shared" si="11"/>
        <v>56-4</v>
      </c>
      <c r="AD242" s="21" t="s">
        <v>72</v>
      </c>
      <c r="AE242">
        <f>+DB!X242</f>
        <v>0</v>
      </c>
      <c r="AF242" s="22">
        <f>+DB!Y242</f>
        <v>0</v>
      </c>
      <c r="AG242">
        <f>+DB!AK242</f>
        <v>0</v>
      </c>
    </row>
    <row r="243" spans="1:33" x14ac:dyDescent="0.2">
      <c r="A243">
        <f>+DB!C243</f>
        <v>0</v>
      </c>
      <c r="B243">
        <f>+DB!D243</f>
        <v>0</v>
      </c>
      <c r="C243">
        <f>+DB!E243</f>
        <v>0</v>
      </c>
      <c r="D243">
        <f t="shared" si="9"/>
        <v>0</v>
      </c>
      <c r="E243">
        <f>+DB!G243</f>
        <v>0</v>
      </c>
      <c r="F243">
        <f>+DB!H243</f>
        <v>0</v>
      </c>
      <c r="G243">
        <f>+DB!N243</f>
        <v>0</v>
      </c>
      <c r="H243">
        <f>+DB!O243</f>
        <v>0</v>
      </c>
      <c r="I243">
        <f>+DB!I243</f>
        <v>0</v>
      </c>
      <c r="J243">
        <f>+DB!J243</f>
        <v>0</v>
      </c>
      <c r="K243">
        <f>+DB!L243</f>
        <v>0</v>
      </c>
      <c r="L243" t="str">
        <f t="shared" si="10"/>
        <v/>
      </c>
      <c r="M243" t="str">
        <f>+IF(LEFT(DB!M243,3)="13/","CAC","MAD")</f>
        <v>MAD</v>
      </c>
      <c r="N243" t="str">
        <f>+RIGHT(DB!M243,6)</f>
        <v/>
      </c>
      <c r="O243">
        <v>95</v>
      </c>
      <c r="P243">
        <v>5</v>
      </c>
      <c r="Q243">
        <f>+DB!AB243</f>
        <v>0</v>
      </c>
      <c r="R243">
        <f>+DB!K243</f>
        <v>0</v>
      </c>
      <c r="S243">
        <f>+DB!F243</f>
        <v>0</v>
      </c>
      <c r="T243">
        <f>+IF(DB!F243="AAAC-35",1,3)</f>
        <v>3</v>
      </c>
      <c r="U243">
        <f>+DB!R243</f>
        <v>0</v>
      </c>
      <c r="V243">
        <f>+IF(DB!P243="1RI",1,0)+IF(DB!P243="2RI",2,0)</f>
        <v>0</v>
      </c>
      <c r="W243">
        <f>+IF(DB!P243="1RV",1,0)+IF(DB!P243="2RV",2,0)</f>
        <v>0</v>
      </c>
      <c r="X243">
        <f>+IF(DB!P243="RYI",1,0)</f>
        <v>0</v>
      </c>
      <c r="Y243">
        <f>+IF(DB!P243="RYV",1,0)</f>
        <v>0</v>
      </c>
      <c r="Z243">
        <f>+DB!U243</f>
        <v>0</v>
      </c>
      <c r="AA243">
        <f>+IF(DB!F243="AAAC-35",19.5,33)</f>
        <v>33</v>
      </c>
      <c r="AB243">
        <f>+DB!V243</f>
        <v>0</v>
      </c>
      <c r="AC243" t="str">
        <f t="shared" si="11"/>
        <v>56-4</v>
      </c>
      <c r="AD243" s="21" t="s">
        <v>72</v>
      </c>
      <c r="AE243">
        <f>+DB!X243</f>
        <v>0</v>
      </c>
      <c r="AF243" s="22">
        <f>+DB!Y243</f>
        <v>0</v>
      </c>
      <c r="AG243">
        <f>+DB!AK243</f>
        <v>0</v>
      </c>
    </row>
    <row r="244" spans="1:33" x14ac:dyDescent="0.2">
      <c r="A244">
        <f>+DB!C244</f>
        <v>0</v>
      </c>
      <c r="B244">
        <f>+DB!D244</f>
        <v>0</v>
      </c>
      <c r="C244">
        <f>+DB!E244</f>
        <v>0</v>
      </c>
      <c r="D244">
        <f t="shared" si="9"/>
        <v>0</v>
      </c>
      <c r="E244">
        <f>+DB!G244</f>
        <v>0</v>
      </c>
      <c r="F244">
        <f>+DB!H244</f>
        <v>0</v>
      </c>
      <c r="G244">
        <f>+DB!N244</f>
        <v>0</v>
      </c>
      <c r="H244">
        <f>+DB!O244</f>
        <v>0</v>
      </c>
      <c r="I244">
        <f>+DB!I244</f>
        <v>0</v>
      </c>
      <c r="J244">
        <f>+DB!J244</f>
        <v>0</v>
      </c>
      <c r="K244">
        <f>+DB!L244</f>
        <v>0</v>
      </c>
      <c r="L244" t="str">
        <f t="shared" si="10"/>
        <v/>
      </c>
      <c r="M244" t="str">
        <f>+IF(LEFT(DB!M244,3)="13/","CAC","MAD")</f>
        <v>MAD</v>
      </c>
      <c r="N244" t="str">
        <f>+RIGHT(DB!M244,6)</f>
        <v/>
      </c>
      <c r="O244">
        <v>95</v>
      </c>
      <c r="P244">
        <v>5</v>
      </c>
      <c r="Q244">
        <f>+DB!AB244</f>
        <v>0</v>
      </c>
      <c r="R244">
        <f>+DB!K244</f>
        <v>0</v>
      </c>
      <c r="S244">
        <f>+DB!F244</f>
        <v>0</v>
      </c>
      <c r="T244">
        <f>+IF(DB!F244="AAAC-35",1,3)</f>
        <v>3</v>
      </c>
      <c r="U244">
        <f>+DB!R244</f>
        <v>0</v>
      </c>
      <c r="V244">
        <f>+IF(DB!P244="1RI",1,0)+IF(DB!P244="2RI",2,0)</f>
        <v>0</v>
      </c>
      <c r="W244">
        <f>+IF(DB!P244="1RV",1,0)+IF(DB!P244="2RV",2,0)</f>
        <v>0</v>
      </c>
      <c r="X244">
        <f>+IF(DB!P244="RYI",1,0)</f>
        <v>0</v>
      </c>
      <c r="Y244">
        <f>+IF(DB!P244="RYV",1,0)</f>
        <v>0</v>
      </c>
      <c r="Z244">
        <f>+DB!U244</f>
        <v>0</v>
      </c>
      <c r="AA244">
        <f>+IF(DB!F244="AAAC-35",19.5,33)</f>
        <v>33</v>
      </c>
      <c r="AB244">
        <f>+DB!V244</f>
        <v>0</v>
      </c>
      <c r="AC244" t="str">
        <f t="shared" si="11"/>
        <v>56-4</v>
      </c>
      <c r="AD244" s="21" t="s">
        <v>72</v>
      </c>
      <c r="AE244">
        <f>+DB!X244</f>
        <v>0</v>
      </c>
      <c r="AF244" s="22">
        <f>+DB!Y244</f>
        <v>0</v>
      </c>
      <c r="AG244">
        <f>+DB!AK244</f>
        <v>0</v>
      </c>
    </row>
    <row r="245" spans="1:33" x14ac:dyDescent="0.2">
      <c r="A245">
        <f>+DB!C245</f>
        <v>0</v>
      </c>
      <c r="B245">
        <f>+DB!D245</f>
        <v>0</v>
      </c>
      <c r="C245">
        <f>+DB!E245</f>
        <v>0</v>
      </c>
      <c r="D245">
        <f t="shared" si="9"/>
        <v>0</v>
      </c>
      <c r="E245">
        <f>+DB!G245</f>
        <v>0</v>
      </c>
      <c r="F245">
        <f>+DB!H245</f>
        <v>0</v>
      </c>
      <c r="G245">
        <f>+DB!N245</f>
        <v>0</v>
      </c>
      <c r="H245">
        <f>+DB!O245</f>
        <v>0</v>
      </c>
      <c r="I245">
        <f>+DB!I245</f>
        <v>0</v>
      </c>
      <c r="J245">
        <f>+DB!J245</f>
        <v>0</v>
      </c>
      <c r="K245">
        <f>+DB!L245</f>
        <v>0</v>
      </c>
      <c r="L245" t="str">
        <f t="shared" si="10"/>
        <v/>
      </c>
      <c r="M245" t="str">
        <f>+IF(LEFT(DB!M245,3)="13/","CAC","MAD")</f>
        <v>MAD</v>
      </c>
      <c r="N245" t="str">
        <f>+RIGHT(DB!M245,6)</f>
        <v/>
      </c>
      <c r="O245">
        <v>95</v>
      </c>
      <c r="P245">
        <v>5</v>
      </c>
      <c r="Q245">
        <f>+DB!AB245</f>
        <v>0</v>
      </c>
      <c r="R245">
        <f>+DB!K245</f>
        <v>0</v>
      </c>
      <c r="S245">
        <f>+DB!F245</f>
        <v>0</v>
      </c>
      <c r="T245">
        <f>+IF(DB!F245="AAAC-35",1,3)</f>
        <v>3</v>
      </c>
      <c r="U245">
        <f>+DB!R245</f>
        <v>0</v>
      </c>
      <c r="V245">
        <f>+IF(DB!P245="1RI",1,0)+IF(DB!P245="2RI",2,0)</f>
        <v>0</v>
      </c>
      <c r="W245">
        <f>+IF(DB!P245="1RV",1,0)+IF(DB!P245="2RV",2,0)</f>
        <v>0</v>
      </c>
      <c r="X245">
        <f>+IF(DB!P245="RYI",1,0)</f>
        <v>0</v>
      </c>
      <c r="Y245">
        <f>+IF(DB!P245="RYV",1,0)</f>
        <v>0</v>
      </c>
      <c r="Z245">
        <f>+DB!U245</f>
        <v>0</v>
      </c>
      <c r="AA245">
        <f>+IF(DB!F245="AAAC-35",19.5,33)</f>
        <v>33</v>
      </c>
      <c r="AB245">
        <f>+DB!V245</f>
        <v>0</v>
      </c>
      <c r="AC245" t="str">
        <f t="shared" si="11"/>
        <v>56-4</v>
      </c>
      <c r="AD245" s="21" t="s">
        <v>72</v>
      </c>
      <c r="AE245">
        <f>+DB!X245</f>
        <v>0</v>
      </c>
      <c r="AF245" s="22">
        <f>+DB!Y245</f>
        <v>0</v>
      </c>
      <c r="AG245">
        <f>+DB!AK245</f>
        <v>0</v>
      </c>
    </row>
    <row r="246" spans="1:33" x14ac:dyDescent="0.2">
      <c r="A246">
        <f>+DB!C246</f>
        <v>0</v>
      </c>
      <c r="B246">
        <f>+DB!D246</f>
        <v>0</v>
      </c>
      <c r="C246">
        <f>+DB!E246</f>
        <v>0</v>
      </c>
      <c r="D246">
        <f t="shared" si="9"/>
        <v>0</v>
      </c>
      <c r="E246">
        <f>+DB!G246</f>
        <v>0</v>
      </c>
      <c r="F246">
        <f>+DB!H246</f>
        <v>0</v>
      </c>
      <c r="G246">
        <f>+DB!N246</f>
        <v>0</v>
      </c>
      <c r="H246">
        <f>+DB!O246</f>
        <v>0</v>
      </c>
      <c r="I246">
        <f>+DB!I246</f>
        <v>0</v>
      </c>
      <c r="J246">
        <f>+DB!J246</f>
        <v>0</v>
      </c>
      <c r="K246">
        <f>+DB!L246</f>
        <v>0</v>
      </c>
      <c r="L246" t="str">
        <f t="shared" si="10"/>
        <v/>
      </c>
      <c r="M246" t="str">
        <f>+IF(LEFT(DB!M246,3)="13/","CAC","MAD")</f>
        <v>MAD</v>
      </c>
      <c r="N246" t="str">
        <f>+RIGHT(DB!M246,6)</f>
        <v/>
      </c>
      <c r="O246">
        <v>95</v>
      </c>
      <c r="P246">
        <v>5</v>
      </c>
      <c r="Q246">
        <f>+DB!AB246</f>
        <v>0</v>
      </c>
      <c r="R246">
        <f>+DB!K246</f>
        <v>0</v>
      </c>
      <c r="S246">
        <f>+DB!F246</f>
        <v>0</v>
      </c>
      <c r="T246">
        <f>+IF(DB!F246="AAAC-35",1,3)</f>
        <v>3</v>
      </c>
      <c r="U246">
        <f>+DB!R246</f>
        <v>0</v>
      </c>
      <c r="V246">
        <f>+IF(DB!P246="1RI",1,0)+IF(DB!P246="2RI",2,0)</f>
        <v>0</v>
      </c>
      <c r="W246">
        <f>+IF(DB!P246="1RV",1,0)+IF(DB!P246="2RV",2,0)</f>
        <v>0</v>
      </c>
      <c r="X246">
        <f>+IF(DB!P246="RYI",1,0)</f>
        <v>0</v>
      </c>
      <c r="Y246">
        <f>+IF(DB!P246="RYV",1,0)</f>
        <v>0</v>
      </c>
      <c r="Z246">
        <f>+DB!U246</f>
        <v>0</v>
      </c>
      <c r="AA246">
        <f>+IF(DB!F246="AAAC-35",19.5,33)</f>
        <v>33</v>
      </c>
      <c r="AB246">
        <f>+DB!V246</f>
        <v>0</v>
      </c>
      <c r="AC246" t="str">
        <f t="shared" si="11"/>
        <v>56-4</v>
      </c>
      <c r="AD246" s="21" t="s">
        <v>72</v>
      </c>
      <c r="AE246">
        <f>+DB!X246</f>
        <v>0</v>
      </c>
      <c r="AF246" s="22">
        <f>+DB!Y246</f>
        <v>0</v>
      </c>
      <c r="AG246">
        <f>+DB!AK246</f>
        <v>0</v>
      </c>
    </row>
    <row r="247" spans="1:33" x14ac:dyDescent="0.2">
      <c r="A247">
        <f>+DB!C247</f>
        <v>0</v>
      </c>
      <c r="B247">
        <f>+DB!D247</f>
        <v>0</v>
      </c>
      <c r="C247">
        <f>+DB!E247</f>
        <v>0</v>
      </c>
      <c r="D247">
        <f t="shared" si="9"/>
        <v>0</v>
      </c>
      <c r="E247">
        <f>+DB!G247</f>
        <v>0</v>
      </c>
      <c r="F247">
        <f>+DB!H247</f>
        <v>0</v>
      </c>
      <c r="G247">
        <f>+DB!N247</f>
        <v>0</v>
      </c>
      <c r="H247">
        <f>+DB!O247</f>
        <v>0</v>
      </c>
      <c r="I247">
        <f>+DB!I247</f>
        <v>0</v>
      </c>
      <c r="J247">
        <f>+DB!J247</f>
        <v>0</v>
      </c>
      <c r="K247">
        <f>+DB!L247</f>
        <v>0</v>
      </c>
      <c r="L247" t="str">
        <f t="shared" si="10"/>
        <v/>
      </c>
      <c r="M247" t="str">
        <f>+IF(LEFT(DB!M247,3)="13/","CAC","MAD")</f>
        <v>MAD</v>
      </c>
      <c r="N247" t="str">
        <f>+RIGHT(DB!M247,6)</f>
        <v/>
      </c>
      <c r="O247">
        <v>95</v>
      </c>
      <c r="P247">
        <v>5</v>
      </c>
      <c r="Q247">
        <f>+DB!AB247</f>
        <v>0</v>
      </c>
      <c r="R247">
        <f>+DB!K247</f>
        <v>0</v>
      </c>
      <c r="S247">
        <f>+DB!F247</f>
        <v>0</v>
      </c>
      <c r="T247">
        <f>+IF(DB!F247="AAAC-35",1,3)</f>
        <v>3</v>
      </c>
      <c r="U247">
        <f>+DB!R247</f>
        <v>0</v>
      </c>
      <c r="V247">
        <f>+IF(DB!P247="1RI",1,0)+IF(DB!P247="2RI",2,0)</f>
        <v>0</v>
      </c>
      <c r="W247">
        <f>+IF(DB!P247="1RV",1,0)+IF(DB!P247="2RV",2,0)</f>
        <v>0</v>
      </c>
      <c r="X247">
        <f>+IF(DB!P247="RYI",1,0)</f>
        <v>0</v>
      </c>
      <c r="Y247">
        <f>+IF(DB!P247="RYV",1,0)</f>
        <v>0</v>
      </c>
      <c r="Z247">
        <f>+DB!U247</f>
        <v>0</v>
      </c>
      <c r="AA247">
        <f>+IF(DB!F247="AAAC-35",19.5,33)</f>
        <v>33</v>
      </c>
      <c r="AB247">
        <f>+DB!V247</f>
        <v>0</v>
      </c>
      <c r="AC247" t="str">
        <f t="shared" si="11"/>
        <v>56-4</v>
      </c>
      <c r="AD247" s="21" t="s">
        <v>72</v>
      </c>
      <c r="AE247">
        <f>+DB!X247</f>
        <v>0</v>
      </c>
      <c r="AF247" s="22">
        <f>+DB!Y247</f>
        <v>0</v>
      </c>
      <c r="AG247">
        <f>+DB!AK247</f>
        <v>0</v>
      </c>
    </row>
    <row r="248" spans="1:33" x14ac:dyDescent="0.2">
      <c r="A248">
        <f>+DB!C248</f>
        <v>0</v>
      </c>
      <c r="B248">
        <f>+DB!D248</f>
        <v>0</v>
      </c>
      <c r="C248">
        <f>+DB!E248</f>
        <v>0</v>
      </c>
      <c r="D248">
        <f t="shared" si="9"/>
        <v>0</v>
      </c>
      <c r="E248">
        <f>+DB!G248</f>
        <v>0</v>
      </c>
      <c r="F248">
        <f>+DB!H248</f>
        <v>0</v>
      </c>
      <c r="G248">
        <f>+DB!N248</f>
        <v>0</v>
      </c>
      <c r="H248">
        <f>+DB!O248</f>
        <v>0</v>
      </c>
      <c r="I248">
        <f>+DB!I248</f>
        <v>0</v>
      </c>
      <c r="J248">
        <f>+DB!J248</f>
        <v>0</v>
      </c>
      <c r="K248">
        <f>+DB!L248</f>
        <v>0</v>
      </c>
      <c r="L248" t="str">
        <f t="shared" si="10"/>
        <v/>
      </c>
      <c r="M248" t="str">
        <f>+IF(LEFT(DB!M248,3)="13/","CAC","MAD")</f>
        <v>MAD</v>
      </c>
      <c r="N248" t="str">
        <f>+RIGHT(DB!M248,6)</f>
        <v/>
      </c>
      <c r="O248">
        <v>95</v>
      </c>
      <c r="P248">
        <v>5</v>
      </c>
      <c r="Q248">
        <f>+DB!AB248</f>
        <v>0</v>
      </c>
      <c r="R248">
        <f>+DB!K248</f>
        <v>0</v>
      </c>
      <c r="S248">
        <f>+DB!F248</f>
        <v>0</v>
      </c>
      <c r="T248">
        <f>+IF(DB!F248="AAAC-35",1,3)</f>
        <v>3</v>
      </c>
      <c r="U248">
        <f>+DB!R248</f>
        <v>0</v>
      </c>
      <c r="V248">
        <f>+IF(DB!P248="1RI",1,0)+IF(DB!P248="2RI",2,0)</f>
        <v>0</v>
      </c>
      <c r="W248">
        <f>+IF(DB!P248="1RV",1,0)+IF(DB!P248="2RV",2,0)</f>
        <v>0</v>
      </c>
      <c r="X248">
        <f>+IF(DB!P248="RYI",1,0)</f>
        <v>0</v>
      </c>
      <c r="Y248">
        <f>+IF(DB!P248="RYV",1,0)</f>
        <v>0</v>
      </c>
      <c r="Z248">
        <f>+DB!U248</f>
        <v>0</v>
      </c>
      <c r="AA248">
        <f>+IF(DB!F248="AAAC-35",19.5,33)</f>
        <v>33</v>
      </c>
      <c r="AB248">
        <f>+DB!V248</f>
        <v>0</v>
      </c>
      <c r="AC248" t="str">
        <f t="shared" si="11"/>
        <v>56-4</v>
      </c>
      <c r="AD248" s="21" t="s">
        <v>72</v>
      </c>
      <c r="AE248">
        <f>+DB!X248</f>
        <v>0</v>
      </c>
      <c r="AF248" s="22">
        <f>+DB!Y248</f>
        <v>0</v>
      </c>
      <c r="AG248">
        <f>+DB!AK248</f>
        <v>0</v>
      </c>
    </row>
    <row r="249" spans="1:33" x14ac:dyDescent="0.2">
      <c r="A249">
        <f>+DB!C249</f>
        <v>0</v>
      </c>
      <c r="B249">
        <f>+DB!D249</f>
        <v>0</v>
      </c>
      <c r="C249">
        <f>+DB!E249</f>
        <v>0</v>
      </c>
      <c r="D249">
        <f t="shared" si="9"/>
        <v>0</v>
      </c>
      <c r="E249">
        <f>+DB!G249</f>
        <v>0</v>
      </c>
      <c r="F249">
        <f>+DB!H249</f>
        <v>0</v>
      </c>
      <c r="G249">
        <f>+DB!N249</f>
        <v>0</v>
      </c>
      <c r="H249">
        <f>+DB!O249</f>
        <v>0</v>
      </c>
      <c r="I249">
        <f>+DB!I249</f>
        <v>0</v>
      </c>
      <c r="J249">
        <f>+DB!J249</f>
        <v>0</v>
      </c>
      <c r="K249">
        <f>+DB!L249</f>
        <v>0</v>
      </c>
      <c r="L249" t="str">
        <f t="shared" si="10"/>
        <v/>
      </c>
      <c r="M249" t="str">
        <f>+IF(LEFT(DB!M249,3)="13/","CAC","MAD")</f>
        <v>MAD</v>
      </c>
      <c r="N249" t="str">
        <f>+RIGHT(DB!M249,6)</f>
        <v/>
      </c>
      <c r="O249">
        <v>95</v>
      </c>
      <c r="P249">
        <v>5</v>
      </c>
      <c r="Q249">
        <f>+DB!AB249</f>
        <v>0</v>
      </c>
      <c r="R249">
        <f>+DB!K249</f>
        <v>0</v>
      </c>
      <c r="S249">
        <f>+DB!F249</f>
        <v>0</v>
      </c>
      <c r="T249">
        <f>+IF(DB!F249="AAAC-35",1,3)</f>
        <v>3</v>
      </c>
      <c r="U249">
        <f>+DB!R249</f>
        <v>0</v>
      </c>
      <c r="V249">
        <f>+IF(DB!P249="1RI",1,0)+IF(DB!P249="2RI",2,0)</f>
        <v>0</v>
      </c>
      <c r="W249">
        <f>+IF(DB!P249="1RV",1,0)+IF(DB!P249="2RV",2,0)</f>
        <v>0</v>
      </c>
      <c r="X249">
        <f>+IF(DB!P249="RYI",1,0)</f>
        <v>0</v>
      </c>
      <c r="Y249">
        <f>+IF(DB!P249="RYV",1,0)</f>
        <v>0</v>
      </c>
      <c r="Z249">
        <f>+DB!U249</f>
        <v>0</v>
      </c>
      <c r="AA249">
        <f>+IF(DB!F249="AAAC-35",19.5,33)</f>
        <v>33</v>
      </c>
      <c r="AB249">
        <f>+DB!V249</f>
        <v>0</v>
      </c>
      <c r="AC249" t="str">
        <f t="shared" si="11"/>
        <v>56-4</v>
      </c>
      <c r="AD249" s="21" t="s">
        <v>72</v>
      </c>
      <c r="AE249">
        <f>+DB!X249</f>
        <v>0</v>
      </c>
      <c r="AF249" s="22">
        <f>+DB!Y249</f>
        <v>0</v>
      </c>
      <c r="AG249">
        <f>+DB!AK249</f>
        <v>0</v>
      </c>
    </row>
    <row r="250" spans="1:33" x14ac:dyDescent="0.2">
      <c r="A250">
        <f>+DB!C250</f>
        <v>0</v>
      </c>
      <c r="B250">
        <f>+DB!D250</f>
        <v>0</v>
      </c>
      <c r="C250">
        <f>+DB!E250</f>
        <v>0</v>
      </c>
      <c r="D250">
        <f t="shared" si="9"/>
        <v>0</v>
      </c>
      <c r="E250">
        <f>+DB!G250</f>
        <v>0</v>
      </c>
      <c r="F250">
        <f>+DB!H250</f>
        <v>0</v>
      </c>
      <c r="G250">
        <f>+DB!N250</f>
        <v>0</v>
      </c>
      <c r="H250">
        <f>+DB!O250</f>
        <v>0</v>
      </c>
      <c r="I250">
        <f>+DB!I250</f>
        <v>0</v>
      </c>
      <c r="J250">
        <f>+DB!J250</f>
        <v>0</v>
      </c>
      <c r="K250">
        <f>+DB!L250</f>
        <v>0</v>
      </c>
      <c r="L250" t="str">
        <f t="shared" si="10"/>
        <v/>
      </c>
      <c r="M250" t="str">
        <f>+IF(LEFT(DB!M250,3)="13/","CAC","MAD")</f>
        <v>MAD</v>
      </c>
      <c r="N250" t="str">
        <f>+RIGHT(DB!M250,6)</f>
        <v/>
      </c>
      <c r="O250">
        <v>95</v>
      </c>
      <c r="P250">
        <v>5</v>
      </c>
      <c r="Q250">
        <f>+DB!AB250</f>
        <v>0</v>
      </c>
      <c r="R250">
        <f>+DB!K250</f>
        <v>0</v>
      </c>
      <c r="S250">
        <f>+DB!F250</f>
        <v>0</v>
      </c>
      <c r="T250">
        <f>+IF(DB!F250="AAAC-35",1,3)</f>
        <v>3</v>
      </c>
      <c r="U250">
        <f>+DB!R250</f>
        <v>0</v>
      </c>
      <c r="V250">
        <f>+IF(DB!P250="1RI",1,0)+IF(DB!P250="2RI",2,0)</f>
        <v>0</v>
      </c>
      <c r="W250">
        <f>+IF(DB!P250="1RV",1,0)+IF(DB!P250="2RV",2,0)</f>
        <v>0</v>
      </c>
      <c r="X250">
        <f>+IF(DB!P250="RYI",1,0)</f>
        <v>0</v>
      </c>
      <c r="Y250">
        <f>+IF(DB!P250="RYV",1,0)</f>
        <v>0</v>
      </c>
      <c r="Z250">
        <f>+DB!U250</f>
        <v>0</v>
      </c>
      <c r="AA250">
        <f>+IF(DB!F250="AAAC-35",19.5,33)</f>
        <v>33</v>
      </c>
      <c r="AB250">
        <f>+DB!V250</f>
        <v>0</v>
      </c>
      <c r="AC250" t="str">
        <f t="shared" si="11"/>
        <v>56-4</v>
      </c>
      <c r="AD250" s="21" t="s">
        <v>72</v>
      </c>
      <c r="AE250">
        <f>+DB!X250</f>
        <v>0</v>
      </c>
      <c r="AF250" s="22">
        <f>+DB!Y250</f>
        <v>0</v>
      </c>
      <c r="AG250">
        <f>+DB!AK250</f>
        <v>0</v>
      </c>
    </row>
    <row r="251" spans="1:33" x14ac:dyDescent="0.2">
      <c r="A251">
        <f>+DB!C251</f>
        <v>0</v>
      </c>
      <c r="B251">
        <f>+DB!D251</f>
        <v>0</v>
      </c>
      <c r="C251">
        <f>+DB!E251</f>
        <v>0</v>
      </c>
      <c r="D251">
        <f t="shared" si="9"/>
        <v>0</v>
      </c>
      <c r="E251">
        <f>+DB!G251</f>
        <v>0</v>
      </c>
      <c r="F251">
        <f>+DB!H251</f>
        <v>0</v>
      </c>
      <c r="G251">
        <f>+DB!N251</f>
        <v>0</v>
      </c>
      <c r="H251">
        <f>+DB!O251</f>
        <v>0</v>
      </c>
      <c r="I251">
        <f>+DB!I251</f>
        <v>0</v>
      </c>
      <c r="J251">
        <f>+DB!J251</f>
        <v>0</v>
      </c>
      <c r="K251">
        <f>+DB!L251</f>
        <v>0</v>
      </c>
      <c r="L251" t="str">
        <f t="shared" si="10"/>
        <v/>
      </c>
      <c r="M251" t="str">
        <f>+IF(LEFT(DB!M251,3)="13/","CAC","MAD")</f>
        <v>MAD</v>
      </c>
      <c r="N251" t="str">
        <f>+RIGHT(DB!M251,6)</f>
        <v/>
      </c>
      <c r="O251">
        <v>95</v>
      </c>
      <c r="P251">
        <v>5</v>
      </c>
      <c r="Q251">
        <f>+DB!AB251</f>
        <v>0</v>
      </c>
      <c r="R251">
        <f>+DB!K251</f>
        <v>0</v>
      </c>
      <c r="S251">
        <f>+DB!F251</f>
        <v>0</v>
      </c>
      <c r="T251">
        <f>+IF(DB!F251="AAAC-35",1,3)</f>
        <v>3</v>
      </c>
      <c r="U251">
        <f>+DB!R251</f>
        <v>0</v>
      </c>
      <c r="V251">
        <f>+IF(DB!P251="1RI",1,0)+IF(DB!P251="2RI",2,0)</f>
        <v>0</v>
      </c>
      <c r="W251">
        <f>+IF(DB!P251="1RV",1,0)+IF(DB!P251="2RV",2,0)</f>
        <v>0</v>
      </c>
      <c r="X251">
        <f>+IF(DB!P251="RYI",1,0)</f>
        <v>0</v>
      </c>
      <c r="Y251">
        <f>+IF(DB!P251="RYV",1,0)</f>
        <v>0</v>
      </c>
      <c r="Z251">
        <f>+DB!U251</f>
        <v>0</v>
      </c>
      <c r="AA251">
        <f>+IF(DB!F251="AAAC-35",19.5,33)</f>
        <v>33</v>
      </c>
      <c r="AB251">
        <f>+DB!V251</f>
        <v>0</v>
      </c>
      <c r="AC251" t="str">
        <f t="shared" si="11"/>
        <v>56-4</v>
      </c>
      <c r="AD251" s="21" t="s">
        <v>72</v>
      </c>
      <c r="AE251">
        <f>+DB!X251</f>
        <v>0</v>
      </c>
      <c r="AF251" s="22">
        <f>+DB!Y251</f>
        <v>0</v>
      </c>
      <c r="AG251">
        <f>+DB!AK251</f>
        <v>0</v>
      </c>
    </row>
    <row r="252" spans="1:33" x14ac:dyDescent="0.2">
      <c r="A252">
        <f>+DB!C252</f>
        <v>0</v>
      </c>
      <c r="B252">
        <f>+DB!D252</f>
        <v>0</v>
      </c>
      <c r="C252">
        <f>+DB!E252</f>
        <v>0</v>
      </c>
      <c r="D252">
        <f t="shared" si="9"/>
        <v>0</v>
      </c>
      <c r="E252">
        <f>+DB!G252</f>
        <v>0</v>
      </c>
      <c r="F252">
        <f>+DB!H252</f>
        <v>0</v>
      </c>
      <c r="G252">
        <f>+DB!N252</f>
        <v>0</v>
      </c>
      <c r="H252">
        <f>+DB!O252</f>
        <v>0</v>
      </c>
      <c r="I252">
        <f>+DB!I252</f>
        <v>0</v>
      </c>
      <c r="J252">
        <f>+DB!J252</f>
        <v>0</v>
      </c>
      <c r="K252">
        <f>+DB!L252</f>
        <v>0</v>
      </c>
      <c r="L252" t="str">
        <f t="shared" si="10"/>
        <v/>
      </c>
      <c r="M252" t="str">
        <f>+IF(LEFT(DB!M252,3)="13/","CAC","MAD")</f>
        <v>MAD</v>
      </c>
      <c r="N252" t="str">
        <f>+RIGHT(DB!M252,6)</f>
        <v/>
      </c>
      <c r="O252">
        <v>95</v>
      </c>
      <c r="P252">
        <v>5</v>
      </c>
      <c r="Q252">
        <f>+DB!AB252</f>
        <v>0</v>
      </c>
      <c r="R252">
        <f>+DB!K252</f>
        <v>0</v>
      </c>
      <c r="S252">
        <f>+DB!F252</f>
        <v>0</v>
      </c>
      <c r="T252">
        <f>+IF(DB!F252="AAAC-35",1,3)</f>
        <v>3</v>
      </c>
      <c r="U252">
        <f>+DB!R252</f>
        <v>0</v>
      </c>
      <c r="V252">
        <f>+IF(DB!P252="1RI",1,0)+IF(DB!P252="2RI",2,0)</f>
        <v>0</v>
      </c>
      <c r="W252">
        <f>+IF(DB!P252="1RV",1,0)+IF(DB!P252="2RV",2,0)</f>
        <v>0</v>
      </c>
      <c r="X252">
        <f>+IF(DB!P252="RYI",1,0)</f>
        <v>0</v>
      </c>
      <c r="Y252">
        <f>+IF(DB!P252="RYV",1,0)</f>
        <v>0</v>
      </c>
      <c r="Z252">
        <f>+DB!U252</f>
        <v>0</v>
      </c>
      <c r="AA252">
        <f>+IF(DB!F252="AAAC-35",19.5,33)</f>
        <v>33</v>
      </c>
      <c r="AB252">
        <f>+DB!V252</f>
        <v>0</v>
      </c>
      <c r="AC252" t="str">
        <f t="shared" si="11"/>
        <v>56-4</v>
      </c>
      <c r="AD252" s="21" t="s">
        <v>72</v>
      </c>
      <c r="AE252">
        <f>+DB!X252</f>
        <v>0</v>
      </c>
      <c r="AF252" s="22">
        <f>+DB!Y252</f>
        <v>0</v>
      </c>
      <c r="AG252">
        <f>+DB!AK252</f>
        <v>0</v>
      </c>
    </row>
    <row r="253" spans="1:33" x14ac:dyDescent="0.2">
      <c r="A253">
        <f>+DB!C253</f>
        <v>0</v>
      </c>
      <c r="B253">
        <f>+DB!D253</f>
        <v>0</v>
      </c>
      <c r="C253">
        <f>+DB!E253</f>
        <v>0</v>
      </c>
      <c r="D253">
        <f t="shared" si="9"/>
        <v>0</v>
      </c>
      <c r="E253">
        <f>+DB!G253</f>
        <v>0</v>
      </c>
      <c r="F253">
        <f>+DB!H253</f>
        <v>0</v>
      </c>
      <c r="G253">
        <f>+DB!N253</f>
        <v>0</v>
      </c>
      <c r="H253">
        <f>+DB!O253</f>
        <v>0</v>
      </c>
      <c r="I253">
        <f>+DB!I253</f>
        <v>0</v>
      </c>
      <c r="J253">
        <f>+DB!J253</f>
        <v>0</v>
      </c>
      <c r="K253">
        <f>+DB!L253</f>
        <v>0</v>
      </c>
      <c r="L253" t="str">
        <f t="shared" si="10"/>
        <v/>
      </c>
      <c r="M253" t="str">
        <f>+IF(LEFT(DB!M253,3)="13/","CAC","MAD")</f>
        <v>MAD</v>
      </c>
      <c r="N253" t="str">
        <f>+RIGHT(DB!M253,6)</f>
        <v/>
      </c>
      <c r="O253">
        <v>95</v>
      </c>
      <c r="P253">
        <v>5</v>
      </c>
      <c r="Q253">
        <f>+DB!AB253</f>
        <v>0</v>
      </c>
      <c r="R253">
        <f>+DB!K253</f>
        <v>0</v>
      </c>
      <c r="S253">
        <f>+DB!F253</f>
        <v>0</v>
      </c>
      <c r="T253">
        <f>+IF(DB!F253="AAAC-35",1,3)</f>
        <v>3</v>
      </c>
      <c r="U253">
        <f>+DB!R253</f>
        <v>0</v>
      </c>
      <c r="V253">
        <f>+IF(DB!P253="1RI",1,0)+IF(DB!P253="2RI",2,0)</f>
        <v>0</v>
      </c>
      <c r="W253">
        <f>+IF(DB!P253="1RV",1,0)+IF(DB!P253="2RV",2,0)</f>
        <v>0</v>
      </c>
      <c r="X253">
        <f>+IF(DB!P253="RYI",1,0)</f>
        <v>0</v>
      </c>
      <c r="Y253">
        <f>+IF(DB!P253="RYV",1,0)</f>
        <v>0</v>
      </c>
      <c r="Z253">
        <f>+DB!U253</f>
        <v>0</v>
      </c>
      <c r="AA253">
        <f>+IF(DB!F253="AAAC-35",19.5,33)</f>
        <v>33</v>
      </c>
      <c r="AB253">
        <f>+DB!V253</f>
        <v>0</v>
      </c>
      <c r="AC253" t="str">
        <f t="shared" si="11"/>
        <v>56-4</v>
      </c>
      <c r="AD253" s="21" t="s">
        <v>72</v>
      </c>
      <c r="AE253">
        <f>+DB!X253</f>
        <v>0</v>
      </c>
      <c r="AF253" s="22">
        <f>+DB!Y253</f>
        <v>0</v>
      </c>
      <c r="AG253">
        <f>+DB!AK253</f>
        <v>0</v>
      </c>
    </row>
    <row r="254" spans="1:33" x14ac:dyDescent="0.2">
      <c r="A254">
        <f>+DB!C254</f>
        <v>0</v>
      </c>
      <c r="B254">
        <f>+DB!D254</f>
        <v>0</v>
      </c>
      <c r="C254">
        <f>+DB!E254</f>
        <v>0</v>
      </c>
      <c r="D254">
        <f t="shared" si="9"/>
        <v>0</v>
      </c>
      <c r="E254">
        <f>+DB!G254</f>
        <v>0</v>
      </c>
      <c r="F254">
        <f>+DB!H254</f>
        <v>0</v>
      </c>
      <c r="G254">
        <f>+DB!N254</f>
        <v>0</v>
      </c>
      <c r="H254">
        <f>+DB!O254</f>
        <v>0</v>
      </c>
      <c r="I254">
        <f>+DB!I254</f>
        <v>0</v>
      </c>
      <c r="J254">
        <f>+DB!J254</f>
        <v>0</v>
      </c>
      <c r="K254">
        <f>+DB!L254</f>
        <v>0</v>
      </c>
      <c r="L254" t="str">
        <f t="shared" si="10"/>
        <v/>
      </c>
      <c r="M254" t="str">
        <f>+IF(LEFT(DB!M254,3)="13/","CAC","MAD")</f>
        <v>MAD</v>
      </c>
      <c r="N254" t="str">
        <f>+RIGHT(DB!M254,6)</f>
        <v/>
      </c>
      <c r="O254">
        <v>95</v>
      </c>
      <c r="P254">
        <v>5</v>
      </c>
      <c r="Q254">
        <f>+DB!AB254</f>
        <v>0</v>
      </c>
      <c r="R254">
        <f>+DB!K254</f>
        <v>0</v>
      </c>
      <c r="S254">
        <f>+DB!F254</f>
        <v>0</v>
      </c>
      <c r="T254">
        <f>+IF(DB!F254="AAAC-35",1,3)</f>
        <v>3</v>
      </c>
      <c r="U254">
        <f>+DB!R254</f>
        <v>0</v>
      </c>
      <c r="V254">
        <f>+IF(DB!P254="1RI",1,0)+IF(DB!P254="2RI",2,0)</f>
        <v>0</v>
      </c>
      <c r="W254">
        <f>+IF(DB!P254="1RV",1,0)+IF(DB!P254="2RV",2,0)</f>
        <v>0</v>
      </c>
      <c r="X254">
        <f>+IF(DB!P254="RYI",1,0)</f>
        <v>0</v>
      </c>
      <c r="Y254">
        <f>+IF(DB!P254="RYV",1,0)</f>
        <v>0</v>
      </c>
      <c r="Z254">
        <f>+DB!U254</f>
        <v>0</v>
      </c>
      <c r="AA254">
        <f>+IF(DB!F254="AAAC-35",19.5,33)</f>
        <v>33</v>
      </c>
      <c r="AB254">
        <f>+DB!V254</f>
        <v>0</v>
      </c>
      <c r="AC254" t="str">
        <f t="shared" si="11"/>
        <v>56-4</v>
      </c>
      <c r="AD254" s="21" t="s">
        <v>72</v>
      </c>
      <c r="AE254">
        <f>+DB!X254</f>
        <v>0</v>
      </c>
      <c r="AF254" s="22">
        <f>+DB!Y254</f>
        <v>0</v>
      </c>
      <c r="AG254">
        <f>+DB!AK254</f>
        <v>0</v>
      </c>
    </row>
    <row r="255" spans="1:33" x14ac:dyDescent="0.2">
      <c r="A255">
        <f>+DB!C255</f>
        <v>0</v>
      </c>
      <c r="B255">
        <f>+DB!D255</f>
        <v>0</v>
      </c>
      <c r="C255">
        <f>+DB!E255</f>
        <v>0</v>
      </c>
      <c r="D255">
        <f t="shared" si="9"/>
        <v>0</v>
      </c>
      <c r="E255">
        <f>+DB!G255</f>
        <v>0</v>
      </c>
      <c r="F255">
        <f>+DB!H255</f>
        <v>0</v>
      </c>
      <c r="G255">
        <f>+DB!N255</f>
        <v>0</v>
      </c>
      <c r="H255">
        <f>+DB!O255</f>
        <v>0</v>
      </c>
      <c r="I255">
        <f>+DB!I255</f>
        <v>0</v>
      </c>
      <c r="J255">
        <f>+DB!J255</f>
        <v>0</v>
      </c>
      <c r="K255">
        <f>+DB!L255</f>
        <v>0</v>
      </c>
      <c r="L255" t="str">
        <f t="shared" si="10"/>
        <v/>
      </c>
      <c r="M255" t="str">
        <f>+IF(LEFT(DB!M255,3)="13/","CAC","MAD")</f>
        <v>MAD</v>
      </c>
      <c r="N255" t="str">
        <f>+RIGHT(DB!M255,6)</f>
        <v/>
      </c>
      <c r="O255">
        <v>95</v>
      </c>
      <c r="P255">
        <v>5</v>
      </c>
      <c r="Q255">
        <f>+DB!AB255</f>
        <v>0</v>
      </c>
      <c r="R255">
        <f>+DB!K255</f>
        <v>0</v>
      </c>
      <c r="S255">
        <f>+DB!F255</f>
        <v>0</v>
      </c>
      <c r="T255">
        <f>+IF(DB!F255="AAAC-35",1,3)</f>
        <v>3</v>
      </c>
      <c r="U255">
        <f>+DB!R255</f>
        <v>0</v>
      </c>
      <c r="V255">
        <f>+IF(DB!P255="1RI",1,0)+IF(DB!P255="2RI",2,0)</f>
        <v>0</v>
      </c>
      <c r="W255">
        <f>+IF(DB!P255="1RV",1,0)+IF(DB!P255="2RV",2,0)</f>
        <v>0</v>
      </c>
      <c r="X255">
        <f>+IF(DB!P255="RYI",1,0)</f>
        <v>0</v>
      </c>
      <c r="Y255">
        <f>+IF(DB!P255="RYV",1,0)</f>
        <v>0</v>
      </c>
      <c r="Z255">
        <f>+DB!U255</f>
        <v>0</v>
      </c>
      <c r="AA255">
        <f>+IF(DB!F255="AAAC-35",19.5,33)</f>
        <v>33</v>
      </c>
      <c r="AB255">
        <f>+DB!V255</f>
        <v>0</v>
      </c>
      <c r="AC255" t="str">
        <f t="shared" si="11"/>
        <v>56-4</v>
      </c>
      <c r="AD255" s="21" t="s">
        <v>72</v>
      </c>
      <c r="AE255">
        <f>+DB!X255</f>
        <v>0</v>
      </c>
      <c r="AF255" s="22">
        <f>+DB!Y255</f>
        <v>0</v>
      </c>
      <c r="AG255">
        <f>+DB!AK255</f>
        <v>0</v>
      </c>
    </row>
    <row r="256" spans="1:33" x14ac:dyDescent="0.2">
      <c r="A256">
        <f>+DB!C256</f>
        <v>0</v>
      </c>
      <c r="B256">
        <f>+DB!D256</f>
        <v>0</v>
      </c>
      <c r="C256">
        <f>+DB!E256</f>
        <v>0</v>
      </c>
      <c r="D256">
        <f t="shared" si="9"/>
        <v>0</v>
      </c>
      <c r="E256">
        <f>+DB!G256</f>
        <v>0</v>
      </c>
      <c r="F256">
        <f>+DB!H256</f>
        <v>0</v>
      </c>
      <c r="G256">
        <f>+DB!N256</f>
        <v>0</v>
      </c>
      <c r="H256">
        <f>+DB!O256</f>
        <v>0</v>
      </c>
      <c r="I256">
        <f>+DB!I256</f>
        <v>0</v>
      </c>
      <c r="J256">
        <f>+DB!J256</f>
        <v>0</v>
      </c>
      <c r="K256">
        <f>+DB!L256</f>
        <v>0</v>
      </c>
      <c r="L256" t="str">
        <f t="shared" si="10"/>
        <v/>
      </c>
      <c r="M256" t="str">
        <f>+IF(LEFT(DB!M256,3)="13/","CAC","MAD")</f>
        <v>MAD</v>
      </c>
      <c r="N256" t="str">
        <f>+RIGHT(DB!M256,6)</f>
        <v/>
      </c>
      <c r="O256">
        <v>95</v>
      </c>
      <c r="P256">
        <v>5</v>
      </c>
      <c r="Q256">
        <f>+DB!AB256</f>
        <v>0</v>
      </c>
      <c r="R256">
        <f>+DB!K256</f>
        <v>0</v>
      </c>
      <c r="S256">
        <f>+DB!F256</f>
        <v>0</v>
      </c>
      <c r="T256">
        <f>+IF(DB!F256="AAAC-35",1,3)</f>
        <v>3</v>
      </c>
      <c r="U256">
        <f>+DB!R256</f>
        <v>0</v>
      </c>
      <c r="V256">
        <f>+IF(DB!P256="1RI",1,0)+IF(DB!P256="2RI",2,0)</f>
        <v>0</v>
      </c>
      <c r="W256">
        <f>+IF(DB!P256="1RV",1,0)+IF(DB!P256="2RV",2,0)</f>
        <v>0</v>
      </c>
      <c r="X256">
        <f>+IF(DB!P256="RYI",1,0)</f>
        <v>0</v>
      </c>
      <c r="Y256">
        <f>+IF(DB!P256="RYV",1,0)</f>
        <v>0</v>
      </c>
      <c r="Z256">
        <f>+DB!U256</f>
        <v>0</v>
      </c>
      <c r="AA256">
        <f>+IF(DB!F256="AAAC-35",19.5,33)</f>
        <v>33</v>
      </c>
      <c r="AB256">
        <f>+DB!V256</f>
        <v>0</v>
      </c>
      <c r="AC256" t="str">
        <f t="shared" si="11"/>
        <v>56-4</v>
      </c>
      <c r="AD256" s="21" t="s">
        <v>72</v>
      </c>
      <c r="AE256">
        <f>+DB!X256</f>
        <v>0</v>
      </c>
      <c r="AF256" s="22">
        <f>+DB!Y256</f>
        <v>0</v>
      </c>
      <c r="AG256">
        <f>+DB!AK256</f>
        <v>0</v>
      </c>
    </row>
    <row r="257" spans="1:33" x14ac:dyDescent="0.2">
      <c r="A257">
        <f>+DB!C257</f>
        <v>0</v>
      </c>
      <c r="B257">
        <f>+DB!D257</f>
        <v>0</v>
      </c>
      <c r="C257">
        <f>+DB!E257</f>
        <v>0</v>
      </c>
      <c r="D257">
        <f t="shared" si="9"/>
        <v>0</v>
      </c>
      <c r="E257">
        <f>+DB!G257</f>
        <v>0</v>
      </c>
      <c r="F257">
        <f>+DB!H257</f>
        <v>0</v>
      </c>
      <c r="G257">
        <f>+DB!N257</f>
        <v>0</v>
      </c>
      <c r="H257">
        <f>+DB!O257</f>
        <v>0</v>
      </c>
      <c r="I257">
        <f>+DB!I257</f>
        <v>0</v>
      </c>
      <c r="J257">
        <f>+DB!J257</f>
        <v>0</v>
      </c>
      <c r="K257">
        <f>+DB!L257</f>
        <v>0</v>
      </c>
      <c r="L257" t="str">
        <f t="shared" si="10"/>
        <v/>
      </c>
      <c r="M257" t="str">
        <f>+IF(LEFT(DB!M257,3)="13/","CAC","MAD")</f>
        <v>MAD</v>
      </c>
      <c r="N257" t="str">
        <f>+RIGHT(DB!M257,6)</f>
        <v/>
      </c>
      <c r="O257">
        <v>95</v>
      </c>
      <c r="P257">
        <v>5</v>
      </c>
      <c r="Q257">
        <f>+DB!AB257</f>
        <v>0</v>
      </c>
      <c r="R257">
        <f>+DB!K257</f>
        <v>0</v>
      </c>
      <c r="S257">
        <f>+DB!F257</f>
        <v>0</v>
      </c>
      <c r="T257">
        <f>+IF(DB!F257="AAAC-35",1,3)</f>
        <v>3</v>
      </c>
      <c r="U257">
        <f>+DB!R257</f>
        <v>0</v>
      </c>
      <c r="V257">
        <f>+IF(DB!P257="1RI",1,0)+IF(DB!P257="2RI",2,0)</f>
        <v>0</v>
      </c>
      <c r="W257">
        <f>+IF(DB!P257="1RV",1,0)+IF(DB!P257="2RV",2,0)</f>
        <v>0</v>
      </c>
      <c r="X257">
        <f>+IF(DB!P257="RYI",1,0)</f>
        <v>0</v>
      </c>
      <c r="Y257">
        <f>+IF(DB!P257="RYV",1,0)</f>
        <v>0</v>
      </c>
      <c r="Z257">
        <f>+DB!U257</f>
        <v>0</v>
      </c>
      <c r="AA257">
        <f>+IF(DB!F257="AAAC-35",19.5,33)</f>
        <v>33</v>
      </c>
      <c r="AB257">
        <f>+DB!V257</f>
        <v>0</v>
      </c>
      <c r="AC257" t="str">
        <f t="shared" si="11"/>
        <v>56-4</v>
      </c>
      <c r="AD257" s="21" t="s">
        <v>72</v>
      </c>
      <c r="AE257">
        <f>+DB!X257</f>
        <v>0</v>
      </c>
      <c r="AF257" s="22">
        <f>+DB!Y257</f>
        <v>0</v>
      </c>
      <c r="AG257">
        <f>+DB!AK257</f>
        <v>0</v>
      </c>
    </row>
    <row r="258" spans="1:33" x14ac:dyDescent="0.2">
      <c r="A258">
        <f>+DB!C258</f>
        <v>0</v>
      </c>
      <c r="B258">
        <f>+DB!D258</f>
        <v>0</v>
      </c>
      <c r="C258">
        <f>+DB!E258</f>
        <v>0</v>
      </c>
      <c r="D258">
        <f t="shared" si="9"/>
        <v>0</v>
      </c>
      <c r="E258">
        <f>+DB!G258</f>
        <v>0</v>
      </c>
      <c r="F258">
        <f>+DB!H258</f>
        <v>0</v>
      </c>
      <c r="G258">
        <f>+DB!N258</f>
        <v>0</v>
      </c>
      <c r="H258">
        <f>+DB!O258</f>
        <v>0</v>
      </c>
      <c r="I258">
        <f>+DB!I258</f>
        <v>0</v>
      </c>
      <c r="J258">
        <f>+DB!J258</f>
        <v>0</v>
      </c>
      <c r="K258">
        <f>+DB!L258</f>
        <v>0</v>
      </c>
      <c r="L258" t="str">
        <f t="shared" si="10"/>
        <v/>
      </c>
      <c r="M258" t="str">
        <f>+IF(LEFT(DB!M258,3)="13/","CAC","MAD")</f>
        <v>MAD</v>
      </c>
      <c r="N258" t="str">
        <f>+RIGHT(DB!M258,6)</f>
        <v/>
      </c>
      <c r="O258">
        <v>95</v>
      </c>
      <c r="P258">
        <v>5</v>
      </c>
      <c r="Q258">
        <f>+DB!AB258</f>
        <v>0</v>
      </c>
      <c r="R258">
        <f>+DB!K258</f>
        <v>0</v>
      </c>
      <c r="S258">
        <f>+DB!F258</f>
        <v>0</v>
      </c>
      <c r="T258">
        <f>+IF(DB!F258="AAAC-35",1,3)</f>
        <v>3</v>
      </c>
      <c r="U258">
        <f>+DB!R258</f>
        <v>0</v>
      </c>
      <c r="V258">
        <f>+IF(DB!P258="1RI",1,0)+IF(DB!P258="2RI",2,0)</f>
        <v>0</v>
      </c>
      <c r="W258">
        <f>+IF(DB!P258="1RV",1,0)+IF(DB!P258="2RV",2,0)</f>
        <v>0</v>
      </c>
      <c r="X258">
        <f>+IF(DB!P258="RYI",1,0)</f>
        <v>0</v>
      </c>
      <c r="Y258">
        <f>+IF(DB!P258="RYV",1,0)</f>
        <v>0</v>
      </c>
      <c r="Z258">
        <f>+DB!U258</f>
        <v>0</v>
      </c>
      <c r="AA258">
        <f>+IF(DB!F258="AAAC-35",19.5,33)</f>
        <v>33</v>
      </c>
      <c r="AB258">
        <f>+DB!V258</f>
        <v>0</v>
      </c>
      <c r="AC258" t="str">
        <f t="shared" si="11"/>
        <v>56-4</v>
      </c>
      <c r="AD258" s="21" t="s">
        <v>72</v>
      </c>
      <c r="AE258">
        <f>+DB!X258</f>
        <v>0</v>
      </c>
      <c r="AF258" s="22">
        <f>+DB!Y258</f>
        <v>0</v>
      </c>
      <c r="AG258">
        <f>+DB!AK258</f>
        <v>0</v>
      </c>
    </row>
    <row r="259" spans="1:33" x14ac:dyDescent="0.2">
      <c r="A259">
        <f>+DB!C259</f>
        <v>0</v>
      </c>
      <c r="B259">
        <f>+DB!D259</f>
        <v>0</v>
      </c>
      <c r="C259">
        <f>+DB!E259</f>
        <v>0</v>
      </c>
      <c r="D259">
        <f t="shared" ref="D259:D322" si="12">+IF(B259="PSEC-0PA","K",0)</f>
        <v>0</v>
      </c>
      <c r="E259">
        <f>+DB!G259</f>
        <v>0</v>
      </c>
      <c r="F259">
        <f>+DB!H259</f>
        <v>0</v>
      </c>
      <c r="G259">
        <f>+DB!N259</f>
        <v>0</v>
      </c>
      <c r="H259">
        <f>+DB!O259</f>
        <v>0</v>
      </c>
      <c r="I259">
        <f>+DB!I259</f>
        <v>0</v>
      </c>
      <c r="J259">
        <f>+DB!J259</f>
        <v>0</v>
      </c>
      <c r="K259">
        <f>+DB!L259</f>
        <v>0</v>
      </c>
      <c r="L259" t="str">
        <f t="shared" ref="L259:L322" si="13">+LEFT(N259,2)</f>
        <v/>
      </c>
      <c r="M259" t="str">
        <f>+IF(LEFT(DB!M259,3)="13/","CAC","MAD")</f>
        <v>MAD</v>
      </c>
      <c r="N259" t="str">
        <f>+RIGHT(DB!M259,6)</f>
        <v/>
      </c>
      <c r="O259">
        <v>95</v>
      </c>
      <c r="P259">
        <v>5</v>
      </c>
      <c r="Q259">
        <f>+DB!AB259</f>
        <v>0</v>
      </c>
      <c r="R259">
        <f>+DB!K259</f>
        <v>0</v>
      </c>
      <c r="S259">
        <f>+DB!F259</f>
        <v>0</v>
      </c>
      <c r="T259">
        <f>+IF(DB!F259="AAAC-35",1,3)</f>
        <v>3</v>
      </c>
      <c r="U259">
        <f>+DB!R259</f>
        <v>0</v>
      </c>
      <c r="V259">
        <f>+IF(DB!P259="1RI",1,0)+IF(DB!P259="2RI",2,0)</f>
        <v>0</v>
      </c>
      <c r="W259">
        <f>+IF(DB!P259="1RV",1,0)+IF(DB!P259="2RV",2,0)</f>
        <v>0</v>
      </c>
      <c r="X259">
        <f>+IF(DB!P259="RYI",1,0)</f>
        <v>0</v>
      </c>
      <c r="Y259">
        <f>+IF(DB!P259="RYV",1,0)</f>
        <v>0</v>
      </c>
      <c r="Z259">
        <f>+DB!U259</f>
        <v>0</v>
      </c>
      <c r="AA259">
        <f>+IF(DB!F259="AAAC-35",19.5,33)</f>
        <v>33</v>
      </c>
      <c r="AB259">
        <f>+DB!V259</f>
        <v>0</v>
      </c>
      <c r="AC259" t="str">
        <f t="shared" ref="AC259:AC322" si="14">+IF(F259&gt;1675,"56-5","56-4")</f>
        <v>56-4</v>
      </c>
      <c r="AD259" s="21" t="s">
        <v>72</v>
      </c>
      <c r="AE259">
        <f>+DB!X259</f>
        <v>0</v>
      </c>
      <c r="AF259" s="22">
        <f>+DB!Y259</f>
        <v>0</v>
      </c>
      <c r="AG259">
        <f>+DB!AK259</f>
        <v>0</v>
      </c>
    </row>
    <row r="260" spans="1:33" x14ac:dyDescent="0.2">
      <c r="A260">
        <f>+DB!C260</f>
        <v>0</v>
      </c>
      <c r="B260">
        <f>+DB!D260</f>
        <v>0</v>
      </c>
      <c r="C260">
        <f>+DB!E260</f>
        <v>0</v>
      </c>
      <c r="D260">
        <f t="shared" si="12"/>
        <v>0</v>
      </c>
      <c r="E260">
        <f>+DB!G260</f>
        <v>0</v>
      </c>
      <c r="F260">
        <f>+DB!H260</f>
        <v>0</v>
      </c>
      <c r="G260">
        <f>+DB!N260</f>
        <v>0</v>
      </c>
      <c r="H260">
        <f>+DB!O260</f>
        <v>0</v>
      </c>
      <c r="I260">
        <f>+DB!I260</f>
        <v>0</v>
      </c>
      <c r="J260">
        <f>+DB!J260</f>
        <v>0</v>
      </c>
      <c r="K260">
        <f>+DB!L260</f>
        <v>0</v>
      </c>
      <c r="L260" t="str">
        <f t="shared" si="13"/>
        <v/>
      </c>
      <c r="M260" t="str">
        <f>+IF(LEFT(DB!M260,3)="13/","CAC","MAD")</f>
        <v>MAD</v>
      </c>
      <c r="N260" t="str">
        <f>+RIGHT(DB!M260,6)</f>
        <v/>
      </c>
      <c r="O260">
        <v>95</v>
      </c>
      <c r="P260">
        <v>5</v>
      </c>
      <c r="Q260">
        <f>+DB!AB260</f>
        <v>0</v>
      </c>
      <c r="R260">
        <f>+DB!K260</f>
        <v>0</v>
      </c>
      <c r="S260">
        <f>+DB!F260</f>
        <v>0</v>
      </c>
      <c r="T260">
        <f>+IF(DB!F260="AAAC-35",1,3)</f>
        <v>3</v>
      </c>
      <c r="U260">
        <f>+DB!R260</f>
        <v>0</v>
      </c>
      <c r="V260">
        <f>+IF(DB!P260="1RI",1,0)+IF(DB!P260="2RI",2,0)</f>
        <v>0</v>
      </c>
      <c r="W260">
        <f>+IF(DB!P260="1RV",1,0)+IF(DB!P260="2RV",2,0)</f>
        <v>0</v>
      </c>
      <c r="X260">
        <f>+IF(DB!P260="RYI",1,0)</f>
        <v>0</v>
      </c>
      <c r="Y260">
        <f>+IF(DB!P260="RYV",1,0)</f>
        <v>0</v>
      </c>
      <c r="Z260">
        <f>+DB!U260</f>
        <v>0</v>
      </c>
      <c r="AA260">
        <f>+IF(DB!F260="AAAC-35",19.5,33)</f>
        <v>33</v>
      </c>
      <c r="AB260">
        <f>+DB!V260</f>
        <v>0</v>
      </c>
      <c r="AC260" t="str">
        <f t="shared" si="14"/>
        <v>56-4</v>
      </c>
      <c r="AD260" s="21" t="s">
        <v>72</v>
      </c>
      <c r="AE260">
        <f>+DB!X260</f>
        <v>0</v>
      </c>
      <c r="AF260" s="22">
        <f>+DB!Y260</f>
        <v>0</v>
      </c>
      <c r="AG260">
        <f>+DB!AK260</f>
        <v>0</v>
      </c>
    </row>
    <row r="261" spans="1:33" x14ac:dyDescent="0.2">
      <c r="A261">
        <f>+DB!C261</f>
        <v>0</v>
      </c>
      <c r="B261">
        <f>+DB!D261</f>
        <v>0</v>
      </c>
      <c r="C261">
        <f>+DB!E261</f>
        <v>0</v>
      </c>
      <c r="D261">
        <f t="shared" si="12"/>
        <v>0</v>
      </c>
      <c r="E261">
        <f>+DB!G261</f>
        <v>0</v>
      </c>
      <c r="F261">
        <f>+DB!H261</f>
        <v>0</v>
      </c>
      <c r="G261">
        <f>+DB!N261</f>
        <v>0</v>
      </c>
      <c r="H261">
        <f>+DB!O261</f>
        <v>0</v>
      </c>
      <c r="I261">
        <f>+DB!I261</f>
        <v>0</v>
      </c>
      <c r="J261">
        <f>+DB!J261</f>
        <v>0</v>
      </c>
      <c r="K261">
        <f>+DB!L261</f>
        <v>0</v>
      </c>
      <c r="L261" t="str">
        <f t="shared" si="13"/>
        <v/>
      </c>
      <c r="M261" t="str">
        <f>+IF(LEFT(DB!M261,3)="13/","CAC","MAD")</f>
        <v>MAD</v>
      </c>
      <c r="N261" t="str">
        <f>+RIGHT(DB!M261,6)</f>
        <v/>
      </c>
      <c r="O261">
        <v>95</v>
      </c>
      <c r="P261">
        <v>5</v>
      </c>
      <c r="Q261">
        <f>+DB!AB261</f>
        <v>0</v>
      </c>
      <c r="R261">
        <f>+DB!K261</f>
        <v>0</v>
      </c>
      <c r="S261">
        <f>+DB!F261</f>
        <v>0</v>
      </c>
      <c r="T261">
        <f>+IF(DB!F261="AAAC-35",1,3)</f>
        <v>3</v>
      </c>
      <c r="U261">
        <f>+DB!R261</f>
        <v>0</v>
      </c>
      <c r="V261">
        <f>+IF(DB!P261="1RI",1,0)+IF(DB!P261="2RI",2,0)</f>
        <v>0</v>
      </c>
      <c r="W261">
        <f>+IF(DB!P261="1RV",1,0)+IF(DB!P261="2RV",2,0)</f>
        <v>0</v>
      </c>
      <c r="X261">
        <f>+IF(DB!P261="RYI",1,0)</f>
        <v>0</v>
      </c>
      <c r="Y261">
        <f>+IF(DB!P261="RYV",1,0)</f>
        <v>0</v>
      </c>
      <c r="Z261">
        <f>+DB!U261</f>
        <v>0</v>
      </c>
      <c r="AA261">
        <f>+IF(DB!F261="AAAC-35",19.5,33)</f>
        <v>33</v>
      </c>
      <c r="AB261">
        <f>+DB!V261</f>
        <v>0</v>
      </c>
      <c r="AC261" t="str">
        <f t="shared" si="14"/>
        <v>56-4</v>
      </c>
      <c r="AD261" s="21" t="s">
        <v>72</v>
      </c>
      <c r="AE261">
        <f>+DB!X261</f>
        <v>0</v>
      </c>
      <c r="AF261" s="22">
        <f>+DB!Y261</f>
        <v>0</v>
      </c>
      <c r="AG261">
        <f>+DB!AK261</f>
        <v>0</v>
      </c>
    </row>
    <row r="262" spans="1:33" x14ac:dyDescent="0.2">
      <c r="A262">
        <f>+DB!C262</f>
        <v>0</v>
      </c>
      <c r="B262">
        <f>+DB!D262</f>
        <v>0</v>
      </c>
      <c r="C262">
        <f>+DB!E262</f>
        <v>0</v>
      </c>
      <c r="D262">
        <f t="shared" si="12"/>
        <v>0</v>
      </c>
      <c r="E262">
        <f>+DB!G262</f>
        <v>0</v>
      </c>
      <c r="F262">
        <f>+DB!H262</f>
        <v>0</v>
      </c>
      <c r="G262">
        <f>+DB!N262</f>
        <v>0</v>
      </c>
      <c r="H262">
        <f>+DB!O262</f>
        <v>0</v>
      </c>
      <c r="I262">
        <f>+DB!I262</f>
        <v>0</v>
      </c>
      <c r="J262">
        <f>+DB!J262</f>
        <v>0</v>
      </c>
      <c r="K262">
        <f>+DB!L262</f>
        <v>0</v>
      </c>
      <c r="L262" t="str">
        <f t="shared" si="13"/>
        <v/>
      </c>
      <c r="M262" t="str">
        <f>+IF(LEFT(DB!M262,3)="13/","CAC","MAD")</f>
        <v>MAD</v>
      </c>
      <c r="N262" t="str">
        <f>+RIGHT(DB!M262,6)</f>
        <v/>
      </c>
      <c r="O262">
        <v>95</v>
      </c>
      <c r="P262">
        <v>5</v>
      </c>
      <c r="Q262">
        <f>+DB!AB262</f>
        <v>0</v>
      </c>
      <c r="R262">
        <f>+DB!K262</f>
        <v>0</v>
      </c>
      <c r="S262">
        <f>+DB!F262</f>
        <v>0</v>
      </c>
      <c r="T262">
        <f>+IF(DB!F262="AAAC-35",1,3)</f>
        <v>3</v>
      </c>
      <c r="U262">
        <f>+DB!R262</f>
        <v>0</v>
      </c>
      <c r="V262">
        <f>+IF(DB!P262="1RI",1,0)+IF(DB!P262="2RI",2,0)</f>
        <v>0</v>
      </c>
      <c r="W262">
        <f>+IF(DB!P262="1RV",1,0)+IF(DB!P262="2RV",2,0)</f>
        <v>0</v>
      </c>
      <c r="X262">
        <f>+IF(DB!P262="RYI",1,0)</f>
        <v>0</v>
      </c>
      <c r="Y262">
        <f>+IF(DB!P262="RYV",1,0)</f>
        <v>0</v>
      </c>
      <c r="Z262">
        <f>+DB!U262</f>
        <v>0</v>
      </c>
      <c r="AA262">
        <f>+IF(DB!F262="AAAC-35",19.5,33)</f>
        <v>33</v>
      </c>
      <c r="AB262">
        <f>+DB!V262</f>
        <v>0</v>
      </c>
      <c r="AC262" t="str">
        <f t="shared" si="14"/>
        <v>56-4</v>
      </c>
      <c r="AD262" s="21" t="s">
        <v>72</v>
      </c>
      <c r="AE262">
        <f>+DB!X262</f>
        <v>0</v>
      </c>
      <c r="AF262" s="22">
        <f>+DB!Y262</f>
        <v>0</v>
      </c>
      <c r="AG262">
        <f>+DB!AK262</f>
        <v>0</v>
      </c>
    </row>
    <row r="263" spans="1:33" x14ac:dyDescent="0.2">
      <c r="A263">
        <f>+DB!C263</f>
        <v>0</v>
      </c>
      <c r="B263">
        <f>+DB!D263</f>
        <v>0</v>
      </c>
      <c r="C263">
        <f>+DB!E263</f>
        <v>0</v>
      </c>
      <c r="D263">
        <f t="shared" si="12"/>
        <v>0</v>
      </c>
      <c r="E263">
        <f>+DB!G263</f>
        <v>0</v>
      </c>
      <c r="F263">
        <f>+DB!H263</f>
        <v>0</v>
      </c>
      <c r="G263">
        <f>+DB!N263</f>
        <v>0</v>
      </c>
      <c r="H263">
        <f>+DB!O263</f>
        <v>0</v>
      </c>
      <c r="I263">
        <f>+DB!I263</f>
        <v>0</v>
      </c>
      <c r="J263">
        <f>+DB!J263</f>
        <v>0</v>
      </c>
      <c r="K263">
        <f>+DB!L263</f>
        <v>0</v>
      </c>
      <c r="L263" t="str">
        <f t="shared" si="13"/>
        <v/>
      </c>
      <c r="M263" t="str">
        <f>+IF(LEFT(DB!M263,3)="13/","CAC","MAD")</f>
        <v>MAD</v>
      </c>
      <c r="N263" t="str">
        <f>+RIGHT(DB!M263,6)</f>
        <v/>
      </c>
      <c r="O263">
        <v>95</v>
      </c>
      <c r="P263">
        <v>5</v>
      </c>
      <c r="Q263">
        <f>+DB!AB263</f>
        <v>0</v>
      </c>
      <c r="R263">
        <f>+DB!K263</f>
        <v>0</v>
      </c>
      <c r="S263">
        <f>+DB!F263</f>
        <v>0</v>
      </c>
      <c r="T263">
        <f>+IF(DB!F263="AAAC-35",1,3)</f>
        <v>3</v>
      </c>
      <c r="U263">
        <f>+DB!R263</f>
        <v>0</v>
      </c>
      <c r="V263">
        <f>+IF(DB!P263="1RI",1,0)+IF(DB!P263="2RI",2,0)</f>
        <v>0</v>
      </c>
      <c r="W263">
        <f>+IF(DB!P263="1RV",1,0)+IF(DB!P263="2RV",2,0)</f>
        <v>0</v>
      </c>
      <c r="X263">
        <f>+IF(DB!P263="RYI",1,0)</f>
        <v>0</v>
      </c>
      <c r="Y263">
        <f>+IF(DB!P263="RYV",1,0)</f>
        <v>0</v>
      </c>
      <c r="Z263">
        <f>+DB!U263</f>
        <v>0</v>
      </c>
      <c r="AA263">
        <f>+IF(DB!F263="AAAC-35",19.5,33)</f>
        <v>33</v>
      </c>
      <c r="AB263">
        <f>+DB!V263</f>
        <v>0</v>
      </c>
      <c r="AC263" t="str">
        <f t="shared" si="14"/>
        <v>56-4</v>
      </c>
      <c r="AD263" s="21" t="s">
        <v>72</v>
      </c>
      <c r="AE263">
        <f>+DB!X263</f>
        <v>0</v>
      </c>
      <c r="AF263" s="22">
        <f>+DB!Y263</f>
        <v>0</v>
      </c>
      <c r="AG263">
        <f>+DB!AK263</f>
        <v>0</v>
      </c>
    </row>
    <row r="264" spans="1:33" x14ac:dyDescent="0.2">
      <c r="A264">
        <f>+DB!C264</f>
        <v>0</v>
      </c>
      <c r="B264">
        <f>+DB!D264</f>
        <v>0</v>
      </c>
      <c r="C264">
        <f>+DB!E264</f>
        <v>0</v>
      </c>
      <c r="D264">
        <f t="shared" si="12"/>
        <v>0</v>
      </c>
      <c r="E264">
        <f>+DB!G264</f>
        <v>0</v>
      </c>
      <c r="F264">
        <f>+DB!H264</f>
        <v>0</v>
      </c>
      <c r="G264">
        <f>+DB!N264</f>
        <v>0</v>
      </c>
      <c r="H264">
        <f>+DB!O264</f>
        <v>0</v>
      </c>
      <c r="I264">
        <f>+DB!I264</f>
        <v>0</v>
      </c>
      <c r="J264">
        <f>+DB!J264</f>
        <v>0</v>
      </c>
      <c r="K264">
        <f>+DB!L264</f>
        <v>0</v>
      </c>
      <c r="L264" t="str">
        <f t="shared" si="13"/>
        <v/>
      </c>
      <c r="M264" t="str">
        <f>+IF(LEFT(DB!M264,3)="13/","CAC","MAD")</f>
        <v>MAD</v>
      </c>
      <c r="N264" t="str">
        <f>+RIGHT(DB!M264,6)</f>
        <v/>
      </c>
      <c r="O264">
        <v>95</v>
      </c>
      <c r="P264">
        <v>5</v>
      </c>
      <c r="Q264">
        <f>+DB!AB264</f>
        <v>0</v>
      </c>
      <c r="R264">
        <f>+DB!K264</f>
        <v>0</v>
      </c>
      <c r="S264">
        <f>+DB!F264</f>
        <v>0</v>
      </c>
      <c r="T264">
        <f>+IF(DB!F264="AAAC-35",1,3)</f>
        <v>3</v>
      </c>
      <c r="U264">
        <f>+DB!R264</f>
        <v>0</v>
      </c>
      <c r="V264">
        <f>+IF(DB!P264="1RI",1,0)+IF(DB!P264="2RI",2,0)</f>
        <v>0</v>
      </c>
      <c r="W264">
        <f>+IF(DB!P264="1RV",1,0)+IF(DB!P264="2RV",2,0)</f>
        <v>0</v>
      </c>
      <c r="X264">
        <f>+IF(DB!P264="RYI",1,0)</f>
        <v>0</v>
      </c>
      <c r="Y264">
        <f>+IF(DB!P264="RYV",1,0)</f>
        <v>0</v>
      </c>
      <c r="Z264">
        <f>+DB!U264</f>
        <v>0</v>
      </c>
      <c r="AA264">
        <f>+IF(DB!F264="AAAC-35",19.5,33)</f>
        <v>33</v>
      </c>
      <c r="AB264">
        <f>+DB!V264</f>
        <v>0</v>
      </c>
      <c r="AC264" t="str">
        <f t="shared" si="14"/>
        <v>56-4</v>
      </c>
      <c r="AD264" s="21" t="s">
        <v>72</v>
      </c>
      <c r="AE264">
        <f>+DB!X264</f>
        <v>0</v>
      </c>
      <c r="AF264" s="22">
        <f>+DB!Y264</f>
        <v>0</v>
      </c>
      <c r="AG264">
        <f>+DB!AK264</f>
        <v>0</v>
      </c>
    </row>
    <row r="265" spans="1:33" x14ac:dyDescent="0.2">
      <c r="A265">
        <f>+DB!C265</f>
        <v>0</v>
      </c>
      <c r="B265">
        <f>+DB!D265</f>
        <v>0</v>
      </c>
      <c r="C265">
        <f>+DB!E265</f>
        <v>0</v>
      </c>
      <c r="D265">
        <f t="shared" si="12"/>
        <v>0</v>
      </c>
      <c r="E265">
        <f>+DB!G265</f>
        <v>0</v>
      </c>
      <c r="F265">
        <f>+DB!H265</f>
        <v>0</v>
      </c>
      <c r="G265">
        <f>+DB!N265</f>
        <v>0</v>
      </c>
      <c r="H265">
        <f>+DB!O265</f>
        <v>0</v>
      </c>
      <c r="I265">
        <f>+DB!I265</f>
        <v>0</v>
      </c>
      <c r="J265">
        <f>+DB!J265</f>
        <v>0</v>
      </c>
      <c r="K265">
        <f>+DB!L265</f>
        <v>0</v>
      </c>
      <c r="L265" t="str">
        <f t="shared" si="13"/>
        <v/>
      </c>
      <c r="M265" t="str">
        <f>+IF(LEFT(DB!M265,3)="13/","CAC","MAD")</f>
        <v>MAD</v>
      </c>
      <c r="N265" t="str">
        <f>+RIGHT(DB!M265,6)</f>
        <v/>
      </c>
      <c r="O265">
        <v>95</v>
      </c>
      <c r="P265">
        <v>5</v>
      </c>
      <c r="Q265">
        <f>+DB!AB265</f>
        <v>0</v>
      </c>
      <c r="R265">
        <f>+DB!K265</f>
        <v>0</v>
      </c>
      <c r="S265">
        <f>+DB!F265</f>
        <v>0</v>
      </c>
      <c r="T265">
        <f>+IF(DB!F265="AAAC-35",1,3)</f>
        <v>3</v>
      </c>
      <c r="U265">
        <f>+DB!R265</f>
        <v>0</v>
      </c>
      <c r="V265">
        <f>+IF(DB!P265="1RI",1,0)+IF(DB!P265="2RI",2,0)</f>
        <v>0</v>
      </c>
      <c r="W265">
        <f>+IF(DB!P265="1RV",1,0)+IF(DB!P265="2RV",2,0)</f>
        <v>0</v>
      </c>
      <c r="X265">
        <f>+IF(DB!P265="RYI",1,0)</f>
        <v>0</v>
      </c>
      <c r="Y265">
        <f>+IF(DB!P265="RYV",1,0)</f>
        <v>0</v>
      </c>
      <c r="Z265">
        <f>+DB!U265</f>
        <v>0</v>
      </c>
      <c r="AA265">
        <f>+IF(DB!F265="AAAC-35",19.5,33)</f>
        <v>33</v>
      </c>
      <c r="AB265">
        <f>+DB!V265</f>
        <v>0</v>
      </c>
      <c r="AC265" t="str">
        <f t="shared" si="14"/>
        <v>56-4</v>
      </c>
      <c r="AD265" s="21" t="s">
        <v>72</v>
      </c>
      <c r="AE265">
        <f>+DB!X265</f>
        <v>0</v>
      </c>
      <c r="AF265" s="22">
        <f>+DB!Y265</f>
        <v>0</v>
      </c>
      <c r="AG265">
        <f>+DB!AK265</f>
        <v>0</v>
      </c>
    </row>
    <row r="266" spans="1:33" x14ac:dyDescent="0.2">
      <c r="A266">
        <f>+DB!C266</f>
        <v>0</v>
      </c>
      <c r="B266">
        <f>+DB!D266</f>
        <v>0</v>
      </c>
      <c r="C266">
        <f>+DB!E266</f>
        <v>0</v>
      </c>
      <c r="D266">
        <f t="shared" si="12"/>
        <v>0</v>
      </c>
      <c r="E266">
        <f>+DB!G266</f>
        <v>0</v>
      </c>
      <c r="F266">
        <f>+DB!H266</f>
        <v>0</v>
      </c>
      <c r="G266">
        <f>+DB!N266</f>
        <v>0</v>
      </c>
      <c r="H266">
        <f>+DB!O266</f>
        <v>0</v>
      </c>
      <c r="I266">
        <f>+DB!I266</f>
        <v>0</v>
      </c>
      <c r="J266">
        <f>+DB!J266</f>
        <v>0</v>
      </c>
      <c r="K266">
        <f>+DB!L266</f>
        <v>0</v>
      </c>
      <c r="L266" t="str">
        <f t="shared" si="13"/>
        <v/>
      </c>
      <c r="M266" t="str">
        <f>+IF(LEFT(DB!M266,3)="13/","CAC","MAD")</f>
        <v>MAD</v>
      </c>
      <c r="N266" t="str">
        <f>+RIGHT(DB!M266,6)</f>
        <v/>
      </c>
      <c r="O266">
        <v>95</v>
      </c>
      <c r="P266">
        <v>5</v>
      </c>
      <c r="Q266">
        <f>+DB!AB266</f>
        <v>0</v>
      </c>
      <c r="R266">
        <f>+DB!K266</f>
        <v>0</v>
      </c>
      <c r="S266">
        <f>+DB!F266</f>
        <v>0</v>
      </c>
      <c r="T266">
        <f>+IF(DB!F266="AAAC-35",1,3)</f>
        <v>3</v>
      </c>
      <c r="U266">
        <f>+DB!R266</f>
        <v>0</v>
      </c>
      <c r="V266">
        <f>+IF(DB!P266="1RI",1,0)+IF(DB!P266="2RI",2,0)</f>
        <v>0</v>
      </c>
      <c r="W266">
        <f>+IF(DB!P266="1RV",1,0)+IF(DB!P266="2RV",2,0)</f>
        <v>0</v>
      </c>
      <c r="X266">
        <f>+IF(DB!P266="RYI",1,0)</f>
        <v>0</v>
      </c>
      <c r="Y266">
        <f>+IF(DB!P266="RYV",1,0)</f>
        <v>0</v>
      </c>
      <c r="Z266">
        <f>+DB!U266</f>
        <v>0</v>
      </c>
      <c r="AA266">
        <f>+IF(DB!F266="AAAC-35",19.5,33)</f>
        <v>33</v>
      </c>
      <c r="AB266">
        <f>+DB!V266</f>
        <v>0</v>
      </c>
      <c r="AC266" t="str">
        <f t="shared" si="14"/>
        <v>56-4</v>
      </c>
      <c r="AD266" s="21" t="s">
        <v>72</v>
      </c>
      <c r="AE266">
        <f>+DB!X266</f>
        <v>0</v>
      </c>
      <c r="AF266" s="22">
        <f>+DB!Y266</f>
        <v>0</v>
      </c>
      <c r="AG266">
        <f>+DB!AK266</f>
        <v>0</v>
      </c>
    </row>
    <row r="267" spans="1:33" x14ac:dyDescent="0.2">
      <c r="A267">
        <f>+DB!C267</f>
        <v>0</v>
      </c>
      <c r="B267">
        <f>+DB!D267</f>
        <v>0</v>
      </c>
      <c r="C267">
        <f>+DB!E267</f>
        <v>0</v>
      </c>
      <c r="D267">
        <f t="shared" si="12"/>
        <v>0</v>
      </c>
      <c r="E267">
        <f>+DB!G267</f>
        <v>0</v>
      </c>
      <c r="F267">
        <f>+DB!H267</f>
        <v>0</v>
      </c>
      <c r="G267">
        <f>+DB!N267</f>
        <v>0</v>
      </c>
      <c r="H267">
        <f>+DB!O267</f>
        <v>0</v>
      </c>
      <c r="I267">
        <f>+DB!I267</f>
        <v>0</v>
      </c>
      <c r="J267">
        <f>+DB!J267</f>
        <v>0</v>
      </c>
      <c r="K267">
        <f>+DB!L267</f>
        <v>0</v>
      </c>
      <c r="L267" t="str">
        <f t="shared" si="13"/>
        <v/>
      </c>
      <c r="M267" t="str">
        <f>+IF(LEFT(DB!M267,3)="13/","CAC","MAD")</f>
        <v>MAD</v>
      </c>
      <c r="N267" t="str">
        <f>+RIGHT(DB!M267,6)</f>
        <v/>
      </c>
      <c r="O267">
        <v>95</v>
      </c>
      <c r="P267">
        <v>5</v>
      </c>
      <c r="Q267">
        <f>+DB!AB267</f>
        <v>0</v>
      </c>
      <c r="R267">
        <f>+DB!K267</f>
        <v>0</v>
      </c>
      <c r="S267">
        <f>+DB!F267</f>
        <v>0</v>
      </c>
      <c r="T267">
        <f>+IF(DB!F267="AAAC-35",1,3)</f>
        <v>3</v>
      </c>
      <c r="U267">
        <f>+DB!R267</f>
        <v>0</v>
      </c>
      <c r="V267">
        <f>+IF(DB!P267="1RI",1,0)+IF(DB!P267="2RI",2,0)</f>
        <v>0</v>
      </c>
      <c r="W267">
        <f>+IF(DB!P267="1RV",1,0)+IF(DB!P267="2RV",2,0)</f>
        <v>0</v>
      </c>
      <c r="X267">
        <f>+IF(DB!P267="RYI",1,0)</f>
        <v>0</v>
      </c>
      <c r="Y267">
        <f>+IF(DB!P267="RYV",1,0)</f>
        <v>0</v>
      </c>
      <c r="Z267">
        <f>+DB!U267</f>
        <v>0</v>
      </c>
      <c r="AA267">
        <f>+IF(DB!F267="AAAC-35",19.5,33)</f>
        <v>33</v>
      </c>
      <c r="AB267">
        <f>+DB!V267</f>
        <v>0</v>
      </c>
      <c r="AC267" t="str">
        <f t="shared" si="14"/>
        <v>56-4</v>
      </c>
      <c r="AD267" s="21" t="s">
        <v>72</v>
      </c>
      <c r="AE267">
        <f>+DB!X267</f>
        <v>0</v>
      </c>
      <c r="AF267" s="22">
        <f>+DB!Y267</f>
        <v>0</v>
      </c>
      <c r="AG267">
        <f>+DB!AK267</f>
        <v>0</v>
      </c>
    </row>
    <row r="268" spans="1:33" x14ac:dyDescent="0.2">
      <c r="A268">
        <f>+DB!C268</f>
        <v>0</v>
      </c>
      <c r="B268">
        <f>+DB!D268</f>
        <v>0</v>
      </c>
      <c r="C268">
        <f>+DB!E268</f>
        <v>0</v>
      </c>
      <c r="D268">
        <f t="shared" si="12"/>
        <v>0</v>
      </c>
      <c r="E268">
        <f>+DB!G268</f>
        <v>0</v>
      </c>
      <c r="F268">
        <f>+DB!H268</f>
        <v>0</v>
      </c>
      <c r="G268">
        <f>+DB!N268</f>
        <v>0</v>
      </c>
      <c r="H268">
        <f>+DB!O268</f>
        <v>0</v>
      </c>
      <c r="I268">
        <f>+DB!I268</f>
        <v>0</v>
      </c>
      <c r="J268">
        <f>+DB!J268</f>
        <v>0</v>
      </c>
      <c r="K268">
        <f>+DB!L268</f>
        <v>0</v>
      </c>
      <c r="L268" t="str">
        <f t="shared" si="13"/>
        <v/>
      </c>
      <c r="M268" t="str">
        <f>+IF(LEFT(DB!M268,3)="13/","CAC","MAD")</f>
        <v>MAD</v>
      </c>
      <c r="N268" t="str">
        <f>+RIGHT(DB!M268,6)</f>
        <v/>
      </c>
      <c r="O268">
        <v>95</v>
      </c>
      <c r="P268">
        <v>5</v>
      </c>
      <c r="Q268">
        <f>+DB!AB268</f>
        <v>0</v>
      </c>
      <c r="R268">
        <f>+DB!K268</f>
        <v>0</v>
      </c>
      <c r="S268">
        <f>+DB!F268</f>
        <v>0</v>
      </c>
      <c r="T268">
        <f>+IF(DB!F268="AAAC-35",1,3)</f>
        <v>3</v>
      </c>
      <c r="U268">
        <f>+DB!R268</f>
        <v>0</v>
      </c>
      <c r="V268">
        <f>+IF(DB!P268="1RI",1,0)+IF(DB!P268="2RI",2,0)</f>
        <v>0</v>
      </c>
      <c r="W268">
        <f>+IF(DB!P268="1RV",1,0)+IF(DB!P268="2RV",2,0)</f>
        <v>0</v>
      </c>
      <c r="X268">
        <f>+IF(DB!P268="RYI",1,0)</f>
        <v>0</v>
      </c>
      <c r="Y268">
        <f>+IF(DB!P268="RYV",1,0)</f>
        <v>0</v>
      </c>
      <c r="Z268">
        <f>+DB!U268</f>
        <v>0</v>
      </c>
      <c r="AA268">
        <f>+IF(DB!F268="AAAC-35",19.5,33)</f>
        <v>33</v>
      </c>
      <c r="AB268">
        <f>+DB!V268</f>
        <v>0</v>
      </c>
      <c r="AC268" t="str">
        <f t="shared" si="14"/>
        <v>56-4</v>
      </c>
      <c r="AD268" s="21" t="s">
        <v>72</v>
      </c>
      <c r="AE268">
        <f>+DB!X268</f>
        <v>0</v>
      </c>
      <c r="AF268" s="22">
        <f>+DB!Y268</f>
        <v>0</v>
      </c>
      <c r="AG268">
        <f>+DB!AK268</f>
        <v>0</v>
      </c>
    </row>
    <row r="269" spans="1:33" x14ac:dyDescent="0.2">
      <c r="A269">
        <f>+DB!C269</f>
        <v>0</v>
      </c>
      <c r="B269">
        <f>+DB!D269</f>
        <v>0</v>
      </c>
      <c r="C269">
        <f>+DB!E269</f>
        <v>0</v>
      </c>
      <c r="D269">
        <f t="shared" si="12"/>
        <v>0</v>
      </c>
      <c r="E269">
        <f>+DB!G269</f>
        <v>0</v>
      </c>
      <c r="F269">
        <f>+DB!H269</f>
        <v>0</v>
      </c>
      <c r="G269">
        <f>+DB!N269</f>
        <v>0</v>
      </c>
      <c r="H269">
        <f>+DB!O269</f>
        <v>0</v>
      </c>
      <c r="I269">
        <f>+DB!I269</f>
        <v>0</v>
      </c>
      <c r="J269">
        <f>+DB!J269</f>
        <v>0</v>
      </c>
      <c r="K269">
        <f>+DB!L269</f>
        <v>0</v>
      </c>
      <c r="L269" t="str">
        <f t="shared" si="13"/>
        <v/>
      </c>
      <c r="M269" t="str">
        <f>+IF(LEFT(DB!M269,3)="13/","CAC","MAD")</f>
        <v>MAD</v>
      </c>
      <c r="N269" t="str">
        <f>+RIGHT(DB!M269,6)</f>
        <v/>
      </c>
      <c r="O269">
        <v>95</v>
      </c>
      <c r="P269">
        <v>5</v>
      </c>
      <c r="Q269">
        <f>+DB!AB269</f>
        <v>0</v>
      </c>
      <c r="R269">
        <f>+DB!K269</f>
        <v>0</v>
      </c>
      <c r="S269">
        <f>+DB!F269</f>
        <v>0</v>
      </c>
      <c r="T269">
        <f>+IF(DB!F269="AAAC-35",1,3)</f>
        <v>3</v>
      </c>
      <c r="U269">
        <f>+DB!R269</f>
        <v>0</v>
      </c>
      <c r="V269">
        <f>+IF(DB!P269="1RI",1,0)+IF(DB!P269="2RI",2,0)</f>
        <v>0</v>
      </c>
      <c r="W269">
        <f>+IF(DB!P269="1RV",1,0)+IF(DB!P269="2RV",2,0)</f>
        <v>0</v>
      </c>
      <c r="X269">
        <f>+IF(DB!P269="RYI",1,0)</f>
        <v>0</v>
      </c>
      <c r="Y269">
        <f>+IF(DB!P269="RYV",1,0)</f>
        <v>0</v>
      </c>
      <c r="Z269">
        <f>+DB!U269</f>
        <v>0</v>
      </c>
      <c r="AA269">
        <f>+IF(DB!F269="AAAC-35",19.5,33)</f>
        <v>33</v>
      </c>
      <c r="AB269">
        <f>+DB!V269</f>
        <v>0</v>
      </c>
      <c r="AC269" t="str">
        <f t="shared" si="14"/>
        <v>56-4</v>
      </c>
      <c r="AD269" s="21" t="s">
        <v>72</v>
      </c>
      <c r="AE269">
        <f>+DB!X269</f>
        <v>0</v>
      </c>
      <c r="AF269" s="22">
        <f>+DB!Y269</f>
        <v>0</v>
      </c>
      <c r="AG269">
        <f>+DB!AK269</f>
        <v>0</v>
      </c>
    </row>
    <row r="270" spans="1:33" x14ac:dyDescent="0.2">
      <c r="A270">
        <f>+DB!C270</f>
        <v>0</v>
      </c>
      <c r="B270">
        <f>+DB!D270</f>
        <v>0</v>
      </c>
      <c r="C270">
        <f>+DB!E270</f>
        <v>0</v>
      </c>
      <c r="D270">
        <f t="shared" si="12"/>
        <v>0</v>
      </c>
      <c r="E270">
        <f>+DB!G270</f>
        <v>0</v>
      </c>
      <c r="F270">
        <f>+DB!H270</f>
        <v>0</v>
      </c>
      <c r="G270">
        <f>+DB!N270</f>
        <v>0</v>
      </c>
      <c r="H270">
        <f>+DB!O270</f>
        <v>0</v>
      </c>
      <c r="I270">
        <f>+DB!I270</f>
        <v>0</v>
      </c>
      <c r="J270">
        <f>+DB!J270</f>
        <v>0</v>
      </c>
      <c r="K270">
        <f>+DB!L270</f>
        <v>0</v>
      </c>
      <c r="L270" t="str">
        <f t="shared" si="13"/>
        <v/>
      </c>
      <c r="M270" t="str">
        <f>+IF(LEFT(DB!M270,3)="13/","CAC","MAD")</f>
        <v>MAD</v>
      </c>
      <c r="N270" t="str">
        <f>+RIGHT(DB!M270,6)</f>
        <v/>
      </c>
      <c r="O270">
        <v>95</v>
      </c>
      <c r="P270">
        <v>5</v>
      </c>
      <c r="Q270">
        <f>+DB!AB270</f>
        <v>0</v>
      </c>
      <c r="R270">
        <f>+DB!K270</f>
        <v>0</v>
      </c>
      <c r="S270">
        <f>+DB!F270</f>
        <v>0</v>
      </c>
      <c r="T270">
        <f>+IF(DB!F270="AAAC-35",1,3)</f>
        <v>3</v>
      </c>
      <c r="U270">
        <f>+DB!R270</f>
        <v>0</v>
      </c>
      <c r="V270">
        <f>+IF(DB!P270="1RI",1,0)+IF(DB!P270="2RI",2,0)</f>
        <v>0</v>
      </c>
      <c r="W270">
        <f>+IF(DB!P270="1RV",1,0)+IF(DB!P270="2RV",2,0)</f>
        <v>0</v>
      </c>
      <c r="X270">
        <f>+IF(DB!P270="RYI",1,0)</f>
        <v>0</v>
      </c>
      <c r="Y270">
        <f>+IF(DB!P270="RYV",1,0)</f>
        <v>0</v>
      </c>
      <c r="Z270">
        <f>+DB!U270</f>
        <v>0</v>
      </c>
      <c r="AA270">
        <f>+IF(DB!F270="AAAC-35",19.5,33)</f>
        <v>33</v>
      </c>
      <c r="AB270">
        <f>+DB!V270</f>
        <v>0</v>
      </c>
      <c r="AC270" t="str">
        <f t="shared" si="14"/>
        <v>56-4</v>
      </c>
      <c r="AD270" s="21" t="s">
        <v>72</v>
      </c>
      <c r="AE270">
        <f>+DB!X270</f>
        <v>0</v>
      </c>
      <c r="AF270" s="22">
        <f>+DB!Y270</f>
        <v>0</v>
      </c>
      <c r="AG270">
        <f>+DB!AK270</f>
        <v>0</v>
      </c>
    </row>
    <row r="271" spans="1:33" x14ac:dyDescent="0.2">
      <c r="A271">
        <f>+DB!C271</f>
        <v>0</v>
      </c>
      <c r="B271">
        <f>+DB!D271</f>
        <v>0</v>
      </c>
      <c r="C271">
        <f>+DB!E271</f>
        <v>0</v>
      </c>
      <c r="D271">
        <f t="shared" si="12"/>
        <v>0</v>
      </c>
      <c r="E271">
        <f>+DB!G271</f>
        <v>0</v>
      </c>
      <c r="F271">
        <f>+DB!H271</f>
        <v>0</v>
      </c>
      <c r="G271">
        <f>+DB!N271</f>
        <v>0</v>
      </c>
      <c r="H271">
        <f>+DB!O271</f>
        <v>0</v>
      </c>
      <c r="I271">
        <f>+DB!I271</f>
        <v>0</v>
      </c>
      <c r="J271">
        <f>+DB!J271</f>
        <v>0</v>
      </c>
      <c r="K271">
        <f>+DB!L271</f>
        <v>0</v>
      </c>
      <c r="L271" t="str">
        <f t="shared" si="13"/>
        <v/>
      </c>
      <c r="M271" t="str">
        <f>+IF(LEFT(DB!M271,3)="13/","CAC","MAD")</f>
        <v>MAD</v>
      </c>
      <c r="N271" t="str">
        <f>+RIGHT(DB!M271,6)</f>
        <v/>
      </c>
      <c r="O271">
        <v>95</v>
      </c>
      <c r="P271">
        <v>5</v>
      </c>
      <c r="Q271">
        <f>+DB!AB271</f>
        <v>0</v>
      </c>
      <c r="R271">
        <f>+DB!K271</f>
        <v>0</v>
      </c>
      <c r="S271">
        <f>+DB!F271</f>
        <v>0</v>
      </c>
      <c r="T271">
        <f>+IF(DB!F271="AAAC-35",1,3)</f>
        <v>3</v>
      </c>
      <c r="U271">
        <f>+DB!R271</f>
        <v>0</v>
      </c>
      <c r="V271">
        <f>+IF(DB!P271="1RI",1,0)+IF(DB!P271="2RI",2,0)</f>
        <v>0</v>
      </c>
      <c r="W271">
        <f>+IF(DB!P271="1RV",1,0)+IF(DB!P271="2RV",2,0)</f>
        <v>0</v>
      </c>
      <c r="X271">
        <f>+IF(DB!P271="RYI",1,0)</f>
        <v>0</v>
      </c>
      <c r="Y271">
        <f>+IF(DB!P271="RYV",1,0)</f>
        <v>0</v>
      </c>
      <c r="Z271">
        <f>+DB!U271</f>
        <v>0</v>
      </c>
      <c r="AA271">
        <f>+IF(DB!F271="AAAC-35",19.5,33)</f>
        <v>33</v>
      </c>
      <c r="AB271">
        <f>+DB!V271</f>
        <v>0</v>
      </c>
      <c r="AC271" t="str">
        <f t="shared" si="14"/>
        <v>56-4</v>
      </c>
      <c r="AD271" s="21" t="s">
        <v>72</v>
      </c>
      <c r="AE271">
        <f>+DB!X271</f>
        <v>0</v>
      </c>
      <c r="AF271" s="22">
        <f>+DB!Y271</f>
        <v>0</v>
      </c>
      <c r="AG271">
        <f>+DB!AK271</f>
        <v>0</v>
      </c>
    </row>
    <row r="272" spans="1:33" x14ac:dyDescent="0.2">
      <c r="A272">
        <f>+DB!C272</f>
        <v>0</v>
      </c>
      <c r="B272">
        <f>+DB!D272</f>
        <v>0</v>
      </c>
      <c r="C272">
        <f>+DB!E272</f>
        <v>0</v>
      </c>
      <c r="D272">
        <f t="shared" si="12"/>
        <v>0</v>
      </c>
      <c r="E272">
        <f>+DB!G272</f>
        <v>0</v>
      </c>
      <c r="F272">
        <f>+DB!H272</f>
        <v>0</v>
      </c>
      <c r="G272">
        <f>+DB!N272</f>
        <v>0</v>
      </c>
      <c r="H272">
        <f>+DB!O272</f>
        <v>0</v>
      </c>
      <c r="I272">
        <f>+DB!I272</f>
        <v>0</v>
      </c>
      <c r="J272">
        <f>+DB!J272</f>
        <v>0</v>
      </c>
      <c r="K272">
        <f>+DB!L272</f>
        <v>0</v>
      </c>
      <c r="L272" t="str">
        <f t="shared" si="13"/>
        <v/>
      </c>
      <c r="M272" t="str">
        <f>+IF(LEFT(DB!M272,3)="13/","CAC","MAD")</f>
        <v>MAD</v>
      </c>
      <c r="N272" t="str">
        <f>+RIGHT(DB!M272,6)</f>
        <v/>
      </c>
      <c r="O272">
        <v>95</v>
      </c>
      <c r="P272">
        <v>5</v>
      </c>
      <c r="Q272">
        <f>+DB!AB272</f>
        <v>0</v>
      </c>
      <c r="R272">
        <f>+DB!K272</f>
        <v>0</v>
      </c>
      <c r="S272">
        <f>+DB!F272</f>
        <v>0</v>
      </c>
      <c r="T272">
        <f>+IF(DB!F272="AAAC-35",1,3)</f>
        <v>3</v>
      </c>
      <c r="U272">
        <f>+DB!R272</f>
        <v>0</v>
      </c>
      <c r="V272">
        <f>+IF(DB!P272="1RI",1,0)+IF(DB!P272="2RI",2,0)</f>
        <v>0</v>
      </c>
      <c r="W272">
        <f>+IF(DB!P272="1RV",1,0)+IF(DB!P272="2RV",2,0)</f>
        <v>0</v>
      </c>
      <c r="X272">
        <f>+IF(DB!P272="RYI",1,0)</f>
        <v>0</v>
      </c>
      <c r="Y272">
        <f>+IF(DB!P272="RYV",1,0)</f>
        <v>0</v>
      </c>
      <c r="Z272">
        <f>+DB!U272</f>
        <v>0</v>
      </c>
      <c r="AA272">
        <f>+IF(DB!F272="AAAC-35",19.5,33)</f>
        <v>33</v>
      </c>
      <c r="AB272">
        <f>+DB!V272</f>
        <v>0</v>
      </c>
      <c r="AC272" t="str">
        <f t="shared" si="14"/>
        <v>56-4</v>
      </c>
      <c r="AD272" s="21" t="s">
        <v>72</v>
      </c>
      <c r="AE272">
        <f>+DB!X272</f>
        <v>0</v>
      </c>
      <c r="AF272" s="22">
        <f>+DB!Y272</f>
        <v>0</v>
      </c>
      <c r="AG272">
        <f>+DB!AK272</f>
        <v>0</v>
      </c>
    </row>
    <row r="273" spans="1:33" x14ac:dyDescent="0.2">
      <c r="A273">
        <f>+DB!C273</f>
        <v>0</v>
      </c>
      <c r="B273">
        <f>+DB!D273</f>
        <v>0</v>
      </c>
      <c r="C273">
        <f>+DB!E273</f>
        <v>0</v>
      </c>
      <c r="D273">
        <f t="shared" si="12"/>
        <v>0</v>
      </c>
      <c r="E273">
        <f>+DB!G273</f>
        <v>0</v>
      </c>
      <c r="F273">
        <f>+DB!H273</f>
        <v>0</v>
      </c>
      <c r="G273">
        <f>+DB!N273</f>
        <v>0</v>
      </c>
      <c r="H273">
        <f>+DB!O273</f>
        <v>0</v>
      </c>
      <c r="I273">
        <f>+DB!I273</f>
        <v>0</v>
      </c>
      <c r="J273">
        <f>+DB!J273</f>
        <v>0</v>
      </c>
      <c r="K273">
        <f>+DB!L273</f>
        <v>0</v>
      </c>
      <c r="L273" t="str">
        <f t="shared" si="13"/>
        <v/>
      </c>
      <c r="M273" t="str">
        <f>+IF(LEFT(DB!M273,3)="13/","CAC","MAD")</f>
        <v>MAD</v>
      </c>
      <c r="N273" t="str">
        <f>+RIGHT(DB!M273,6)</f>
        <v/>
      </c>
      <c r="O273">
        <v>95</v>
      </c>
      <c r="P273">
        <v>5</v>
      </c>
      <c r="Q273">
        <f>+DB!AB273</f>
        <v>0</v>
      </c>
      <c r="R273">
        <f>+DB!K273</f>
        <v>0</v>
      </c>
      <c r="S273">
        <f>+DB!F273</f>
        <v>0</v>
      </c>
      <c r="T273">
        <f>+IF(DB!F273="AAAC-35",1,3)</f>
        <v>3</v>
      </c>
      <c r="U273">
        <f>+DB!R273</f>
        <v>0</v>
      </c>
      <c r="V273">
        <f>+IF(DB!P273="1RI",1,0)+IF(DB!P273="2RI",2,0)</f>
        <v>0</v>
      </c>
      <c r="W273">
        <f>+IF(DB!P273="1RV",1,0)+IF(DB!P273="2RV",2,0)</f>
        <v>0</v>
      </c>
      <c r="X273">
        <f>+IF(DB!P273="RYI",1,0)</f>
        <v>0</v>
      </c>
      <c r="Y273">
        <f>+IF(DB!P273="RYV",1,0)</f>
        <v>0</v>
      </c>
      <c r="Z273">
        <f>+DB!U273</f>
        <v>0</v>
      </c>
      <c r="AA273">
        <f>+IF(DB!F273="AAAC-35",19.5,33)</f>
        <v>33</v>
      </c>
      <c r="AB273">
        <f>+DB!V273</f>
        <v>0</v>
      </c>
      <c r="AC273" t="str">
        <f t="shared" si="14"/>
        <v>56-4</v>
      </c>
      <c r="AD273" s="21" t="s">
        <v>72</v>
      </c>
      <c r="AE273">
        <f>+DB!X273</f>
        <v>0</v>
      </c>
      <c r="AF273" s="22">
        <f>+DB!Y273</f>
        <v>0</v>
      </c>
      <c r="AG273">
        <f>+DB!AK273</f>
        <v>0</v>
      </c>
    </row>
    <row r="274" spans="1:33" x14ac:dyDescent="0.2">
      <c r="A274">
        <f>+DB!C274</f>
        <v>0</v>
      </c>
      <c r="B274">
        <f>+DB!D274</f>
        <v>0</v>
      </c>
      <c r="C274">
        <f>+DB!E274</f>
        <v>0</v>
      </c>
      <c r="D274">
        <f t="shared" si="12"/>
        <v>0</v>
      </c>
      <c r="E274">
        <f>+DB!G274</f>
        <v>0</v>
      </c>
      <c r="F274">
        <f>+DB!H274</f>
        <v>0</v>
      </c>
      <c r="G274">
        <f>+DB!N274</f>
        <v>0</v>
      </c>
      <c r="H274">
        <f>+DB!O274</f>
        <v>0</v>
      </c>
      <c r="I274">
        <f>+DB!I274</f>
        <v>0</v>
      </c>
      <c r="J274">
        <f>+DB!J274</f>
        <v>0</v>
      </c>
      <c r="K274">
        <f>+DB!L274</f>
        <v>0</v>
      </c>
      <c r="L274" t="str">
        <f t="shared" si="13"/>
        <v/>
      </c>
      <c r="M274" t="str">
        <f>+IF(LEFT(DB!M274,3)="13/","CAC","MAD")</f>
        <v>MAD</v>
      </c>
      <c r="N274" t="str">
        <f>+RIGHT(DB!M274,6)</f>
        <v/>
      </c>
      <c r="O274">
        <v>95</v>
      </c>
      <c r="P274">
        <v>5</v>
      </c>
      <c r="Q274">
        <f>+DB!AB274</f>
        <v>0</v>
      </c>
      <c r="R274">
        <f>+DB!K274</f>
        <v>0</v>
      </c>
      <c r="S274">
        <f>+DB!F274</f>
        <v>0</v>
      </c>
      <c r="T274">
        <f>+IF(DB!F274="AAAC-35",1,3)</f>
        <v>3</v>
      </c>
      <c r="U274">
        <f>+DB!R274</f>
        <v>0</v>
      </c>
      <c r="V274">
        <f>+IF(DB!P274="1RI",1,0)+IF(DB!P274="2RI",2,0)</f>
        <v>0</v>
      </c>
      <c r="W274">
        <f>+IF(DB!P274="1RV",1,0)+IF(DB!P274="2RV",2,0)</f>
        <v>0</v>
      </c>
      <c r="X274">
        <f>+IF(DB!P274="RYI",1,0)</f>
        <v>0</v>
      </c>
      <c r="Y274">
        <f>+IF(DB!P274="RYV",1,0)</f>
        <v>0</v>
      </c>
      <c r="Z274">
        <f>+DB!U274</f>
        <v>0</v>
      </c>
      <c r="AA274">
        <f>+IF(DB!F274="AAAC-35",19.5,33)</f>
        <v>33</v>
      </c>
      <c r="AB274">
        <f>+DB!V274</f>
        <v>0</v>
      </c>
      <c r="AC274" t="str">
        <f t="shared" si="14"/>
        <v>56-4</v>
      </c>
      <c r="AD274" s="21" t="s">
        <v>72</v>
      </c>
      <c r="AE274">
        <f>+DB!X274</f>
        <v>0</v>
      </c>
      <c r="AF274" s="22">
        <f>+DB!Y274</f>
        <v>0</v>
      </c>
      <c r="AG274">
        <f>+DB!AK274</f>
        <v>0</v>
      </c>
    </row>
    <row r="275" spans="1:33" x14ac:dyDescent="0.2">
      <c r="A275">
        <f>+DB!C275</f>
        <v>0</v>
      </c>
      <c r="B275">
        <f>+DB!D275</f>
        <v>0</v>
      </c>
      <c r="C275">
        <f>+DB!E275</f>
        <v>0</v>
      </c>
      <c r="D275">
        <f t="shared" si="12"/>
        <v>0</v>
      </c>
      <c r="E275">
        <f>+DB!G275</f>
        <v>0</v>
      </c>
      <c r="F275">
        <f>+DB!H275</f>
        <v>0</v>
      </c>
      <c r="G275">
        <f>+DB!N275</f>
        <v>0</v>
      </c>
      <c r="H275">
        <f>+DB!O275</f>
        <v>0</v>
      </c>
      <c r="I275">
        <f>+DB!I275</f>
        <v>0</v>
      </c>
      <c r="J275">
        <f>+DB!J275</f>
        <v>0</v>
      </c>
      <c r="K275">
        <f>+DB!L275</f>
        <v>0</v>
      </c>
      <c r="L275" t="str">
        <f t="shared" si="13"/>
        <v/>
      </c>
      <c r="M275" t="str">
        <f>+IF(LEFT(DB!M275,3)="13/","CAC","MAD")</f>
        <v>MAD</v>
      </c>
      <c r="N275" t="str">
        <f>+RIGHT(DB!M275,6)</f>
        <v/>
      </c>
      <c r="O275">
        <v>95</v>
      </c>
      <c r="P275">
        <v>5</v>
      </c>
      <c r="Q275">
        <f>+DB!AB275</f>
        <v>0</v>
      </c>
      <c r="R275">
        <f>+DB!K275</f>
        <v>0</v>
      </c>
      <c r="S275">
        <f>+DB!F275</f>
        <v>0</v>
      </c>
      <c r="T275">
        <f>+IF(DB!F275="AAAC-35",1,3)</f>
        <v>3</v>
      </c>
      <c r="U275">
        <f>+DB!R275</f>
        <v>0</v>
      </c>
      <c r="V275">
        <f>+IF(DB!P275="1RI",1,0)+IF(DB!P275="2RI",2,0)</f>
        <v>0</v>
      </c>
      <c r="W275">
        <f>+IF(DB!P275="1RV",1,0)+IF(DB!P275="2RV",2,0)</f>
        <v>0</v>
      </c>
      <c r="X275">
        <f>+IF(DB!P275="RYI",1,0)</f>
        <v>0</v>
      </c>
      <c r="Y275">
        <f>+IF(DB!P275="RYV",1,0)</f>
        <v>0</v>
      </c>
      <c r="Z275">
        <f>+DB!U275</f>
        <v>0</v>
      </c>
      <c r="AA275">
        <f>+IF(DB!F275="AAAC-35",19.5,33)</f>
        <v>33</v>
      </c>
      <c r="AB275">
        <f>+DB!V275</f>
        <v>0</v>
      </c>
      <c r="AC275" t="str">
        <f t="shared" si="14"/>
        <v>56-4</v>
      </c>
      <c r="AD275" s="21" t="s">
        <v>72</v>
      </c>
      <c r="AE275">
        <f>+DB!X275</f>
        <v>0</v>
      </c>
      <c r="AF275" s="22">
        <f>+DB!Y275</f>
        <v>0</v>
      </c>
      <c r="AG275">
        <f>+DB!AK275</f>
        <v>0</v>
      </c>
    </row>
    <row r="276" spans="1:33" x14ac:dyDescent="0.2">
      <c r="A276">
        <f>+DB!C276</f>
        <v>0</v>
      </c>
      <c r="B276">
        <f>+DB!D276</f>
        <v>0</v>
      </c>
      <c r="C276">
        <f>+DB!E276</f>
        <v>0</v>
      </c>
      <c r="D276">
        <f t="shared" si="12"/>
        <v>0</v>
      </c>
      <c r="E276">
        <f>+DB!G276</f>
        <v>0</v>
      </c>
      <c r="F276">
        <f>+DB!H276</f>
        <v>0</v>
      </c>
      <c r="G276">
        <f>+DB!N276</f>
        <v>0</v>
      </c>
      <c r="H276">
        <f>+DB!O276</f>
        <v>0</v>
      </c>
      <c r="I276">
        <f>+DB!I276</f>
        <v>0</v>
      </c>
      <c r="J276">
        <f>+DB!J276</f>
        <v>0</v>
      </c>
      <c r="K276">
        <f>+DB!L276</f>
        <v>0</v>
      </c>
      <c r="L276" t="str">
        <f t="shared" si="13"/>
        <v/>
      </c>
      <c r="M276" t="str">
        <f>+IF(LEFT(DB!M276,3)="13/","CAC","MAD")</f>
        <v>MAD</v>
      </c>
      <c r="N276" t="str">
        <f>+RIGHT(DB!M276,6)</f>
        <v/>
      </c>
      <c r="O276">
        <v>95</v>
      </c>
      <c r="P276">
        <v>5</v>
      </c>
      <c r="Q276">
        <f>+DB!AB276</f>
        <v>0</v>
      </c>
      <c r="R276">
        <f>+DB!K276</f>
        <v>0</v>
      </c>
      <c r="S276">
        <f>+DB!F276</f>
        <v>0</v>
      </c>
      <c r="T276">
        <f>+IF(DB!F276="AAAC-35",1,3)</f>
        <v>3</v>
      </c>
      <c r="U276">
        <f>+DB!R276</f>
        <v>0</v>
      </c>
      <c r="V276">
        <f>+IF(DB!P276="1RI",1,0)+IF(DB!P276="2RI",2,0)</f>
        <v>0</v>
      </c>
      <c r="W276">
        <f>+IF(DB!P276="1RV",1,0)+IF(DB!P276="2RV",2,0)</f>
        <v>0</v>
      </c>
      <c r="X276">
        <f>+IF(DB!P276="RYI",1,0)</f>
        <v>0</v>
      </c>
      <c r="Y276">
        <f>+IF(DB!P276="RYV",1,0)</f>
        <v>0</v>
      </c>
      <c r="Z276">
        <f>+DB!U276</f>
        <v>0</v>
      </c>
      <c r="AA276">
        <f>+IF(DB!F276="AAAC-35",19.5,33)</f>
        <v>33</v>
      </c>
      <c r="AB276">
        <f>+DB!V276</f>
        <v>0</v>
      </c>
      <c r="AC276" t="str">
        <f t="shared" si="14"/>
        <v>56-4</v>
      </c>
      <c r="AD276" s="21" t="s">
        <v>72</v>
      </c>
      <c r="AE276">
        <f>+DB!X276</f>
        <v>0</v>
      </c>
      <c r="AF276" s="22">
        <f>+DB!Y276</f>
        <v>0</v>
      </c>
      <c r="AG276">
        <f>+DB!AK276</f>
        <v>0</v>
      </c>
    </row>
    <row r="277" spans="1:33" x14ac:dyDescent="0.2">
      <c r="A277">
        <f>+DB!C277</f>
        <v>0</v>
      </c>
      <c r="B277">
        <f>+DB!D277</f>
        <v>0</v>
      </c>
      <c r="C277">
        <f>+DB!E277</f>
        <v>0</v>
      </c>
      <c r="D277">
        <f t="shared" si="12"/>
        <v>0</v>
      </c>
      <c r="E277">
        <f>+DB!G277</f>
        <v>0</v>
      </c>
      <c r="F277">
        <f>+DB!H277</f>
        <v>0</v>
      </c>
      <c r="G277">
        <f>+DB!N277</f>
        <v>0</v>
      </c>
      <c r="H277">
        <f>+DB!O277</f>
        <v>0</v>
      </c>
      <c r="I277">
        <f>+DB!I277</f>
        <v>0</v>
      </c>
      <c r="J277">
        <f>+DB!J277</f>
        <v>0</v>
      </c>
      <c r="K277">
        <f>+DB!L277</f>
        <v>0</v>
      </c>
      <c r="L277" t="str">
        <f t="shared" si="13"/>
        <v/>
      </c>
      <c r="M277" t="str">
        <f>+IF(LEFT(DB!M277,3)="13/","CAC","MAD")</f>
        <v>MAD</v>
      </c>
      <c r="N277" t="str">
        <f>+RIGHT(DB!M277,6)</f>
        <v/>
      </c>
      <c r="O277">
        <v>95</v>
      </c>
      <c r="P277">
        <v>5</v>
      </c>
      <c r="Q277">
        <f>+DB!AB277</f>
        <v>0</v>
      </c>
      <c r="R277">
        <f>+DB!K277</f>
        <v>0</v>
      </c>
      <c r="S277">
        <f>+DB!F277</f>
        <v>0</v>
      </c>
      <c r="T277">
        <f>+IF(DB!F277="AAAC-35",1,3)</f>
        <v>3</v>
      </c>
      <c r="U277">
        <f>+DB!R277</f>
        <v>0</v>
      </c>
      <c r="V277">
        <f>+IF(DB!P277="1RI",1,0)+IF(DB!P277="2RI",2,0)</f>
        <v>0</v>
      </c>
      <c r="W277">
        <f>+IF(DB!P277="1RV",1,0)+IF(DB!P277="2RV",2,0)</f>
        <v>0</v>
      </c>
      <c r="X277">
        <f>+IF(DB!P277="RYI",1,0)</f>
        <v>0</v>
      </c>
      <c r="Y277">
        <f>+IF(DB!P277="RYV",1,0)</f>
        <v>0</v>
      </c>
      <c r="Z277">
        <f>+DB!U277</f>
        <v>0</v>
      </c>
      <c r="AA277">
        <f>+IF(DB!F277="AAAC-35",19.5,33)</f>
        <v>33</v>
      </c>
      <c r="AB277">
        <f>+DB!V277</f>
        <v>0</v>
      </c>
      <c r="AC277" t="str">
        <f t="shared" si="14"/>
        <v>56-4</v>
      </c>
      <c r="AD277" s="21" t="s">
        <v>72</v>
      </c>
      <c r="AE277">
        <f>+DB!X277</f>
        <v>0</v>
      </c>
      <c r="AF277" s="22">
        <f>+DB!Y277</f>
        <v>0</v>
      </c>
      <c r="AG277">
        <f>+DB!AK277</f>
        <v>0</v>
      </c>
    </row>
    <row r="278" spans="1:33" x14ac:dyDescent="0.2">
      <c r="A278">
        <f>+DB!C278</f>
        <v>0</v>
      </c>
      <c r="B278">
        <f>+DB!D278</f>
        <v>0</v>
      </c>
      <c r="C278">
        <f>+DB!E278</f>
        <v>0</v>
      </c>
      <c r="D278">
        <f t="shared" si="12"/>
        <v>0</v>
      </c>
      <c r="E278">
        <f>+DB!G278</f>
        <v>0</v>
      </c>
      <c r="F278">
        <f>+DB!H278</f>
        <v>0</v>
      </c>
      <c r="G278">
        <f>+DB!N278</f>
        <v>0</v>
      </c>
      <c r="H278">
        <f>+DB!O278</f>
        <v>0</v>
      </c>
      <c r="I278">
        <f>+DB!I278</f>
        <v>0</v>
      </c>
      <c r="J278">
        <f>+DB!J278</f>
        <v>0</v>
      </c>
      <c r="K278">
        <f>+DB!L278</f>
        <v>0</v>
      </c>
      <c r="L278" t="str">
        <f t="shared" si="13"/>
        <v/>
      </c>
      <c r="M278" t="str">
        <f>+IF(LEFT(DB!M278,3)="13/","CAC","MAD")</f>
        <v>MAD</v>
      </c>
      <c r="N278" t="str">
        <f>+RIGHT(DB!M278,6)</f>
        <v/>
      </c>
      <c r="O278">
        <v>95</v>
      </c>
      <c r="P278">
        <v>5</v>
      </c>
      <c r="Q278">
        <f>+DB!AB278</f>
        <v>0</v>
      </c>
      <c r="R278">
        <f>+DB!K278</f>
        <v>0</v>
      </c>
      <c r="S278">
        <f>+DB!F278</f>
        <v>0</v>
      </c>
      <c r="T278">
        <f>+IF(DB!F278="AAAC-35",1,3)</f>
        <v>3</v>
      </c>
      <c r="U278">
        <f>+DB!R278</f>
        <v>0</v>
      </c>
      <c r="V278">
        <f>+IF(DB!P278="1RI",1,0)+IF(DB!P278="2RI",2,0)</f>
        <v>0</v>
      </c>
      <c r="W278">
        <f>+IF(DB!P278="1RV",1,0)+IF(DB!P278="2RV",2,0)</f>
        <v>0</v>
      </c>
      <c r="X278">
        <f>+IF(DB!P278="RYI",1,0)</f>
        <v>0</v>
      </c>
      <c r="Y278">
        <f>+IF(DB!P278="RYV",1,0)</f>
        <v>0</v>
      </c>
      <c r="Z278">
        <f>+DB!U278</f>
        <v>0</v>
      </c>
      <c r="AA278">
        <f>+IF(DB!F278="AAAC-35",19.5,33)</f>
        <v>33</v>
      </c>
      <c r="AB278">
        <f>+DB!V278</f>
        <v>0</v>
      </c>
      <c r="AC278" t="str">
        <f t="shared" si="14"/>
        <v>56-4</v>
      </c>
      <c r="AD278" s="21" t="s">
        <v>72</v>
      </c>
      <c r="AE278">
        <f>+DB!X278</f>
        <v>0</v>
      </c>
      <c r="AF278" s="22">
        <f>+DB!Y278</f>
        <v>0</v>
      </c>
      <c r="AG278">
        <f>+DB!AK278</f>
        <v>0</v>
      </c>
    </row>
    <row r="279" spans="1:33" x14ac:dyDescent="0.2">
      <c r="A279">
        <f>+DB!C279</f>
        <v>0</v>
      </c>
      <c r="B279">
        <f>+DB!D279</f>
        <v>0</v>
      </c>
      <c r="C279">
        <f>+DB!E279</f>
        <v>0</v>
      </c>
      <c r="D279">
        <f t="shared" si="12"/>
        <v>0</v>
      </c>
      <c r="E279">
        <f>+DB!G279</f>
        <v>0</v>
      </c>
      <c r="F279">
        <f>+DB!H279</f>
        <v>0</v>
      </c>
      <c r="G279">
        <f>+DB!N279</f>
        <v>0</v>
      </c>
      <c r="H279">
        <f>+DB!O279</f>
        <v>0</v>
      </c>
      <c r="I279">
        <f>+DB!I279</f>
        <v>0</v>
      </c>
      <c r="J279">
        <f>+DB!J279</f>
        <v>0</v>
      </c>
      <c r="K279">
        <f>+DB!L279</f>
        <v>0</v>
      </c>
      <c r="L279" t="str">
        <f t="shared" si="13"/>
        <v/>
      </c>
      <c r="M279" t="str">
        <f>+IF(LEFT(DB!M279,3)="13/","CAC","MAD")</f>
        <v>MAD</v>
      </c>
      <c r="N279" t="str">
        <f>+RIGHT(DB!M279,6)</f>
        <v/>
      </c>
      <c r="O279">
        <v>95</v>
      </c>
      <c r="P279">
        <v>5</v>
      </c>
      <c r="Q279">
        <f>+DB!AB279</f>
        <v>0</v>
      </c>
      <c r="R279">
        <f>+DB!K279</f>
        <v>0</v>
      </c>
      <c r="S279">
        <f>+DB!F279</f>
        <v>0</v>
      </c>
      <c r="T279">
        <f>+IF(DB!F279="AAAC-35",1,3)</f>
        <v>3</v>
      </c>
      <c r="U279">
        <f>+DB!R279</f>
        <v>0</v>
      </c>
      <c r="V279">
        <f>+IF(DB!P279="1RI",1,0)+IF(DB!P279="2RI",2,0)</f>
        <v>0</v>
      </c>
      <c r="W279">
        <f>+IF(DB!P279="1RV",1,0)+IF(DB!P279="2RV",2,0)</f>
        <v>0</v>
      </c>
      <c r="X279">
        <f>+IF(DB!P279="RYI",1,0)</f>
        <v>0</v>
      </c>
      <c r="Y279">
        <f>+IF(DB!P279="RYV",1,0)</f>
        <v>0</v>
      </c>
      <c r="Z279">
        <f>+DB!U279</f>
        <v>0</v>
      </c>
      <c r="AA279">
        <f>+IF(DB!F279="AAAC-35",19.5,33)</f>
        <v>33</v>
      </c>
      <c r="AB279">
        <f>+DB!V279</f>
        <v>0</v>
      </c>
      <c r="AC279" t="str">
        <f t="shared" si="14"/>
        <v>56-4</v>
      </c>
      <c r="AD279" s="21" t="s">
        <v>72</v>
      </c>
      <c r="AE279">
        <f>+DB!X279</f>
        <v>0</v>
      </c>
      <c r="AF279" s="22">
        <f>+DB!Y279</f>
        <v>0</v>
      </c>
      <c r="AG279">
        <f>+DB!AK279</f>
        <v>0</v>
      </c>
    </row>
    <row r="280" spans="1:33" x14ac:dyDescent="0.2">
      <c r="A280">
        <f>+DB!C280</f>
        <v>0</v>
      </c>
      <c r="B280">
        <f>+DB!D280</f>
        <v>0</v>
      </c>
      <c r="C280">
        <f>+DB!E280</f>
        <v>0</v>
      </c>
      <c r="D280">
        <f t="shared" si="12"/>
        <v>0</v>
      </c>
      <c r="E280">
        <f>+DB!G280</f>
        <v>0</v>
      </c>
      <c r="F280">
        <f>+DB!H280</f>
        <v>0</v>
      </c>
      <c r="G280">
        <f>+DB!N280</f>
        <v>0</v>
      </c>
      <c r="H280">
        <f>+DB!O280</f>
        <v>0</v>
      </c>
      <c r="I280">
        <f>+DB!I280</f>
        <v>0</v>
      </c>
      <c r="J280">
        <f>+DB!J280</f>
        <v>0</v>
      </c>
      <c r="K280">
        <f>+DB!L280</f>
        <v>0</v>
      </c>
      <c r="L280" t="str">
        <f t="shared" si="13"/>
        <v/>
      </c>
      <c r="M280" t="str">
        <f>+IF(LEFT(DB!M280,3)="13/","CAC","MAD")</f>
        <v>MAD</v>
      </c>
      <c r="N280" t="str">
        <f>+RIGHT(DB!M280,6)</f>
        <v/>
      </c>
      <c r="O280">
        <v>95</v>
      </c>
      <c r="P280">
        <v>5</v>
      </c>
      <c r="Q280">
        <f>+DB!AB280</f>
        <v>0</v>
      </c>
      <c r="R280">
        <f>+DB!K280</f>
        <v>0</v>
      </c>
      <c r="S280">
        <f>+DB!F280</f>
        <v>0</v>
      </c>
      <c r="T280">
        <f>+IF(DB!F280="AAAC-35",1,3)</f>
        <v>3</v>
      </c>
      <c r="U280">
        <f>+DB!R280</f>
        <v>0</v>
      </c>
      <c r="V280">
        <f>+IF(DB!P280="1RI",1,0)+IF(DB!P280="2RI",2,0)</f>
        <v>0</v>
      </c>
      <c r="W280">
        <f>+IF(DB!P280="1RV",1,0)+IF(DB!P280="2RV",2,0)</f>
        <v>0</v>
      </c>
      <c r="X280">
        <f>+IF(DB!P280="RYI",1,0)</f>
        <v>0</v>
      </c>
      <c r="Y280">
        <f>+IF(DB!P280="RYV",1,0)</f>
        <v>0</v>
      </c>
      <c r="Z280">
        <f>+DB!U280</f>
        <v>0</v>
      </c>
      <c r="AA280">
        <f>+IF(DB!F280="AAAC-35",19.5,33)</f>
        <v>33</v>
      </c>
      <c r="AB280">
        <f>+DB!V280</f>
        <v>0</v>
      </c>
      <c r="AC280" t="str">
        <f t="shared" si="14"/>
        <v>56-4</v>
      </c>
      <c r="AD280" s="21" t="s">
        <v>72</v>
      </c>
      <c r="AE280">
        <f>+DB!X280</f>
        <v>0</v>
      </c>
      <c r="AF280" s="22">
        <f>+DB!Y280</f>
        <v>0</v>
      </c>
      <c r="AG280">
        <f>+DB!AK280</f>
        <v>0</v>
      </c>
    </row>
    <row r="281" spans="1:33" x14ac:dyDescent="0.2">
      <c r="A281">
        <f>+DB!C281</f>
        <v>0</v>
      </c>
      <c r="B281">
        <f>+DB!D281</f>
        <v>0</v>
      </c>
      <c r="C281">
        <f>+DB!E281</f>
        <v>0</v>
      </c>
      <c r="D281">
        <f t="shared" si="12"/>
        <v>0</v>
      </c>
      <c r="E281">
        <f>+DB!G281</f>
        <v>0</v>
      </c>
      <c r="F281">
        <f>+DB!H281</f>
        <v>0</v>
      </c>
      <c r="G281">
        <f>+DB!N281</f>
        <v>0</v>
      </c>
      <c r="H281">
        <f>+DB!O281</f>
        <v>0</v>
      </c>
      <c r="I281">
        <f>+DB!I281</f>
        <v>0</v>
      </c>
      <c r="J281">
        <f>+DB!J281</f>
        <v>0</v>
      </c>
      <c r="K281">
        <f>+DB!L281</f>
        <v>0</v>
      </c>
      <c r="L281" t="str">
        <f t="shared" si="13"/>
        <v/>
      </c>
      <c r="M281" t="str">
        <f>+IF(LEFT(DB!M281,3)="13/","CAC","MAD")</f>
        <v>MAD</v>
      </c>
      <c r="N281" t="str">
        <f>+RIGHT(DB!M281,6)</f>
        <v/>
      </c>
      <c r="O281">
        <v>95</v>
      </c>
      <c r="P281">
        <v>5</v>
      </c>
      <c r="Q281">
        <f>+DB!AB281</f>
        <v>0</v>
      </c>
      <c r="R281">
        <f>+DB!K281</f>
        <v>0</v>
      </c>
      <c r="S281">
        <f>+DB!F281</f>
        <v>0</v>
      </c>
      <c r="T281">
        <f>+IF(DB!F281="AAAC-35",1,3)</f>
        <v>3</v>
      </c>
      <c r="U281">
        <f>+DB!R281</f>
        <v>0</v>
      </c>
      <c r="V281">
        <f>+IF(DB!P281="1RI",1,0)+IF(DB!P281="2RI",2,0)</f>
        <v>0</v>
      </c>
      <c r="W281">
        <f>+IF(DB!P281="1RV",1,0)+IF(DB!P281="2RV",2,0)</f>
        <v>0</v>
      </c>
      <c r="X281">
        <f>+IF(DB!P281="RYI",1,0)</f>
        <v>0</v>
      </c>
      <c r="Y281">
        <f>+IF(DB!P281="RYV",1,0)</f>
        <v>0</v>
      </c>
      <c r="Z281">
        <f>+DB!U281</f>
        <v>0</v>
      </c>
      <c r="AA281">
        <f>+IF(DB!F281="AAAC-35",19.5,33)</f>
        <v>33</v>
      </c>
      <c r="AB281">
        <f>+DB!V281</f>
        <v>0</v>
      </c>
      <c r="AC281" t="str">
        <f t="shared" si="14"/>
        <v>56-4</v>
      </c>
      <c r="AD281" s="21" t="s">
        <v>72</v>
      </c>
      <c r="AE281">
        <f>+DB!X281</f>
        <v>0</v>
      </c>
      <c r="AF281" s="22">
        <f>+DB!Y281</f>
        <v>0</v>
      </c>
      <c r="AG281">
        <f>+DB!AK281</f>
        <v>0</v>
      </c>
    </row>
    <row r="282" spans="1:33" x14ac:dyDescent="0.2">
      <c r="A282">
        <f>+DB!C282</f>
        <v>0</v>
      </c>
      <c r="B282">
        <f>+DB!D282</f>
        <v>0</v>
      </c>
      <c r="C282">
        <f>+DB!E282</f>
        <v>0</v>
      </c>
      <c r="D282">
        <f t="shared" si="12"/>
        <v>0</v>
      </c>
      <c r="E282">
        <f>+DB!G282</f>
        <v>0</v>
      </c>
      <c r="F282">
        <f>+DB!H282</f>
        <v>0</v>
      </c>
      <c r="G282">
        <f>+DB!N282</f>
        <v>0</v>
      </c>
      <c r="H282">
        <f>+DB!O282</f>
        <v>0</v>
      </c>
      <c r="I282">
        <f>+DB!I282</f>
        <v>0</v>
      </c>
      <c r="J282">
        <f>+DB!J282</f>
        <v>0</v>
      </c>
      <c r="K282">
        <f>+DB!L282</f>
        <v>0</v>
      </c>
      <c r="L282" t="str">
        <f t="shared" si="13"/>
        <v/>
      </c>
      <c r="M282" t="str">
        <f>+IF(LEFT(DB!M282,3)="13/","CAC","MAD")</f>
        <v>MAD</v>
      </c>
      <c r="N282" t="str">
        <f>+RIGHT(DB!M282,6)</f>
        <v/>
      </c>
      <c r="O282">
        <v>95</v>
      </c>
      <c r="P282">
        <v>5</v>
      </c>
      <c r="Q282">
        <f>+DB!AB282</f>
        <v>0</v>
      </c>
      <c r="R282">
        <f>+DB!K282</f>
        <v>0</v>
      </c>
      <c r="S282">
        <f>+DB!F282</f>
        <v>0</v>
      </c>
      <c r="T282">
        <f>+IF(DB!F282="AAAC-35",1,3)</f>
        <v>3</v>
      </c>
      <c r="U282">
        <f>+DB!R282</f>
        <v>0</v>
      </c>
      <c r="V282">
        <f>+IF(DB!P282="1RI",1,0)+IF(DB!P282="2RI",2,0)</f>
        <v>0</v>
      </c>
      <c r="W282">
        <f>+IF(DB!P282="1RV",1,0)+IF(DB!P282="2RV",2,0)</f>
        <v>0</v>
      </c>
      <c r="X282">
        <f>+IF(DB!P282="RYI",1,0)</f>
        <v>0</v>
      </c>
      <c r="Y282">
        <f>+IF(DB!P282="RYV",1,0)</f>
        <v>0</v>
      </c>
      <c r="Z282">
        <f>+DB!U282</f>
        <v>0</v>
      </c>
      <c r="AA282">
        <f>+IF(DB!F282="AAAC-35",19.5,33)</f>
        <v>33</v>
      </c>
      <c r="AB282">
        <f>+DB!V282</f>
        <v>0</v>
      </c>
      <c r="AC282" t="str">
        <f t="shared" si="14"/>
        <v>56-4</v>
      </c>
      <c r="AD282" s="21" t="s">
        <v>72</v>
      </c>
      <c r="AE282">
        <f>+DB!X282</f>
        <v>0</v>
      </c>
      <c r="AF282" s="22">
        <f>+DB!Y282</f>
        <v>0</v>
      </c>
      <c r="AG282">
        <f>+DB!AK282</f>
        <v>0</v>
      </c>
    </row>
    <row r="283" spans="1:33" x14ac:dyDescent="0.2">
      <c r="A283">
        <f>+DB!C283</f>
        <v>0</v>
      </c>
      <c r="B283">
        <f>+DB!D283</f>
        <v>0</v>
      </c>
      <c r="C283">
        <f>+DB!E283</f>
        <v>0</v>
      </c>
      <c r="D283">
        <f t="shared" si="12"/>
        <v>0</v>
      </c>
      <c r="E283">
        <f>+DB!G283</f>
        <v>0</v>
      </c>
      <c r="F283">
        <f>+DB!H283</f>
        <v>0</v>
      </c>
      <c r="G283">
        <f>+DB!N283</f>
        <v>0</v>
      </c>
      <c r="H283">
        <f>+DB!O283</f>
        <v>0</v>
      </c>
      <c r="I283">
        <f>+DB!I283</f>
        <v>0</v>
      </c>
      <c r="J283">
        <f>+DB!J283</f>
        <v>0</v>
      </c>
      <c r="K283">
        <f>+DB!L283</f>
        <v>0</v>
      </c>
      <c r="L283" t="str">
        <f t="shared" si="13"/>
        <v/>
      </c>
      <c r="M283" t="str">
        <f>+IF(LEFT(DB!M283,3)="13/","CAC","MAD")</f>
        <v>MAD</v>
      </c>
      <c r="N283" t="str">
        <f>+RIGHT(DB!M283,6)</f>
        <v/>
      </c>
      <c r="O283">
        <v>95</v>
      </c>
      <c r="P283">
        <v>5</v>
      </c>
      <c r="Q283">
        <f>+DB!AB283</f>
        <v>0</v>
      </c>
      <c r="R283">
        <f>+DB!K283</f>
        <v>0</v>
      </c>
      <c r="S283">
        <f>+DB!F283</f>
        <v>0</v>
      </c>
      <c r="T283">
        <f>+IF(DB!F283="AAAC-35",1,3)</f>
        <v>3</v>
      </c>
      <c r="U283">
        <f>+DB!R283</f>
        <v>0</v>
      </c>
      <c r="V283">
        <f>+IF(DB!P283="1RI",1,0)+IF(DB!P283="2RI",2,0)</f>
        <v>0</v>
      </c>
      <c r="W283">
        <f>+IF(DB!P283="1RV",1,0)+IF(DB!P283="2RV",2,0)</f>
        <v>0</v>
      </c>
      <c r="X283">
        <f>+IF(DB!P283="RYI",1,0)</f>
        <v>0</v>
      </c>
      <c r="Y283">
        <f>+IF(DB!P283="RYV",1,0)</f>
        <v>0</v>
      </c>
      <c r="Z283">
        <f>+DB!U283</f>
        <v>0</v>
      </c>
      <c r="AA283">
        <f>+IF(DB!F283="AAAC-35",19.5,33)</f>
        <v>33</v>
      </c>
      <c r="AB283">
        <f>+DB!V283</f>
        <v>0</v>
      </c>
      <c r="AC283" t="str">
        <f t="shared" si="14"/>
        <v>56-4</v>
      </c>
      <c r="AD283" s="21" t="s">
        <v>72</v>
      </c>
      <c r="AE283">
        <f>+DB!X283</f>
        <v>0</v>
      </c>
      <c r="AF283" s="22">
        <f>+DB!Y283</f>
        <v>0</v>
      </c>
      <c r="AG283">
        <f>+DB!AK283</f>
        <v>0</v>
      </c>
    </row>
    <row r="284" spans="1:33" x14ac:dyDescent="0.2">
      <c r="A284">
        <f>+DB!C284</f>
        <v>0</v>
      </c>
      <c r="B284">
        <f>+DB!D284</f>
        <v>0</v>
      </c>
      <c r="C284">
        <f>+DB!E284</f>
        <v>0</v>
      </c>
      <c r="D284">
        <f t="shared" si="12"/>
        <v>0</v>
      </c>
      <c r="E284">
        <f>+DB!G284</f>
        <v>0</v>
      </c>
      <c r="F284">
        <f>+DB!H284</f>
        <v>0</v>
      </c>
      <c r="G284">
        <f>+DB!N284</f>
        <v>0</v>
      </c>
      <c r="H284">
        <f>+DB!O284</f>
        <v>0</v>
      </c>
      <c r="I284">
        <f>+DB!I284</f>
        <v>0</v>
      </c>
      <c r="J284">
        <f>+DB!J284</f>
        <v>0</v>
      </c>
      <c r="K284">
        <f>+DB!L284</f>
        <v>0</v>
      </c>
      <c r="L284" t="str">
        <f t="shared" si="13"/>
        <v/>
      </c>
      <c r="M284" t="str">
        <f>+IF(LEFT(DB!M284,3)="13/","CAC","MAD")</f>
        <v>MAD</v>
      </c>
      <c r="N284" t="str">
        <f>+RIGHT(DB!M284,6)</f>
        <v/>
      </c>
      <c r="O284">
        <v>95</v>
      </c>
      <c r="P284">
        <v>5</v>
      </c>
      <c r="Q284">
        <f>+DB!AB284</f>
        <v>0</v>
      </c>
      <c r="R284">
        <f>+DB!K284</f>
        <v>0</v>
      </c>
      <c r="S284">
        <f>+DB!F284</f>
        <v>0</v>
      </c>
      <c r="T284">
        <f>+IF(DB!F284="AAAC-35",1,3)</f>
        <v>3</v>
      </c>
      <c r="U284">
        <f>+DB!R284</f>
        <v>0</v>
      </c>
      <c r="V284">
        <f>+IF(DB!P284="1RI",1,0)+IF(DB!P284="2RI",2,0)</f>
        <v>0</v>
      </c>
      <c r="W284">
        <f>+IF(DB!P284="1RV",1,0)+IF(DB!P284="2RV",2,0)</f>
        <v>0</v>
      </c>
      <c r="X284">
        <f>+IF(DB!P284="RYI",1,0)</f>
        <v>0</v>
      </c>
      <c r="Y284">
        <f>+IF(DB!P284="RYV",1,0)</f>
        <v>0</v>
      </c>
      <c r="Z284">
        <f>+DB!U284</f>
        <v>0</v>
      </c>
      <c r="AA284">
        <f>+IF(DB!F284="AAAC-35",19.5,33)</f>
        <v>33</v>
      </c>
      <c r="AB284">
        <f>+DB!V284</f>
        <v>0</v>
      </c>
      <c r="AC284" t="str">
        <f t="shared" si="14"/>
        <v>56-4</v>
      </c>
      <c r="AD284" s="21" t="s">
        <v>72</v>
      </c>
      <c r="AE284">
        <f>+DB!X284</f>
        <v>0</v>
      </c>
      <c r="AF284" s="22">
        <f>+DB!Y284</f>
        <v>0</v>
      </c>
      <c r="AG284">
        <f>+DB!AK284</f>
        <v>0</v>
      </c>
    </row>
    <row r="285" spans="1:33" x14ac:dyDescent="0.2">
      <c r="A285">
        <f>+DB!C285</f>
        <v>0</v>
      </c>
      <c r="B285">
        <f>+DB!D285</f>
        <v>0</v>
      </c>
      <c r="C285">
        <f>+DB!E285</f>
        <v>0</v>
      </c>
      <c r="D285">
        <f t="shared" si="12"/>
        <v>0</v>
      </c>
      <c r="E285">
        <f>+DB!G285</f>
        <v>0</v>
      </c>
      <c r="F285">
        <f>+DB!H285</f>
        <v>0</v>
      </c>
      <c r="G285">
        <f>+DB!N285</f>
        <v>0</v>
      </c>
      <c r="H285">
        <f>+DB!O285</f>
        <v>0</v>
      </c>
      <c r="I285">
        <f>+DB!I285</f>
        <v>0</v>
      </c>
      <c r="J285">
        <f>+DB!J285</f>
        <v>0</v>
      </c>
      <c r="K285">
        <f>+DB!L285</f>
        <v>0</v>
      </c>
      <c r="L285" t="str">
        <f t="shared" si="13"/>
        <v/>
      </c>
      <c r="M285" t="str">
        <f>+IF(LEFT(DB!M285,3)="13/","CAC","MAD")</f>
        <v>MAD</v>
      </c>
      <c r="N285" t="str">
        <f>+RIGHT(DB!M285,6)</f>
        <v/>
      </c>
      <c r="O285">
        <v>95</v>
      </c>
      <c r="P285">
        <v>5</v>
      </c>
      <c r="Q285">
        <f>+DB!AB285</f>
        <v>0</v>
      </c>
      <c r="R285">
        <f>+DB!K285</f>
        <v>0</v>
      </c>
      <c r="S285">
        <f>+DB!F285</f>
        <v>0</v>
      </c>
      <c r="T285">
        <f>+IF(DB!F285="AAAC-35",1,3)</f>
        <v>3</v>
      </c>
      <c r="U285">
        <f>+DB!R285</f>
        <v>0</v>
      </c>
      <c r="V285">
        <f>+IF(DB!P285="1RI",1,0)+IF(DB!P285="2RI",2,0)</f>
        <v>0</v>
      </c>
      <c r="W285">
        <f>+IF(DB!P285="1RV",1,0)+IF(DB!P285="2RV",2,0)</f>
        <v>0</v>
      </c>
      <c r="X285">
        <f>+IF(DB!P285="RYI",1,0)</f>
        <v>0</v>
      </c>
      <c r="Y285">
        <f>+IF(DB!P285="RYV",1,0)</f>
        <v>0</v>
      </c>
      <c r="Z285">
        <f>+DB!U285</f>
        <v>0</v>
      </c>
      <c r="AA285">
        <f>+IF(DB!F285="AAAC-35",19.5,33)</f>
        <v>33</v>
      </c>
      <c r="AB285">
        <f>+DB!V285</f>
        <v>0</v>
      </c>
      <c r="AC285" t="str">
        <f t="shared" si="14"/>
        <v>56-4</v>
      </c>
      <c r="AD285" s="21" t="s">
        <v>72</v>
      </c>
      <c r="AE285">
        <f>+DB!X285</f>
        <v>0</v>
      </c>
      <c r="AF285" s="22">
        <f>+DB!Y285</f>
        <v>0</v>
      </c>
      <c r="AG285">
        <f>+DB!AK285</f>
        <v>0</v>
      </c>
    </row>
    <row r="286" spans="1:33" x14ac:dyDescent="0.2">
      <c r="A286">
        <f>+DB!C286</f>
        <v>0</v>
      </c>
      <c r="B286">
        <f>+DB!D286</f>
        <v>0</v>
      </c>
      <c r="C286">
        <f>+DB!E286</f>
        <v>0</v>
      </c>
      <c r="D286">
        <f t="shared" si="12"/>
        <v>0</v>
      </c>
      <c r="E286">
        <f>+DB!G286</f>
        <v>0</v>
      </c>
      <c r="F286">
        <f>+DB!H286</f>
        <v>0</v>
      </c>
      <c r="G286">
        <f>+DB!N286</f>
        <v>0</v>
      </c>
      <c r="H286">
        <f>+DB!O286</f>
        <v>0</v>
      </c>
      <c r="I286">
        <f>+DB!I286</f>
        <v>0</v>
      </c>
      <c r="J286">
        <f>+DB!J286</f>
        <v>0</v>
      </c>
      <c r="K286">
        <f>+DB!L286</f>
        <v>0</v>
      </c>
      <c r="L286" t="str">
        <f t="shared" si="13"/>
        <v/>
      </c>
      <c r="M286" t="str">
        <f>+IF(LEFT(DB!M286,3)="13/","CAC","MAD")</f>
        <v>MAD</v>
      </c>
      <c r="N286" t="str">
        <f>+RIGHT(DB!M286,6)</f>
        <v/>
      </c>
      <c r="O286">
        <v>95</v>
      </c>
      <c r="P286">
        <v>5</v>
      </c>
      <c r="Q286">
        <f>+DB!AB286</f>
        <v>0</v>
      </c>
      <c r="R286">
        <f>+DB!K286</f>
        <v>0</v>
      </c>
      <c r="S286">
        <f>+DB!F286</f>
        <v>0</v>
      </c>
      <c r="T286">
        <f>+IF(DB!F286="AAAC-35",1,3)</f>
        <v>3</v>
      </c>
      <c r="U286">
        <f>+DB!R286</f>
        <v>0</v>
      </c>
      <c r="V286">
        <f>+IF(DB!P286="1RI",1,0)+IF(DB!P286="2RI",2,0)</f>
        <v>0</v>
      </c>
      <c r="W286">
        <f>+IF(DB!P286="1RV",1,0)+IF(DB!P286="2RV",2,0)</f>
        <v>0</v>
      </c>
      <c r="X286">
        <f>+IF(DB!P286="RYI",1,0)</f>
        <v>0</v>
      </c>
      <c r="Y286">
        <f>+IF(DB!P286="RYV",1,0)</f>
        <v>0</v>
      </c>
      <c r="Z286">
        <f>+DB!U286</f>
        <v>0</v>
      </c>
      <c r="AA286">
        <f>+IF(DB!F286="AAAC-35",19.5,33)</f>
        <v>33</v>
      </c>
      <c r="AB286">
        <f>+DB!V286</f>
        <v>0</v>
      </c>
      <c r="AC286" t="str">
        <f t="shared" si="14"/>
        <v>56-4</v>
      </c>
      <c r="AD286" s="21" t="s">
        <v>72</v>
      </c>
      <c r="AE286">
        <f>+DB!X286</f>
        <v>0</v>
      </c>
      <c r="AF286" s="22">
        <f>+DB!Y286</f>
        <v>0</v>
      </c>
      <c r="AG286">
        <f>+DB!AK286</f>
        <v>0</v>
      </c>
    </row>
    <row r="287" spans="1:33" x14ac:dyDescent="0.2">
      <c r="A287">
        <f>+DB!C287</f>
        <v>0</v>
      </c>
      <c r="B287">
        <f>+DB!D287</f>
        <v>0</v>
      </c>
      <c r="C287">
        <f>+DB!E287</f>
        <v>0</v>
      </c>
      <c r="D287">
        <f t="shared" si="12"/>
        <v>0</v>
      </c>
      <c r="E287">
        <f>+DB!G287</f>
        <v>0</v>
      </c>
      <c r="F287">
        <f>+DB!H287</f>
        <v>0</v>
      </c>
      <c r="G287">
        <f>+DB!N287</f>
        <v>0</v>
      </c>
      <c r="H287">
        <f>+DB!O287</f>
        <v>0</v>
      </c>
      <c r="I287">
        <f>+DB!I287</f>
        <v>0</v>
      </c>
      <c r="J287">
        <f>+DB!J287</f>
        <v>0</v>
      </c>
      <c r="K287">
        <f>+DB!L287</f>
        <v>0</v>
      </c>
      <c r="L287" t="str">
        <f t="shared" si="13"/>
        <v/>
      </c>
      <c r="M287" t="str">
        <f>+IF(LEFT(DB!M287,3)="13/","CAC","MAD")</f>
        <v>MAD</v>
      </c>
      <c r="N287" t="str">
        <f>+RIGHT(DB!M287,6)</f>
        <v/>
      </c>
      <c r="O287">
        <v>95</v>
      </c>
      <c r="P287">
        <v>5</v>
      </c>
      <c r="Q287">
        <f>+DB!AB287</f>
        <v>0</v>
      </c>
      <c r="R287">
        <f>+DB!K287</f>
        <v>0</v>
      </c>
      <c r="S287">
        <f>+DB!F287</f>
        <v>0</v>
      </c>
      <c r="T287">
        <f>+IF(DB!F287="AAAC-35",1,3)</f>
        <v>3</v>
      </c>
      <c r="U287">
        <f>+DB!R287</f>
        <v>0</v>
      </c>
      <c r="V287">
        <f>+IF(DB!P287="1RI",1,0)+IF(DB!P287="2RI",2,0)</f>
        <v>0</v>
      </c>
      <c r="W287">
        <f>+IF(DB!P287="1RV",1,0)+IF(DB!P287="2RV",2,0)</f>
        <v>0</v>
      </c>
      <c r="X287">
        <f>+IF(DB!P287="RYI",1,0)</f>
        <v>0</v>
      </c>
      <c r="Y287">
        <f>+IF(DB!P287="RYV",1,0)</f>
        <v>0</v>
      </c>
      <c r="Z287">
        <f>+DB!U287</f>
        <v>0</v>
      </c>
      <c r="AA287">
        <f>+IF(DB!F287="AAAC-35",19.5,33)</f>
        <v>33</v>
      </c>
      <c r="AB287">
        <f>+DB!V287</f>
        <v>0</v>
      </c>
      <c r="AC287" t="str">
        <f t="shared" si="14"/>
        <v>56-4</v>
      </c>
      <c r="AD287" s="21" t="s">
        <v>72</v>
      </c>
      <c r="AE287">
        <f>+DB!X287</f>
        <v>0</v>
      </c>
      <c r="AF287" s="22">
        <f>+DB!Y287</f>
        <v>0</v>
      </c>
      <c r="AG287">
        <f>+DB!AK287</f>
        <v>0</v>
      </c>
    </row>
    <row r="288" spans="1:33" x14ac:dyDescent="0.2">
      <c r="A288">
        <f>+DB!C288</f>
        <v>0</v>
      </c>
      <c r="B288">
        <f>+DB!D288</f>
        <v>0</v>
      </c>
      <c r="C288">
        <f>+DB!E288</f>
        <v>0</v>
      </c>
      <c r="D288">
        <f t="shared" si="12"/>
        <v>0</v>
      </c>
      <c r="E288">
        <f>+DB!G288</f>
        <v>0</v>
      </c>
      <c r="F288">
        <f>+DB!H288</f>
        <v>0</v>
      </c>
      <c r="G288">
        <f>+DB!N288</f>
        <v>0</v>
      </c>
      <c r="H288">
        <f>+DB!O288</f>
        <v>0</v>
      </c>
      <c r="I288">
        <f>+DB!I288</f>
        <v>0</v>
      </c>
      <c r="J288">
        <f>+DB!J288</f>
        <v>0</v>
      </c>
      <c r="K288">
        <f>+DB!L288</f>
        <v>0</v>
      </c>
      <c r="L288" t="str">
        <f t="shared" si="13"/>
        <v/>
      </c>
      <c r="M288" t="str">
        <f>+IF(LEFT(DB!M288,3)="13/","CAC","MAD")</f>
        <v>MAD</v>
      </c>
      <c r="N288" t="str">
        <f>+RIGHT(DB!M288,6)</f>
        <v/>
      </c>
      <c r="O288">
        <v>95</v>
      </c>
      <c r="P288">
        <v>5</v>
      </c>
      <c r="Q288">
        <f>+DB!AB288</f>
        <v>0</v>
      </c>
      <c r="R288">
        <f>+DB!K288</f>
        <v>0</v>
      </c>
      <c r="S288">
        <f>+DB!F288</f>
        <v>0</v>
      </c>
      <c r="T288">
        <f>+IF(DB!F288="AAAC-35",1,3)</f>
        <v>3</v>
      </c>
      <c r="U288">
        <f>+DB!R288</f>
        <v>0</v>
      </c>
      <c r="V288">
        <f>+IF(DB!P288="1RI",1,0)+IF(DB!P288="2RI",2,0)</f>
        <v>0</v>
      </c>
      <c r="W288">
        <f>+IF(DB!P288="1RV",1,0)+IF(DB!P288="2RV",2,0)</f>
        <v>0</v>
      </c>
      <c r="X288">
        <f>+IF(DB!P288="RYI",1,0)</f>
        <v>0</v>
      </c>
      <c r="Y288">
        <f>+IF(DB!P288="RYV",1,0)</f>
        <v>0</v>
      </c>
      <c r="Z288">
        <f>+DB!U288</f>
        <v>0</v>
      </c>
      <c r="AA288">
        <f>+IF(DB!F288="AAAC-35",19.5,33)</f>
        <v>33</v>
      </c>
      <c r="AB288">
        <f>+DB!V288</f>
        <v>0</v>
      </c>
      <c r="AC288" t="str">
        <f t="shared" si="14"/>
        <v>56-4</v>
      </c>
      <c r="AD288" s="21" t="s">
        <v>72</v>
      </c>
      <c r="AE288">
        <f>+DB!X288</f>
        <v>0</v>
      </c>
      <c r="AF288" s="22">
        <f>+DB!Y288</f>
        <v>0</v>
      </c>
      <c r="AG288">
        <f>+DB!AK288</f>
        <v>0</v>
      </c>
    </row>
    <row r="289" spans="1:33" x14ac:dyDescent="0.2">
      <c r="A289">
        <f>+DB!C289</f>
        <v>0</v>
      </c>
      <c r="B289">
        <f>+DB!D289</f>
        <v>0</v>
      </c>
      <c r="C289">
        <f>+DB!E289</f>
        <v>0</v>
      </c>
      <c r="D289">
        <f t="shared" si="12"/>
        <v>0</v>
      </c>
      <c r="E289">
        <f>+DB!G289</f>
        <v>0</v>
      </c>
      <c r="F289">
        <f>+DB!H289</f>
        <v>0</v>
      </c>
      <c r="G289">
        <f>+DB!N289</f>
        <v>0</v>
      </c>
      <c r="H289">
        <f>+DB!O289</f>
        <v>0</v>
      </c>
      <c r="I289">
        <f>+DB!I289</f>
        <v>0</v>
      </c>
      <c r="J289">
        <f>+DB!J289</f>
        <v>0</v>
      </c>
      <c r="K289">
        <f>+DB!L289</f>
        <v>0</v>
      </c>
      <c r="L289" t="str">
        <f t="shared" si="13"/>
        <v/>
      </c>
      <c r="M289" t="str">
        <f>+IF(LEFT(DB!M289,3)="13/","CAC","MAD")</f>
        <v>MAD</v>
      </c>
      <c r="N289" t="str">
        <f>+RIGHT(DB!M289,6)</f>
        <v/>
      </c>
      <c r="O289">
        <v>95</v>
      </c>
      <c r="P289">
        <v>5</v>
      </c>
      <c r="Q289">
        <f>+DB!AB289</f>
        <v>0</v>
      </c>
      <c r="R289">
        <f>+DB!K289</f>
        <v>0</v>
      </c>
      <c r="S289">
        <f>+DB!F289</f>
        <v>0</v>
      </c>
      <c r="T289">
        <f>+IF(DB!F289="AAAC-35",1,3)</f>
        <v>3</v>
      </c>
      <c r="U289">
        <f>+DB!R289</f>
        <v>0</v>
      </c>
      <c r="V289">
        <f>+IF(DB!P289="1RI",1,0)+IF(DB!P289="2RI",2,0)</f>
        <v>0</v>
      </c>
      <c r="W289">
        <f>+IF(DB!P289="1RV",1,0)+IF(DB!P289="2RV",2,0)</f>
        <v>0</v>
      </c>
      <c r="X289">
        <f>+IF(DB!P289="RYI",1,0)</f>
        <v>0</v>
      </c>
      <c r="Y289">
        <f>+IF(DB!P289="RYV",1,0)</f>
        <v>0</v>
      </c>
      <c r="Z289">
        <f>+DB!U289</f>
        <v>0</v>
      </c>
      <c r="AA289">
        <f>+IF(DB!F289="AAAC-35",19.5,33)</f>
        <v>33</v>
      </c>
      <c r="AB289">
        <f>+DB!V289</f>
        <v>0</v>
      </c>
      <c r="AC289" t="str">
        <f t="shared" si="14"/>
        <v>56-4</v>
      </c>
      <c r="AD289" s="21" t="s">
        <v>72</v>
      </c>
      <c r="AE289">
        <f>+DB!X289</f>
        <v>0</v>
      </c>
      <c r="AF289" s="22">
        <f>+DB!Y289</f>
        <v>0</v>
      </c>
      <c r="AG289">
        <f>+DB!AK289</f>
        <v>0</v>
      </c>
    </row>
    <row r="290" spans="1:33" x14ac:dyDescent="0.2">
      <c r="A290">
        <f>+DB!C290</f>
        <v>0</v>
      </c>
      <c r="B290">
        <f>+DB!D290</f>
        <v>0</v>
      </c>
      <c r="C290">
        <f>+DB!E290</f>
        <v>0</v>
      </c>
      <c r="D290">
        <f t="shared" si="12"/>
        <v>0</v>
      </c>
      <c r="E290">
        <f>+DB!G290</f>
        <v>0</v>
      </c>
      <c r="F290">
        <f>+DB!H290</f>
        <v>0</v>
      </c>
      <c r="G290">
        <f>+DB!N290</f>
        <v>0</v>
      </c>
      <c r="H290">
        <f>+DB!O290</f>
        <v>0</v>
      </c>
      <c r="I290">
        <f>+DB!I290</f>
        <v>0</v>
      </c>
      <c r="J290">
        <f>+DB!J290</f>
        <v>0</v>
      </c>
      <c r="K290">
        <f>+DB!L290</f>
        <v>0</v>
      </c>
      <c r="L290" t="str">
        <f t="shared" si="13"/>
        <v/>
      </c>
      <c r="M290" t="str">
        <f>+IF(LEFT(DB!M290,3)="13/","CAC","MAD")</f>
        <v>MAD</v>
      </c>
      <c r="N290" t="str">
        <f>+RIGHT(DB!M290,6)</f>
        <v/>
      </c>
      <c r="O290">
        <v>95</v>
      </c>
      <c r="P290">
        <v>5</v>
      </c>
      <c r="Q290">
        <f>+DB!AB290</f>
        <v>0</v>
      </c>
      <c r="R290">
        <f>+DB!K290</f>
        <v>0</v>
      </c>
      <c r="S290">
        <f>+DB!F290</f>
        <v>0</v>
      </c>
      <c r="T290">
        <f>+IF(DB!F290="AAAC-35",1,3)</f>
        <v>3</v>
      </c>
      <c r="U290">
        <f>+DB!R290</f>
        <v>0</v>
      </c>
      <c r="V290">
        <f>+IF(DB!P290="1RI",1,0)+IF(DB!P290="2RI",2,0)</f>
        <v>0</v>
      </c>
      <c r="W290">
        <f>+IF(DB!P290="1RV",1,0)+IF(DB!P290="2RV",2,0)</f>
        <v>0</v>
      </c>
      <c r="X290">
        <f>+IF(DB!P290="RYI",1,0)</f>
        <v>0</v>
      </c>
      <c r="Y290">
        <f>+IF(DB!P290="RYV",1,0)</f>
        <v>0</v>
      </c>
      <c r="Z290">
        <f>+DB!U290</f>
        <v>0</v>
      </c>
      <c r="AA290">
        <f>+IF(DB!F290="AAAC-35",19.5,33)</f>
        <v>33</v>
      </c>
      <c r="AB290">
        <f>+DB!V290</f>
        <v>0</v>
      </c>
      <c r="AC290" t="str">
        <f t="shared" si="14"/>
        <v>56-4</v>
      </c>
      <c r="AD290" s="21" t="s">
        <v>72</v>
      </c>
      <c r="AE290">
        <f>+DB!X290</f>
        <v>0</v>
      </c>
      <c r="AF290" s="22">
        <f>+DB!Y290</f>
        <v>0</v>
      </c>
      <c r="AG290">
        <f>+DB!AK290</f>
        <v>0</v>
      </c>
    </row>
    <row r="291" spans="1:33" x14ac:dyDescent="0.2">
      <c r="A291">
        <f>+DB!C291</f>
        <v>0</v>
      </c>
      <c r="B291">
        <f>+DB!D291</f>
        <v>0</v>
      </c>
      <c r="C291">
        <f>+DB!E291</f>
        <v>0</v>
      </c>
      <c r="D291">
        <f t="shared" si="12"/>
        <v>0</v>
      </c>
      <c r="E291">
        <f>+DB!G291</f>
        <v>0</v>
      </c>
      <c r="F291">
        <f>+DB!H291</f>
        <v>0</v>
      </c>
      <c r="G291">
        <f>+DB!N291</f>
        <v>0</v>
      </c>
      <c r="H291">
        <f>+DB!O291</f>
        <v>0</v>
      </c>
      <c r="I291">
        <f>+DB!I291</f>
        <v>0</v>
      </c>
      <c r="J291">
        <f>+DB!J291</f>
        <v>0</v>
      </c>
      <c r="K291">
        <f>+DB!L291</f>
        <v>0</v>
      </c>
      <c r="L291" t="str">
        <f t="shared" si="13"/>
        <v/>
      </c>
      <c r="M291" t="str">
        <f>+IF(LEFT(DB!M291,3)="13/","CAC","MAD")</f>
        <v>MAD</v>
      </c>
      <c r="N291" t="str">
        <f>+RIGHT(DB!M291,6)</f>
        <v/>
      </c>
      <c r="O291">
        <v>95</v>
      </c>
      <c r="P291">
        <v>5</v>
      </c>
      <c r="Q291">
        <f>+DB!AB291</f>
        <v>0</v>
      </c>
      <c r="R291">
        <f>+DB!K291</f>
        <v>0</v>
      </c>
      <c r="S291">
        <f>+DB!F291</f>
        <v>0</v>
      </c>
      <c r="T291">
        <f>+IF(DB!F291="AAAC-35",1,3)</f>
        <v>3</v>
      </c>
      <c r="U291">
        <f>+DB!R291</f>
        <v>0</v>
      </c>
      <c r="V291">
        <f>+IF(DB!P291="1RI",1,0)+IF(DB!P291="2RI",2,0)</f>
        <v>0</v>
      </c>
      <c r="W291">
        <f>+IF(DB!P291="1RV",1,0)+IF(DB!P291="2RV",2,0)</f>
        <v>0</v>
      </c>
      <c r="X291">
        <f>+IF(DB!P291="RYI",1,0)</f>
        <v>0</v>
      </c>
      <c r="Y291">
        <f>+IF(DB!P291="RYV",1,0)</f>
        <v>0</v>
      </c>
      <c r="Z291">
        <f>+DB!U291</f>
        <v>0</v>
      </c>
      <c r="AA291">
        <f>+IF(DB!F291="AAAC-35",19.5,33)</f>
        <v>33</v>
      </c>
      <c r="AB291">
        <f>+DB!V291</f>
        <v>0</v>
      </c>
      <c r="AC291" t="str">
        <f t="shared" si="14"/>
        <v>56-4</v>
      </c>
      <c r="AD291" s="21" t="s">
        <v>72</v>
      </c>
      <c r="AE291">
        <f>+DB!X291</f>
        <v>0</v>
      </c>
      <c r="AF291" s="22">
        <f>+DB!Y291</f>
        <v>0</v>
      </c>
      <c r="AG291">
        <f>+DB!AK291</f>
        <v>0</v>
      </c>
    </row>
    <row r="292" spans="1:33" x14ac:dyDescent="0.2">
      <c r="A292">
        <f>+DB!C292</f>
        <v>0</v>
      </c>
      <c r="B292">
        <f>+DB!D292</f>
        <v>0</v>
      </c>
      <c r="C292">
        <f>+DB!E292</f>
        <v>0</v>
      </c>
      <c r="D292">
        <f t="shared" si="12"/>
        <v>0</v>
      </c>
      <c r="E292">
        <f>+DB!G292</f>
        <v>0</v>
      </c>
      <c r="F292">
        <f>+DB!H292</f>
        <v>0</v>
      </c>
      <c r="G292">
        <f>+DB!N292</f>
        <v>0</v>
      </c>
      <c r="H292">
        <f>+DB!O292</f>
        <v>0</v>
      </c>
      <c r="I292">
        <f>+DB!I292</f>
        <v>0</v>
      </c>
      <c r="J292">
        <f>+DB!J292</f>
        <v>0</v>
      </c>
      <c r="K292">
        <f>+DB!L292</f>
        <v>0</v>
      </c>
      <c r="L292" t="str">
        <f t="shared" si="13"/>
        <v/>
      </c>
      <c r="M292" t="str">
        <f>+IF(LEFT(DB!M292,3)="13/","CAC","MAD")</f>
        <v>MAD</v>
      </c>
      <c r="N292" t="str">
        <f>+RIGHT(DB!M292,6)</f>
        <v/>
      </c>
      <c r="O292">
        <v>95</v>
      </c>
      <c r="P292">
        <v>5</v>
      </c>
      <c r="Q292">
        <f>+DB!AB292</f>
        <v>0</v>
      </c>
      <c r="R292">
        <f>+DB!K292</f>
        <v>0</v>
      </c>
      <c r="S292">
        <f>+DB!F292</f>
        <v>0</v>
      </c>
      <c r="T292">
        <f>+IF(DB!F292="AAAC-35",1,3)</f>
        <v>3</v>
      </c>
      <c r="U292">
        <f>+DB!R292</f>
        <v>0</v>
      </c>
      <c r="V292">
        <f>+IF(DB!P292="1RI",1,0)+IF(DB!P292="2RI",2,0)</f>
        <v>0</v>
      </c>
      <c r="W292">
        <f>+IF(DB!P292="1RV",1,0)+IF(DB!P292="2RV",2,0)</f>
        <v>0</v>
      </c>
      <c r="X292">
        <f>+IF(DB!P292="RYI",1,0)</f>
        <v>0</v>
      </c>
      <c r="Y292">
        <f>+IF(DB!P292="RYV",1,0)</f>
        <v>0</v>
      </c>
      <c r="Z292">
        <f>+DB!U292</f>
        <v>0</v>
      </c>
      <c r="AA292">
        <f>+IF(DB!F292="AAAC-35",19.5,33)</f>
        <v>33</v>
      </c>
      <c r="AB292">
        <f>+DB!V292</f>
        <v>0</v>
      </c>
      <c r="AC292" t="str">
        <f t="shared" si="14"/>
        <v>56-4</v>
      </c>
      <c r="AD292" s="21" t="s">
        <v>72</v>
      </c>
      <c r="AE292">
        <f>+DB!X292</f>
        <v>0</v>
      </c>
      <c r="AF292" s="22">
        <f>+DB!Y292</f>
        <v>0</v>
      </c>
      <c r="AG292">
        <f>+DB!AK292</f>
        <v>0</v>
      </c>
    </row>
    <row r="293" spans="1:33" x14ac:dyDescent="0.2">
      <c r="A293">
        <f>+DB!C293</f>
        <v>0</v>
      </c>
      <c r="B293">
        <f>+DB!D293</f>
        <v>0</v>
      </c>
      <c r="C293">
        <f>+DB!E293</f>
        <v>0</v>
      </c>
      <c r="D293">
        <f t="shared" si="12"/>
        <v>0</v>
      </c>
      <c r="E293">
        <f>+DB!G293</f>
        <v>0</v>
      </c>
      <c r="F293">
        <f>+DB!H293</f>
        <v>0</v>
      </c>
      <c r="G293">
        <f>+DB!N293</f>
        <v>0</v>
      </c>
      <c r="H293">
        <f>+DB!O293</f>
        <v>0</v>
      </c>
      <c r="I293">
        <f>+DB!I293</f>
        <v>0</v>
      </c>
      <c r="J293">
        <f>+DB!J293</f>
        <v>0</v>
      </c>
      <c r="K293">
        <f>+DB!L293</f>
        <v>0</v>
      </c>
      <c r="L293" t="str">
        <f t="shared" si="13"/>
        <v/>
      </c>
      <c r="M293" t="str">
        <f>+IF(LEFT(DB!M293,3)="13/","CAC","MAD")</f>
        <v>MAD</v>
      </c>
      <c r="N293" t="str">
        <f>+RIGHT(DB!M293,6)</f>
        <v/>
      </c>
      <c r="O293">
        <v>95</v>
      </c>
      <c r="P293">
        <v>5</v>
      </c>
      <c r="Q293">
        <f>+DB!AB293</f>
        <v>0</v>
      </c>
      <c r="R293">
        <f>+DB!K293</f>
        <v>0</v>
      </c>
      <c r="S293">
        <f>+DB!F293</f>
        <v>0</v>
      </c>
      <c r="T293">
        <f>+IF(DB!F293="AAAC-35",1,3)</f>
        <v>3</v>
      </c>
      <c r="U293">
        <f>+DB!R293</f>
        <v>0</v>
      </c>
      <c r="V293">
        <f>+IF(DB!P293="1RI",1,0)+IF(DB!P293="2RI",2,0)</f>
        <v>0</v>
      </c>
      <c r="W293">
        <f>+IF(DB!P293="1RV",1,0)+IF(DB!P293="2RV",2,0)</f>
        <v>0</v>
      </c>
      <c r="X293">
        <f>+IF(DB!P293="RYI",1,0)</f>
        <v>0</v>
      </c>
      <c r="Y293">
        <f>+IF(DB!P293="RYV",1,0)</f>
        <v>0</v>
      </c>
      <c r="Z293">
        <f>+DB!U293</f>
        <v>0</v>
      </c>
      <c r="AA293">
        <f>+IF(DB!F293="AAAC-35",19.5,33)</f>
        <v>33</v>
      </c>
      <c r="AB293">
        <f>+DB!V293</f>
        <v>0</v>
      </c>
      <c r="AC293" t="str">
        <f t="shared" si="14"/>
        <v>56-4</v>
      </c>
      <c r="AD293" s="21" t="s">
        <v>72</v>
      </c>
      <c r="AE293">
        <f>+DB!X293</f>
        <v>0</v>
      </c>
      <c r="AF293" s="22">
        <f>+DB!Y293</f>
        <v>0</v>
      </c>
      <c r="AG293">
        <f>+DB!AK293</f>
        <v>0</v>
      </c>
    </row>
    <row r="294" spans="1:33" x14ac:dyDescent="0.2">
      <c r="A294">
        <f>+DB!C294</f>
        <v>0</v>
      </c>
      <c r="B294">
        <f>+DB!D294</f>
        <v>0</v>
      </c>
      <c r="C294">
        <f>+DB!E294</f>
        <v>0</v>
      </c>
      <c r="D294">
        <f t="shared" si="12"/>
        <v>0</v>
      </c>
      <c r="E294">
        <f>+DB!G294</f>
        <v>0</v>
      </c>
      <c r="F294">
        <f>+DB!H294</f>
        <v>0</v>
      </c>
      <c r="G294">
        <f>+DB!N294</f>
        <v>0</v>
      </c>
      <c r="H294">
        <f>+DB!O294</f>
        <v>0</v>
      </c>
      <c r="I294">
        <f>+DB!I294</f>
        <v>0</v>
      </c>
      <c r="J294">
        <f>+DB!J294</f>
        <v>0</v>
      </c>
      <c r="K294">
        <f>+DB!L294</f>
        <v>0</v>
      </c>
      <c r="L294" t="str">
        <f t="shared" si="13"/>
        <v/>
      </c>
      <c r="M294" t="str">
        <f>+IF(LEFT(DB!M294,3)="13/","CAC","MAD")</f>
        <v>MAD</v>
      </c>
      <c r="N294" t="str">
        <f>+RIGHT(DB!M294,6)</f>
        <v/>
      </c>
      <c r="O294">
        <v>95</v>
      </c>
      <c r="P294">
        <v>5</v>
      </c>
      <c r="Q294">
        <f>+DB!AB294</f>
        <v>0</v>
      </c>
      <c r="R294">
        <f>+DB!K294</f>
        <v>0</v>
      </c>
      <c r="S294">
        <f>+DB!F294</f>
        <v>0</v>
      </c>
      <c r="T294">
        <f>+IF(DB!F294="AAAC-35",1,3)</f>
        <v>3</v>
      </c>
      <c r="U294">
        <f>+DB!R294</f>
        <v>0</v>
      </c>
      <c r="V294">
        <f>+IF(DB!P294="1RI",1,0)+IF(DB!P294="2RI",2,0)</f>
        <v>0</v>
      </c>
      <c r="W294">
        <f>+IF(DB!P294="1RV",1,0)+IF(DB!P294="2RV",2,0)</f>
        <v>0</v>
      </c>
      <c r="X294">
        <f>+IF(DB!P294="RYI",1,0)</f>
        <v>0</v>
      </c>
      <c r="Y294">
        <f>+IF(DB!P294="RYV",1,0)</f>
        <v>0</v>
      </c>
      <c r="Z294">
        <f>+DB!U294</f>
        <v>0</v>
      </c>
      <c r="AA294">
        <f>+IF(DB!F294="AAAC-35",19.5,33)</f>
        <v>33</v>
      </c>
      <c r="AB294">
        <f>+DB!V294</f>
        <v>0</v>
      </c>
      <c r="AC294" t="str">
        <f t="shared" si="14"/>
        <v>56-4</v>
      </c>
      <c r="AD294" s="21" t="s">
        <v>72</v>
      </c>
      <c r="AE294">
        <f>+DB!X294</f>
        <v>0</v>
      </c>
      <c r="AF294" s="22">
        <f>+DB!Y294</f>
        <v>0</v>
      </c>
      <c r="AG294">
        <f>+DB!AK294</f>
        <v>0</v>
      </c>
    </row>
    <row r="295" spans="1:33" x14ac:dyDescent="0.2">
      <c r="A295">
        <f>+DB!C295</f>
        <v>0</v>
      </c>
      <c r="B295">
        <f>+DB!D295</f>
        <v>0</v>
      </c>
      <c r="C295">
        <f>+DB!E295</f>
        <v>0</v>
      </c>
      <c r="D295">
        <f t="shared" si="12"/>
        <v>0</v>
      </c>
      <c r="E295">
        <f>+DB!G295</f>
        <v>0</v>
      </c>
      <c r="F295">
        <f>+DB!H295</f>
        <v>0</v>
      </c>
      <c r="G295">
        <f>+DB!N295</f>
        <v>0</v>
      </c>
      <c r="H295">
        <f>+DB!O295</f>
        <v>0</v>
      </c>
      <c r="I295">
        <f>+DB!I295</f>
        <v>0</v>
      </c>
      <c r="J295">
        <f>+DB!J295</f>
        <v>0</v>
      </c>
      <c r="K295">
        <f>+DB!L295</f>
        <v>0</v>
      </c>
      <c r="L295" t="str">
        <f t="shared" si="13"/>
        <v/>
      </c>
      <c r="M295" t="str">
        <f>+IF(LEFT(DB!M295,3)="13/","CAC","MAD")</f>
        <v>MAD</v>
      </c>
      <c r="N295" t="str">
        <f>+RIGHT(DB!M295,6)</f>
        <v/>
      </c>
      <c r="O295">
        <v>95</v>
      </c>
      <c r="P295">
        <v>5</v>
      </c>
      <c r="Q295">
        <f>+DB!AB295</f>
        <v>0</v>
      </c>
      <c r="R295">
        <f>+DB!K295</f>
        <v>0</v>
      </c>
      <c r="S295">
        <f>+DB!F295</f>
        <v>0</v>
      </c>
      <c r="T295">
        <f>+IF(DB!F295="AAAC-35",1,3)</f>
        <v>3</v>
      </c>
      <c r="U295">
        <f>+DB!R295</f>
        <v>0</v>
      </c>
      <c r="V295">
        <f>+IF(DB!P295="1RI",1,0)+IF(DB!P295="2RI",2,0)</f>
        <v>0</v>
      </c>
      <c r="W295">
        <f>+IF(DB!P295="1RV",1,0)+IF(DB!P295="2RV",2,0)</f>
        <v>0</v>
      </c>
      <c r="X295">
        <f>+IF(DB!P295="RYI",1,0)</f>
        <v>0</v>
      </c>
      <c r="Y295">
        <f>+IF(DB!P295="RYV",1,0)</f>
        <v>0</v>
      </c>
      <c r="Z295">
        <f>+DB!U295</f>
        <v>0</v>
      </c>
      <c r="AA295">
        <f>+IF(DB!F295="AAAC-35",19.5,33)</f>
        <v>33</v>
      </c>
      <c r="AB295">
        <f>+DB!V295</f>
        <v>0</v>
      </c>
      <c r="AC295" t="str">
        <f t="shared" si="14"/>
        <v>56-4</v>
      </c>
      <c r="AD295" s="21" t="s">
        <v>72</v>
      </c>
      <c r="AE295">
        <f>+DB!X295</f>
        <v>0</v>
      </c>
      <c r="AF295" s="22">
        <f>+DB!Y295</f>
        <v>0</v>
      </c>
      <c r="AG295">
        <f>+DB!AK295</f>
        <v>0</v>
      </c>
    </row>
    <row r="296" spans="1:33" x14ac:dyDescent="0.2">
      <c r="A296">
        <f>+DB!C296</f>
        <v>0</v>
      </c>
      <c r="B296">
        <f>+DB!D296</f>
        <v>0</v>
      </c>
      <c r="C296">
        <f>+DB!E296</f>
        <v>0</v>
      </c>
      <c r="D296">
        <f t="shared" si="12"/>
        <v>0</v>
      </c>
      <c r="E296">
        <f>+DB!G296</f>
        <v>0</v>
      </c>
      <c r="F296">
        <f>+DB!H296</f>
        <v>0</v>
      </c>
      <c r="G296">
        <f>+DB!N296</f>
        <v>0</v>
      </c>
      <c r="H296">
        <f>+DB!O296</f>
        <v>0</v>
      </c>
      <c r="I296">
        <f>+DB!I296</f>
        <v>0</v>
      </c>
      <c r="J296">
        <f>+DB!J296</f>
        <v>0</v>
      </c>
      <c r="K296">
        <f>+DB!L296</f>
        <v>0</v>
      </c>
      <c r="L296" t="str">
        <f t="shared" si="13"/>
        <v/>
      </c>
      <c r="M296" t="str">
        <f>+IF(LEFT(DB!M296,3)="13/","CAC","MAD")</f>
        <v>MAD</v>
      </c>
      <c r="N296" t="str">
        <f>+RIGHT(DB!M296,6)</f>
        <v/>
      </c>
      <c r="O296">
        <v>95</v>
      </c>
      <c r="P296">
        <v>5</v>
      </c>
      <c r="Q296">
        <f>+DB!AB296</f>
        <v>0</v>
      </c>
      <c r="R296">
        <f>+DB!K296</f>
        <v>0</v>
      </c>
      <c r="S296">
        <f>+DB!F296</f>
        <v>0</v>
      </c>
      <c r="T296">
        <f>+IF(DB!F296="AAAC-35",1,3)</f>
        <v>3</v>
      </c>
      <c r="U296">
        <f>+DB!R296</f>
        <v>0</v>
      </c>
      <c r="V296">
        <f>+IF(DB!P296="1RI",1,0)+IF(DB!P296="2RI",2,0)</f>
        <v>0</v>
      </c>
      <c r="W296">
        <f>+IF(DB!P296="1RV",1,0)+IF(DB!P296="2RV",2,0)</f>
        <v>0</v>
      </c>
      <c r="X296">
        <f>+IF(DB!P296="RYI",1,0)</f>
        <v>0</v>
      </c>
      <c r="Y296">
        <f>+IF(DB!P296="RYV",1,0)</f>
        <v>0</v>
      </c>
      <c r="Z296">
        <f>+DB!U296</f>
        <v>0</v>
      </c>
      <c r="AA296">
        <f>+IF(DB!F296="AAAC-35",19.5,33)</f>
        <v>33</v>
      </c>
      <c r="AB296">
        <f>+DB!V296</f>
        <v>0</v>
      </c>
      <c r="AC296" t="str">
        <f t="shared" si="14"/>
        <v>56-4</v>
      </c>
      <c r="AD296" s="21" t="s">
        <v>72</v>
      </c>
      <c r="AE296">
        <f>+DB!X296</f>
        <v>0</v>
      </c>
      <c r="AF296" s="22">
        <f>+DB!Y296</f>
        <v>0</v>
      </c>
      <c r="AG296">
        <f>+DB!AK296</f>
        <v>0</v>
      </c>
    </row>
    <row r="297" spans="1:33" x14ac:dyDescent="0.2">
      <c r="A297">
        <f>+DB!C297</f>
        <v>0</v>
      </c>
      <c r="B297">
        <f>+DB!D297</f>
        <v>0</v>
      </c>
      <c r="C297">
        <f>+DB!E297</f>
        <v>0</v>
      </c>
      <c r="D297">
        <f t="shared" si="12"/>
        <v>0</v>
      </c>
      <c r="E297">
        <f>+DB!G297</f>
        <v>0</v>
      </c>
      <c r="F297">
        <f>+DB!H297</f>
        <v>0</v>
      </c>
      <c r="G297">
        <f>+DB!N297</f>
        <v>0</v>
      </c>
      <c r="H297">
        <f>+DB!O297</f>
        <v>0</v>
      </c>
      <c r="I297">
        <f>+DB!I297</f>
        <v>0</v>
      </c>
      <c r="J297">
        <f>+DB!J297</f>
        <v>0</v>
      </c>
      <c r="K297">
        <f>+DB!L297</f>
        <v>0</v>
      </c>
      <c r="L297" t="str">
        <f t="shared" si="13"/>
        <v/>
      </c>
      <c r="M297" t="str">
        <f>+IF(LEFT(DB!M297,3)="13/","CAC","MAD")</f>
        <v>MAD</v>
      </c>
      <c r="N297" t="str">
        <f>+RIGHT(DB!M297,6)</f>
        <v/>
      </c>
      <c r="O297">
        <v>95</v>
      </c>
      <c r="P297">
        <v>5</v>
      </c>
      <c r="Q297">
        <f>+DB!AB297</f>
        <v>0</v>
      </c>
      <c r="R297">
        <f>+DB!K297</f>
        <v>0</v>
      </c>
      <c r="S297">
        <f>+DB!F297</f>
        <v>0</v>
      </c>
      <c r="T297">
        <f>+IF(DB!F297="AAAC-35",1,3)</f>
        <v>3</v>
      </c>
      <c r="U297">
        <f>+DB!R297</f>
        <v>0</v>
      </c>
      <c r="V297">
        <f>+IF(DB!P297="1RI",1,0)+IF(DB!P297="2RI",2,0)</f>
        <v>0</v>
      </c>
      <c r="W297">
        <f>+IF(DB!P297="1RV",1,0)+IF(DB!P297="2RV",2,0)</f>
        <v>0</v>
      </c>
      <c r="X297">
        <f>+IF(DB!P297="RYI",1,0)</f>
        <v>0</v>
      </c>
      <c r="Y297">
        <f>+IF(DB!P297="RYV",1,0)</f>
        <v>0</v>
      </c>
      <c r="Z297">
        <f>+DB!U297</f>
        <v>0</v>
      </c>
      <c r="AA297">
        <f>+IF(DB!F297="AAAC-35",19.5,33)</f>
        <v>33</v>
      </c>
      <c r="AB297">
        <f>+DB!V297</f>
        <v>0</v>
      </c>
      <c r="AC297" t="str">
        <f t="shared" si="14"/>
        <v>56-4</v>
      </c>
      <c r="AD297" s="21" t="s">
        <v>72</v>
      </c>
      <c r="AE297">
        <f>+DB!X297</f>
        <v>0</v>
      </c>
      <c r="AF297" s="22">
        <f>+DB!Y297</f>
        <v>0</v>
      </c>
      <c r="AG297">
        <f>+DB!AK297</f>
        <v>0</v>
      </c>
    </row>
    <row r="298" spans="1:33" x14ac:dyDescent="0.2">
      <c r="A298">
        <f>+DB!C298</f>
        <v>0</v>
      </c>
      <c r="B298">
        <f>+DB!D298</f>
        <v>0</v>
      </c>
      <c r="C298">
        <f>+DB!E298</f>
        <v>0</v>
      </c>
      <c r="D298">
        <f t="shared" si="12"/>
        <v>0</v>
      </c>
      <c r="E298">
        <f>+DB!G298</f>
        <v>0</v>
      </c>
      <c r="F298">
        <f>+DB!H298</f>
        <v>0</v>
      </c>
      <c r="G298">
        <f>+DB!N298</f>
        <v>0</v>
      </c>
      <c r="H298">
        <f>+DB!O298</f>
        <v>0</v>
      </c>
      <c r="I298">
        <f>+DB!I298</f>
        <v>0</v>
      </c>
      <c r="J298">
        <f>+DB!J298</f>
        <v>0</v>
      </c>
      <c r="K298">
        <f>+DB!L298</f>
        <v>0</v>
      </c>
      <c r="L298" t="str">
        <f t="shared" si="13"/>
        <v/>
      </c>
      <c r="M298" t="str">
        <f>+IF(LEFT(DB!M298,3)="13/","CAC","MAD")</f>
        <v>MAD</v>
      </c>
      <c r="N298" t="str">
        <f>+RIGHT(DB!M298,6)</f>
        <v/>
      </c>
      <c r="O298">
        <v>95</v>
      </c>
      <c r="P298">
        <v>5</v>
      </c>
      <c r="Q298">
        <f>+DB!AB298</f>
        <v>0</v>
      </c>
      <c r="R298">
        <f>+DB!K298</f>
        <v>0</v>
      </c>
      <c r="S298">
        <f>+DB!F298</f>
        <v>0</v>
      </c>
      <c r="T298">
        <f>+IF(DB!F298="AAAC-35",1,3)</f>
        <v>3</v>
      </c>
      <c r="U298">
        <f>+DB!R298</f>
        <v>0</v>
      </c>
      <c r="V298">
        <f>+IF(DB!P298="1RI",1,0)+IF(DB!P298="2RI",2,0)</f>
        <v>0</v>
      </c>
      <c r="W298">
        <f>+IF(DB!P298="1RV",1,0)+IF(DB!P298="2RV",2,0)</f>
        <v>0</v>
      </c>
      <c r="X298">
        <f>+IF(DB!P298="RYI",1,0)</f>
        <v>0</v>
      </c>
      <c r="Y298">
        <f>+IF(DB!P298="RYV",1,0)</f>
        <v>0</v>
      </c>
      <c r="Z298">
        <f>+DB!U298</f>
        <v>0</v>
      </c>
      <c r="AA298">
        <f>+IF(DB!F298="AAAC-35",19.5,33)</f>
        <v>33</v>
      </c>
      <c r="AB298">
        <f>+DB!V298</f>
        <v>0</v>
      </c>
      <c r="AC298" t="str">
        <f t="shared" si="14"/>
        <v>56-4</v>
      </c>
      <c r="AD298" s="21" t="s">
        <v>72</v>
      </c>
      <c r="AE298">
        <f>+DB!X298</f>
        <v>0</v>
      </c>
      <c r="AF298" s="22">
        <f>+DB!Y298</f>
        <v>0</v>
      </c>
      <c r="AG298">
        <f>+DB!AK298</f>
        <v>0</v>
      </c>
    </row>
    <row r="299" spans="1:33" x14ac:dyDescent="0.2">
      <c r="A299">
        <f>+DB!C299</f>
        <v>0</v>
      </c>
      <c r="B299">
        <f>+DB!D299</f>
        <v>0</v>
      </c>
      <c r="C299">
        <f>+DB!E299</f>
        <v>0</v>
      </c>
      <c r="D299">
        <f t="shared" si="12"/>
        <v>0</v>
      </c>
      <c r="E299">
        <f>+DB!G299</f>
        <v>0</v>
      </c>
      <c r="F299">
        <f>+DB!H299</f>
        <v>0</v>
      </c>
      <c r="G299">
        <f>+DB!N299</f>
        <v>0</v>
      </c>
      <c r="H299">
        <f>+DB!O299</f>
        <v>0</v>
      </c>
      <c r="I299">
        <f>+DB!I299</f>
        <v>0</v>
      </c>
      <c r="J299">
        <f>+DB!J299</f>
        <v>0</v>
      </c>
      <c r="K299">
        <f>+DB!L299</f>
        <v>0</v>
      </c>
      <c r="L299" t="str">
        <f t="shared" si="13"/>
        <v/>
      </c>
      <c r="M299" t="str">
        <f>+IF(LEFT(DB!M299,3)="13/","CAC","MAD")</f>
        <v>MAD</v>
      </c>
      <c r="N299" t="str">
        <f>+RIGHT(DB!M299,6)</f>
        <v/>
      </c>
      <c r="O299">
        <v>95</v>
      </c>
      <c r="P299">
        <v>5</v>
      </c>
      <c r="Q299">
        <f>+DB!AB299</f>
        <v>0</v>
      </c>
      <c r="R299">
        <f>+DB!K299</f>
        <v>0</v>
      </c>
      <c r="S299">
        <f>+DB!F299</f>
        <v>0</v>
      </c>
      <c r="T299">
        <f>+IF(DB!F299="AAAC-35",1,3)</f>
        <v>3</v>
      </c>
      <c r="U299">
        <f>+DB!R299</f>
        <v>0</v>
      </c>
      <c r="V299">
        <f>+IF(DB!P299="1RI",1,0)+IF(DB!P299="2RI",2,0)</f>
        <v>0</v>
      </c>
      <c r="W299">
        <f>+IF(DB!P299="1RV",1,0)+IF(DB!P299="2RV",2,0)</f>
        <v>0</v>
      </c>
      <c r="X299">
        <f>+IF(DB!P299="RYI",1,0)</f>
        <v>0</v>
      </c>
      <c r="Y299">
        <f>+IF(DB!P299="RYV",1,0)</f>
        <v>0</v>
      </c>
      <c r="Z299">
        <f>+DB!U299</f>
        <v>0</v>
      </c>
      <c r="AA299">
        <f>+IF(DB!F299="AAAC-35",19.5,33)</f>
        <v>33</v>
      </c>
      <c r="AB299">
        <f>+DB!V299</f>
        <v>0</v>
      </c>
      <c r="AC299" t="str">
        <f t="shared" si="14"/>
        <v>56-4</v>
      </c>
      <c r="AD299" s="21" t="s">
        <v>72</v>
      </c>
      <c r="AE299">
        <f>+DB!X299</f>
        <v>0</v>
      </c>
      <c r="AF299" s="22">
        <f>+DB!Y299</f>
        <v>0</v>
      </c>
      <c r="AG299">
        <f>+DB!AK299</f>
        <v>0</v>
      </c>
    </row>
    <row r="300" spans="1:33" x14ac:dyDescent="0.2">
      <c r="A300">
        <f>+DB!C300</f>
        <v>0</v>
      </c>
      <c r="B300">
        <f>+DB!D300</f>
        <v>0</v>
      </c>
      <c r="C300">
        <f>+DB!E300</f>
        <v>0</v>
      </c>
      <c r="D300">
        <f t="shared" si="12"/>
        <v>0</v>
      </c>
      <c r="E300">
        <f>+DB!G300</f>
        <v>0</v>
      </c>
      <c r="F300">
        <f>+DB!H300</f>
        <v>0</v>
      </c>
      <c r="G300">
        <f>+DB!N300</f>
        <v>0</v>
      </c>
      <c r="H300">
        <f>+DB!O300</f>
        <v>0</v>
      </c>
      <c r="I300">
        <f>+DB!I300</f>
        <v>0</v>
      </c>
      <c r="J300">
        <f>+DB!J300</f>
        <v>0</v>
      </c>
      <c r="K300">
        <f>+DB!L300</f>
        <v>0</v>
      </c>
      <c r="L300" t="str">
        <f t="shared" si="13"/>
        <v/>
      </c>
      <c r="M300" t="str">
        <f>+IF(LEFT(DB!M300,3)="13/","CAC","MAD")</f>
        <v>MAD</v>
      </c>
      <c r="N300" t="str">
        <f>+RIGHT(DB!M300,6)</f>
        <v/>
      </c>
      <c r="O300">
        <v>95</v>
      </c>
      <c r="P300">
        <v>5</v>
      </c>
      <c r="Q300">
        <f>+DB!AB300</f>
        <v>0</v>
      </c>
      <c r="R300">
        <f>+DB!K300</f>
        <v>0</v>
      </c>
      <c r="S300">
        <f>+DB!F300</f>
        <v>0</v>
      </c>
      <c r="T300">
        <f>+IF(DB!F300="AAAC-35",1,3)</f>
        <v>3</v>
      </c>
      <c r="U300">
        <f>+DB!R300</f>
        <v>0</v>
      </c>
      <c r="V300">
        <f>+IF(DB!P300="1RI",1,0)+IF(DB!P300="2RI",2,0)</f>
        <v>0</v>
      </c>
      <c r="W300">
        <f>+IF(DB!P300="1RV",1,0)+IF(DB!P300="2RV",2,0)</f>
        <v>0</v>
      </c>
      <c r="X300">
        <f>+IF(DB!P300="RYI",1,0)</f>
        <v>0</v>
      </c>
      <c r="Y300">
        <f>+IF(DB!P300="RYV",1,0)</f>
        <v>0</v>
      </c>
      <c r="Z300">
        <f>+DB!U300</f>
        <v>0</v>
      </c>
      <c r="AA300">
        <f>+IF(DB!F300="AAAC-35",19.5,33)</f>
        <v>33</v>
      </c>
      <c r="AB300">
        <f>+DB!V300</f>
        <v>0</v>
      </c>
      <c r="AC300" t="str">
        <f t="shared" si="14"/>
        <v>56-4</v>
      </c>
      <c r="AD300" s="21" t="s">
        <v>72</v>
      </c>
      <c r="AE300">
        <f>+DB!X300</f>
        <v>0</v>
      </c>
      <c r="AF300" s="22">
        <f>+DB!Y300</f>
        <v>0</v>
      </c>
      <c r="AG300">
        <f>+DB!AK300</f>
        <v>0</v>
      </c>
    </row>
    <row r="301" spans="1:33" x14ac:dyDescent="0.2">
      <c r="A301">
        <f>+DB!C301</f>
        <v>0</v>
      </c>
      <c r="B301">
        <f>+DB!D301</f>
        <v>0</v>
      </c>
      <c r="C301">
        <f>+DB!E301</f>
        <v>0</v>
      </c>
      <c r="D301">
        <f t="shared" si="12"/>
        <v>0</v>
      </c>
      <c r="E301">
        <f>+DB!G301</f>
        <v>0</v>
      </c>
      <c r="F301">
        <f>+DB!H301</f>
        <v>0</v>
      </c>
      <c r="G301">
        <f>+DB!N301</f>
        <v>0</v>
      </c>
      <c r="H301">
        <f>+DB!O301</f>
        <v>0</v>
      </c>
      <c r="I301">
        <f>+DB!I301</f>
        <v>0</v>
      </c>
      <c r="J301">
        <f>+DB!J301</f>
        <v>0</v>
      </c>
      <c r="K301">
        <f>+DB!L301</f>
        <v>0</v>
      </c>
      <c r="L301" t="str">
        <f t="shared" si="13"/>
        <v/>
      </c>
      <c r="M301" t="str">
        <f>+IF(LEFT(DB!M301,3)="13/","CAC","MAD")</f>
        <v>MAD</v>
      </c>
      <c r="N301" t="str">
        <f>+RIGHT(DB!M301,6)</f>
        <v/>
      </c>
      <c r="O301">
        <v>95</v>
      </c>
      <c r="P301">
        <v>5</v>
      </c>
      <c r="Q301">
        <f>+DB!AB301</f>
        <v>0</v>
      </c>
      <c r="R301">
        <f>+DB!K301</f>
        <v>0</v>
      </c>
      <c r="S301">
        <f>+DB!F301</f>
        <v>0</v>
      </c>
      <c r="T301">
        <f>+IF(DB!F301="AAAC-35",1,3)</f>
        <v>3</v>
      </c>
      <c r="U301">
        <f>+DB!R301</f>
        <v>0</v>
      </c>
      <c r="V301">
        <f>+IF(DB!P301="1RI",1,0)+IF(DB!P301="2RI",2,0)</f>
        <v>0</v>
      </c>
      <c r="W301">
        <f>+IF(DB!P301="1RV",1,0)+IF(DB!P301="2RV",2,0)</f>
        <v>0</v>
      </c>
      <c r="X301">
        <f>+IF(DB!P301="RYI",1,0)</f>
        <v>0</v>
      </c>
      <c r="Y301">
        <f>+IF(DB!P301="RYV",1,0)</f>
        <v>0</v>
      </c>
      <c r="Z301">
        <f>+DB!U301</f>
        <v>0</v>
      </c>
      <c r="AA301">
        <f>+IF(DB!F301="AAAC-35",19.5,33)</f>
        <v>33</v>
      </c>
      <c r="AB301">
        <f>+DB!V301</f>
        <v>0</v>
      </c>
      <c r="AC301" t="str">
        <f t="shared" si="14"/>
        <v>56-4</v>
      </c>
      <c r="AD301" s="21" t="s">
        <v>72</v>
      </c>
      <c r="AE301">
        <f>+DB!X301</f>
        <v>0</v>
      </c>
      <c r="AF301" s="22">
        <f>+DB!Y301</f>
        <v>0</v>
      </c>
      <c r="AG301">
        <f>+DB!AK301</f>
        <v>0</v>
      </c>
    </row>
    <row r="302" spans="1:33" x14ac:dyDescent="0.2">
      <c r="A302">
        <f>+DB!C302</f>
        <v>0</v>
      </c>
      <c r="B302">
        <f>+DB!D302</f>
        <v>0</v>
      </c>
      <c r="C302">
        <f>+DB!E302</f>
        <v>0</v>
      </c>
      <c r="D302">
        <f t="shared" si="12"/>
        <v>0</v>
      </c>
      <c r="E302">
        <f>+DB!G302</f>
        <v>0</v>
      </c>
      <c r="F302">
        <f>+DB!H302</f>
        <v>0</v>
      </c>
      <c r="G302">
        <f>+DB!N302</f>
        <v>0</v>
      </c>
      <c r="H302">
        <f>+DB!O302</f>
        <v>0</v>
      </c>
      <c r="I302">
        <f>+DB!I302</f>
        <v>0</v>
      </c>
      <c r="J302">
        <f>+DB!J302</f>
        <v>0</v>
      </c>
      <c r="K302">
        <f>+DB!L302</f>
        <v>0</v>
      </c>
      <c r="L302" t="str">
        <f t="shared" si="13"/>
        <v/>
      </c>
      <c r="M302" t="str">
        <f>+IF(LEFT(DB!M302,3)="13/","CAC","MAD")</f>
        <v>MAD</v>
      </c>
      <c r="N302" t="str">
        <f>+RIGHT(DB!M302,6)</f>
        <v/>
      </c>
      <c r="O302">
        <v>95</v>
      </c>
      <c r="P302">
        <v>5</v>
      </c>
      <c r="Q302">
        <f>+DB!AB302</f>
        <v>0</v>
      </c>
      <c r="R302">
        <f>+DB!K302</f>
        <v>0</v>
      </c>
      <c r="S302">
        <f>+DB!F302</f>
        <v>0</v>
      </c>
      <c r="T302">
        <f>+IF(DB!F302="AAAC-35",1,3)</f>
        <v>3</v>
      </c>
      <c r="U302">
        <f>+DB!R302</f>
        <v>0</v>
      </c>
      <c r="V302">
        <f>+IF(DB!P302="1RI",1,0)+IF(DB!P302="2RI",2,0)</f>
        <v>0</v>
      </c>
      <c r="W302">
        <f>+IF(DB!P302="1RV",1,0)+IF(DB!P302="2RV",2,0)</f>
        <v>0</v>
      </c>
      <c r="X302">
        <f>+IF(DB!P302="RYI",1,0)</f>
        <v>0</v>
      </c>
      <c r="Y302">
        <f>+IF(DB!P302="RYV",1,0)</f>
        <v>0</v>
      </c>
      <c r="Z302">
        <f>+DB!U302</f>
        <v>0</v>
      </c>
      <c r="AA302">
        <f>+IF(DB!F302="AAAC-35",19.5,33)</f>
        <v>33</v>
      </c>
      <c r="AB302">
        <f>+DB!V302</f>
        <v>0</v>
      </c>
      <c r="AC302" t="str">
        <f t="shared" si="14"/>
        <v>56-4</v>
      </c>
      <c r="AD302" s="21" t="s">
        <v>72</v>
      </c>
      <c r="AE302">
        <f>+DB!X302</f>
        <v>0</v>
      </c>
      <c r="AF302" s="22">
        <f>+DB!Y302</f>
        <v>0</v>
      </c>
      <c r="AG302">
        <f>+DB!AK302</f>
        <v>0</v>
      </c>
    </row>
    <row r="303" spans="1:33" x14ac:dyDescent="0.2">
      <c r="A303">
        <f>+DB!C303</f>
        <v>0</v>
      </c>
      <c r="B303">
        <f>+DB!D303</f>
        <v>0</v>
      </c>
      <c r="C303">
        <f>+DB!E303</f>
        <v>0</v>
      </c>
      <c r="D303">
        <f t="shared" si="12"/>
        <v>0</v>
      </c>
      <c r="E303">
        <f>+DB!G303</f>
        <v>0</v>
      </c>
      <c r="F303">
        <f>+DB!H303</f>
        <v>0</v>
      </c>
      <c r="G303">
        <f>+DB!N303</f>
        <v>0</v>
      </c>
      <c r="H303">
        <f>+DB!O303</f>
        <v>0</v>
      </c>
      <c r="I303">
        <f>+DB!I303</f>
        <v>0</v>
      </c>
      <c r="J303">
        <f>+DB!J303</f>
        <v>0</v>
      </c>
      <c r="K303">
        <f>+DB!L303</f>
        <v>0</v>
      </c>
      <c r="L303" t="str">
        <f t="shared" si="13"/>
        <v/>
      </c>
      <c r="M303" t="str">
        <f>+IF(LEFT(DB!M303,3)="13/","CAC","MAD")</f>
        <v>MAD</v>
      </c>
      <c r="N303" t="str">
        <f>+RIGHT(DB!M303,6)</f>
        <v/>
      </c>
      <c r="O303">
        <v>95</v>
      </c>
      <c r="P303">
        <v>5</v>
      </c>
      <c r="Q303">
        <f>+DB!AB303</f>
        <v>0</v>
      </c>
      <c r="R303">
        <f>+DB!K303</f>
        <v>0</v>
      </c>
      <c r="S303">
        <f>+DB!F303</f>
        <v>0</v>
      </c>
      <c r="T303">
        <f>+IF(DB!F303="AAAC-35",1,3)</f>
        <v>3</v>
      </c>
      <c r="U303">
        <f>+DB!R303</f>
        <v>0</v>
      </c>
      <c r="V303">
        <f>+IF(DB!P303="1RI",1,0)+IF(DB!P303="2RI",2,0)</f>
        <v>0</v>
      </c>
      <c r="W303">
        <f>+IF(DB!P303="1RV",1,0)+IF(DB!P303="2RV",2,0)</f>
        <v>0</v>
      </c>
      <c r="X303">
        <f>+IF(DB!P303="RYI",1,0)</f>
        <v>0</v>
      </c>
      <c r="Y303">
        <f>+IF(DB!P303="RYV",1,0)</f>
        <v>0</v>
      </c>
      <c r="Z303">
        <f>+DB!U303</f>
        <v>0</v>
      </c>
      <c r="AA303">
        <f>+IF(DB!F303="AAAC-35",19.5,33)</f>
        <v>33</v>
      </c>
      <c r="AB303">
        <f>+DB!V303</f>
        <v>0</v>
      </c>
      <c r="AC303" t="str">
        <f t="shared" si="14"/>
        <v>56-4</v>
      </c>
      <c r="AD303" s="21" t="s">
        <v>72</v>
      </c>
      <c r="AE303">
        <f>+DB!X303</f>
        <v>0</v>
      </c>
      <c r="AF303" s="22">
        <f>+DB!Y303</f>
        <v>0</v>
      </c>
      <c r="AG303">
        <f>+DB!AK303</f>
        <v>0</v>
      </c>
    </row>
    <row r="304" spans="1:33" x14ac:dyDescent="0.2">
      <c r="A304">
        <f>+DB!C304</f>
        <v>0</v>
      </c>
      <c r="B304">
        <f>+DB!D304</f>
        <v>0</v>
      </c>
      <c r="C304">
        <f>+DB!E304</f>
        <v>0</v>
      </c>
      <c r="D304">
        <f t="shared" si="12"/>
        <v>0</v>
      </c>
      <c r="E304">
        <f>+DB!G304</f>
        <v>0</v>
      </c>
      <c r="F304">
        <f>+DB!H304</f>
        <v>0</v>
      </c>
      <c r="G304">
        <f>+DB!N304</f>
        <v>0</v>
      </c>
      <c r="H304">
        <f>+DB!O304</f>
        <v>0</v>
      </c>
      <c r="I304">
        <f>+DB!I304</f>
        <v>0</v>
      </c>
      <c r="J304">
        <f>+DB!J304</f>
        <v>0</v>
      </c>
      <c r="K304">
        <f>+DB!L304</f>
        <v>0</v>
      </c>
      <c r="L304" t="str">
        <f t="shared" si="13"/>
        <v/>
      </c>
      <c r="M304" t="str">
        <f>+IF(LEFT(DB!M304,3)="13/","CAC","MAD")</f>
        <v>MAD</v>
      </c>
      <c r="N304" t="str">
        <f>+RIGHT(DB!M304,6)</f>
        <v/>
      </c>
      <c r="O304">
        <v>95</v>
      </c>
      <c r="P304">
        <v>5</v>
      </c>
      <c r="Q304">
        <f>+DB!AB304</f>
        <v>0</v>
      </c>
      <c r="R304">
        <f>+DB!K304</f>
        <v>0</v>
      </c>
      <c r="S304">
        <f>+DB!F304</f>
        <v>0</v>
      </c>
      <c r="T304">
        <f>+IF(DB!F304="AAAC-35",1,3)</f>
        <v>3</v>
      </c>
      <c r="U304">
        <f>+DB!R304</f>
        <v>0</v>
      </c>
      <c r="V304">
        <f>+IF(DB!P304="1RI",1,0)+IF(DB!P304="2RI",2,0)</f>
        <v>0</v>
      </c>
      <c r="W304">
        <f>+IF(DB!P304="1RV",1,0)+IF(DB!P304="2RV",2,0)</f>
        <v>0</v>
      </c>
      <c r="X304">
        <f>+IF(DB!P304="RYI",1,0)</f>
        <v>0</v>
      </c>
      <c r="Y304">
        <f>+IF(DB!P304="RYV",1,0)</f>
        <v>0</v>
      </c>
      <c r="Z304">
        <f>+DB!U304</f>
        <v>0</v>
      </c>
      <c r="AA304">
        <f>+IF(DB!F304="AAAC-35",19.5,33)</f>
        <v>33</v>
      </c>
      <c r="AB304">
        <f>+DB!V304</f>
        <v>0</v>
      </c>
      <c r="AC304" t="str">
        <f t="shared" si="14"/>
        <v>56-4</v>
      </c>
      <c r="AD304" s="21" t="s">
        <v>72</v>
      </c>
      <c r="AE304">
        <f>+DB!X304</f>
        <v>0</v>
      </c>
      <c r="AF304" s="22">
        <f>+DB!Y304</f>
        <v>0</v>
      </c>
      <c r="AG304">
        <f>+DB!AK304</f>
        <v>0</v>
      </c>
    </row>
    <row r="305" spans="1:33" x14ac:dyDescent="0.2">
      <c r="A305">
        <f>+DB!C305</f>
        <v>0</v>
      </c>
      <c r="B305">
        <f>+DB!D305</f>
        <v>0</v>
      </c>
      <c r="C305">
        <f>+DB!E305</f>
        <v>0</v>
      </c>
      <c r="D305">
        <f t="shared" si="12"/>
        <v>0</v>
      </c>
      <c r="E305">
        <f>+DB!G305</f>
        <v>0</v>
      </c>
      <c r="F305">
        <f>+DB!H305</f>
        <v>0</v>
      </c>
      <c r="G305">
        <f>+DB!N305</f>
        <v>0</v>
      </c>
      <c r="H305">
        <f>+DB!O305</f>
        <v>0</v>
      </c>
      <c r="I305">
        <f>+DB!I305</f>
        <v>0</v>
      </c>
      <c r="J305">
        <f>+DB!J305</f>
        <v>0</v>
      </c>
      <c r="K305">
        <f>+DB!L305</f>
        <v>0</v>
      </c>
      <c r="L305" t="str">
        <f t="shared" si="13"/>
        <v/>
      </c>
      <c r="M305" t="str">
        <f>+IF(LEFT(DB!M305,3)="13/","CAC","MAD")</f>
        <v>MAD</v>
      </c>
      <c r="N305" t="str">
        <f>+RIGHT(DB!M305,6)</f>
        <v/>
      </c>
      <c r="O305">
        <v>95</v>
      </c>
      <c r="P305">
        <v>5</v>
      </c>
      <c r="Q305">
        <f>+DB!AB305</f>
        <v>0</v>
      </c>
      <c r="R305">
        <f>+DB!K305</f>
        <v>0</v>
      </c>
      <c r="S305">
        <f>+DB!F305</f>
        <v>0</v>
      </c>
      <c r="T305">
        <f>+IF(DB!F305="AAAC-35",1,3)</f>
        <v>3</v>
      </c>
      <c r="U305">
        <f>+DB!R305</f>
        <v>0</v>
      </c>
      <c r="V305">
        <f>+IF(DB!P305="1RI",1,0)+IF(DB!P305="2RI",2,0)</f>
        <v>0</v>
      </c>
      <c r="W305">
        <f>+IF(DB!P305="1RV",1,0)+IF(DB!P305="2RV",2,0)</f>
        <v>0</v>
      </c>
      <c r="X305">
        <f>+IF(DB!P305="RYI",1,0)</f>
        <v>0</v>
      </c>
      <c r="Y305">
        <f>+IF(DB!P305="RYV",1,0)</f>
        <v>0</v>
      </c>
      <c r="Z305">
        <f>+DB!U305</f>
        <v>0</v>
      </c>
      <c r="AA305">
        <f>+IF(DB!F305="AAAC-35",19.5,33)</f>
        <v>33</v>
      </c>
      <c r="AB305">
        <f>+DB!V305</f>
        <v>0</v>
      </c>
      <c r="AC305" t="str">
        <f t="shared" si="14"/>
        <v>56-4</v>
      </c>
      <c r="AD305" s="21" t="s">
        <v>72</v>
      </c>
      <c r="AE305">
        <f>+DB!X305</f>
        <v>0</v>
      </c>
      <c r="AF305" s="22">
        <f>+DB!Y305</f>
        <v>0</v>
      </c>
      <c r="AG305">
        <f>+DB!AK305</f>
        <v>0</v>
      </c>
    </row>
    <row r="306" spans="1:33" x14ac:dyDescent="0.2">
      <c r="A306">
        <f>+DB!C306</f>
        <v>0</v>
      </c>
      <c r="B306">
        <f>+DB!D306</f>
        <v>0</v>
      </c>
      <c r="C306">
        <f>+DB!E306</f>
        <v>0</v>
      </c>
      <c r="D306">
        <f t="shared" si="12"/>
        <v>0</v>
      </c>
      <c r="E306">
        <f>+DB!G306</f>
        <v>0</v>
      </c>
      <c r="F306">
        <f>+DB!H306</f>
        <v>0</v>
      </c>
      <c r="G306">
        <f>+DB!N306</f>
        <v>0</v>
      </c>
      <c r="H306">
        <f>+DB!O306</f>
        <v>0</v>
      </c>
      <c r="I306">
        <f>+DB!I306</f>
        <v>0</v>
      </c>
      <c r="J306">
        <f>+DB!J306</f>
        <v>0</v>
      </c>
      <c r="K306">
        <f>+DB!L306</f>
        <v>0</v>
      </c>
      <c r="L306" t="str">
        <f t="shared" si="13"/>
        <v/>
      </c>
      <c r="M306" t="str">
        <f>+IF(LEFT(DB!M306,3)="13/","CAC","MAD")</f>
        <v>MAD</v>
      </c>
      <c r="N306" t="str">
        <f>+RIGHT(DB!M306,6)</f>
        <v/>
      </c>
      <c r="O306">
        <v>95</v>
      </c>
      <c r="P306">
        <v>5</v>
      </c>
      <c r="Q306">
        <f>+DB!AB306</f>
        <v>0</v>
      </c>
      <c r="R306">
        <f>+DB!K306</f>
        <v>0</v>
      </c>
      <c r="S306">
        <f>+DB!F306</f>
        <v>0</v>
      </c>
      <c r="T306">
        <f>+IF(DB!F306="AAAC-35",1,3)</f>
        <v>3</v>
      </c>
      <c r="U306">
        <f>+DB!R306</f>
        <v>0</v>
      </c>
      <c r="V306">
        <f>+IF(DB!P306="1RI",1,0)+IF(DB!P306="2RI",2,0)</f>
        <v>0</v>
      </c>
      <c r="W306">
        <f>+IF(DB!P306="1RV",1,0)+IF(DB!P306="2RV",2,0)</f>
        <v>0</v>
      </c>
      <c r="X306">
        <f>+IF(DB!P306="RYI",1,0)</f>
        <v>0</v>
      </c>
      <c r="Y306">
        <f>+IF(DB!P306="RYV",1,0)</f>
        <v>0</v>
      </c>
      <c r="Z306">
        <f>+DB!U306</f>
        <v>0</v>
      </c>
      <c r="AA306">
        <f>+IF(DB!F306="AAAC-35",19.5,33)</f>
        <v>33</v>
      </c>
      <c r="AB306">
        <f>+DB!V306</f>
        <v>0</v>
      </c>
      <c r="AC306" t="str">
        <f t="shared" si="14"/>
        <v>56-4</v>
      </c>
      <c r="AD306" s="21" t="s">
        <v>72</v>
      </c>
      <c r="AE306">
        <f>+DB!X306</f>
        <v>0</v>
      </c>
      <c r="AF306" s="22">
        <f>+DB!Y306</f>
        <v>0</v>
      </c>
      <c r="AG306">
        <f>+DB!AK306</f>
        <v>0</v>
      </c>
    </row>
    <row r="307" spans="1:33" x14ac:dyDescent="0.2">
      <c r="A307">
        <f>+DB!C307</f>
        <v>0</v>
      </c>
      <c r="B307">
        <f>+DB!D307</f>
        <v>0</v>
      </c>
      <c r="C307">
        <f>+DB!E307</f>
        <v>0</v>
      </c>
      <c r="D307">
        <f t="shared" si="12"/>
        <v>0</v>
      </c>
      <c r="E307">
        <f>+DB!G307</f>
        <v>0</v>
      </c>
      <c r="F307">
        <f>+DB!H307</f>
        <v>0</v>
      </c>
      <c r="G307">
        <f>+DB!N307</f>
        <v>0</v>
      </c>
      <c r="H307">
        <f>+DB!O307</f>
        <v>0</v>
      </c>
      <c r="I307">
        <f>+DB!I307</f>
        <v>0</v>
      </c>
      <c r="J307">
        <f>+DB!J307</f>
        <v>0</v>
      </c>
      <c r="K307">
        <f>+DB!L307</f>
        <v>0</v>
      </c>
      <c r="L307" t="str">
        <f t="shared" si="13"/>
        <v/>
      </c>
      <c r="M307" t="str">
        <f>+IF(LEFT(DB!M307,3)="13/","CAC","MAD")</f>
        <v>MAD</v>
      </c>
      <c r="N307" t="str">
        <f>+RIGHT(DB!M307,6)</f>
        <v/>
      </c>
      <c r="O307">
        <v>95</v>
      </c>
      <c r="P307">
        <v>5</v>
      </c>
      <c r="Q307">
        <f>+DB!AB307</f>
        <v>0</v>
      </c>
      <c r="R307">
        <f>+DB!K307</f>
        <v>0</v>
      </c>
      <c r="S307">
        <f>+DB!F307</f>
        <v>0</v>
      </c>
      <c r="T307">
        <f>+IF(DB!F307="AAAC-35",1,3)</f>
        <v>3</v>
      </c>
      <c r="U307">
        <f>+DB!R307</f>
        <v>0</v>
      </c>
      <c r="V307">
        <f>+IF(DB!P307="1RI",1,0)+IF(DB!P307="2RI",2,0)</f>
        <v>0</v>
      </c>
      <c r="W307">
        <f>+IF(DB!P307="1RV",1,0)+IF(DB!P307="2RV",2,0)</f>
        <v>0</v>
      </c>
      <c r="X307">
        <f>+IF(DB!P307="RYI",1,0)</f>
        <v>0</v>
      </c>
      <c r="Y307">
        <f>+IF(DB!P307="RYV",1,0)</f>
        <v>0</v>
      </c>
      <c r="Z307">
        <f>+DB!U307</f>
        <v>0</v>
      </c>
      <c r="AA307">
        <f>+IF(DB!F307="AAAC-35",19.5,33)</f>
        <v>33</v>
      </c>
      <c r="AB307">
        <f>+DB!V307</f>
        <v>0</v>
      </c>
      <c r="AC307" t="str">
        <f t="shared" si="14"/>
        <v>56-4</v>
      </c>
      <c r="AD307" s="21" t="s">
        <v>72</v>
      </c>
      <c r="AE307">
        <f>+DB!X307</f>
        <v>0</v>
      </c>
      <c r="AF307" s="22">
        <f>+DB!Y307</f>
        <v>0</v>
      </c>
      <c r="AG307">
        <f>+DB!AK307</f>
        <v>0</v>
      </c>
    </row>
    <row r="308" spans="1:33" x14ac:dyDescent="0.2">
      <c r="A308">
        <f>+DB!C308</f>
        <v>0</v>
      </c>
      <c r="B308">
        <f>+DB!D308</f>
        <v>0</v>
      </c>
      <c r="C308">
        <f>+DB!E308</f>
        <v>0</v>
      </c>
      <c r="D308">
        <f t="shared" si="12"/>
        <v>0</v>
      </c>
      <c r="E308">
        <f>+DB!G308</f>
        <v>0</v>
      </c>
      <c r="F308">
        <f>+DB!H308</f>
        <v>0</v>
      </c>
      <c r="G308">
        <f>+DB!N308</f>
        <v>0</v>
      </c>
      <c r="H308">
        <f>+DB!O308</f>
        <v>0</v>
      </c>
      <c r="I308">
        <f>+DB!I308</f>
        <v>0</v>
      </c>
      <c r="J308">
        <f>+DB!J308</f>
        <v>0</v>
      </c>
      <c r="K308">
        <f>+DB!L308</f>
        <v>0</v>
      </c>
      <c r="L308" t="str">
        <f t="shared" si="13"/>
        <v/>
      </c>
      <c r="M308" t="str">
        <f>+IF(LEFT(DB!M308,3)="13/","CAC","MAD")</f>
        <v>MAD</v>
      </c>
      <c r="N308" t="str">
        <f>+RIGHT(DB!M308,6)</f>
        <v/>
      </c>
      <c r="O308">
        <v>95</v>
      </c>
      <c r="P308">
        <v>5</v>
      </c>
      <c r="Q308">
        <f>+DB!AB308</f>
        <v>0</v>
      </c>
      <c r="R308">
        <f>+DB!K308</f>
        <v>0</v>
      </c>
      <c r="S308">
        <f>+DB!F308</f>
        <v>0</v>
      </c>
      <c r="T308">
        <f>+IF(DB!F308="AAAC-35",1,3)</f>
        <v>3</v>
      </c>
      <c r="U308">
        <f>+DB!R308</f>
        <v>0</v>
      </c>
      <c r="V308">
        <f>+IF(DB!P308="1RI",1,0)+IF(DB!P308="2RI",2,0)</f>
        <v>0</v>
      </c>
      <c r="W308">
        <f>+IF(DB!P308="1RV",1,0)+IF(DB!P308="2RV",2,0)</f>
        <v>0</v>
      </c>
      <c r="X308">
        <f>+IF(DB!P308="RYI",1,0)</f>
        <v>0</v>
      </c>
      <c r="Y308">
        <f>+IF(DB!P308="RYV",1,0)</f>
        <v>0</v>
      </c>
      <c r="Z308">
        <f>+DB!U308</f>
        <v>0</v>
      </c>
      <c r="AA308">
        <f>+IF(DB!F308="AAAC-35",19.5,33)</f>
        <v>33</v>
      </c>
      <c r="AB308">
        <f>+DB!V308</f>
        <v>0</v>
      </c>
      <c r="AC308" t="str">
        <f t="shared" si="14"/>
        <v>56-4</v>
      </c>
      <c r="AD308" s="21" t="s">
        <v>72</v>
      </c>
      <c r="AE308">
        <f>+DB!X308</f>
        <v>0</v>
      </c>
      <c r="AF308" s="22">
        <f>+DB!Y308</f>
        <v>0</v>
      </c>
      <c r="AG308">
        <f>+DB!AK308</f>
        <v>0</v>
      </c>
    </row>
    <row r="309" spans="1:33" x14ac:dyDescent="0.2">
      <c r="A309">
        <f>+DB!C309</f>
        <v>0</v>
      </c>
      <c r="B309">
        <f>+DB!D309</f>
        <v>0</v>
      </c>
      <c r="C309">
        <f>+DB!E309</f>
        <v>0</v>
      </c>
      <c r="D309">
        <f t="shared" si="12"/>
        <v>0</v>
      </c>
      <c r="E309">
        <f>+DB!G309</f>
        <v>0</v>
      </c>
      <c r="F309">
        <f>+DB!H309</f>
        <v>0</v>
      </c>
      <c r="G309">
        <f>+DB!N309</f>
        <v>0</v>
      </c>
      <c r="H309">
        <f>+DB!O309</f>
        <v>0</v>
      </c>
      <c r="I309">
        <f>+DB!I309</f>
        <v>0</v>
      </c>
      <c r="J309">
        <f>+DB!J309</f>
        <v>0</v>
      </c>
      <c r="K309">
        <f>+DB!L309</f>
        <v>0</v>
      </c>
      <c r="L309" t="str">
        <f t="shared" si="13"/>
        <v/>
      </c>
      <c r="M309" t="str">
        <f>+IF(LEFT(DB!M309,3)="13/","CAC","MAD")</f>
        <v>MAD</v>
      </c>
      <c r="N309" t="str">
        <f>+RIGHT(DB!M309,6)</f>
        <v/>
      </c>
      <c r="O309">
        <v>95</v>
      </c>
      <c r="P309">
        <v>5</v>
      </c>
      <c r="Q309">
        <f>+DB!AB309</f>
        <v>0</v>
      </c>
      <c r="R309">
        <f>+DB!K309</f>
        <v>0</v>
      </c>
      <c r="S309">
        <f>+DB!F309</f>
        <v>0</v>
      </c>
      <c r="T309">
        <f>+IF(DB!F309="AAAC-35",1,3)</f>
        <v>3</v>
      </c>
      <c r="U309">
        <f>+DB!R309</f>
        <v>0</v>
      </c>
      <c r="V309">
        <f>+IF(DB!P309="1RI",1,0)+IF(DB!P309="2RI",2,0)</f>
        <v>0</v>
      </c>
      <c r="W309">
        <f>+IF(DB!P309="1RV",1,0)+IF(DB!P309="2RV",2,0)</f>
        <v>0</v>
      </c>
      <c r="X309">
        <f>+IF(DB!P309="RYI",1,0)</f>
        <v>0</v>
      </c>
      <c r="Y309">
        <f>+IF(DB!P309="RYV",1,0)</f>
        <v>0</v>
      </c>
      <c r="Z309">
        <f>+DB!U309</f>
        <v>0</v>
      </c>
      <c r="AA309">
        <f>+IF(DB!F309="AAAC-35",19.5,33)</f>
        <v>33</v>
      </c>
      <c r="AB309">
        <f>+DB!V309</f>
        <v>0</v>
      </c>
      <c r="AC309" t="str">
        <f t="shared" si="14"/>
        <v>56-4</v>
      </c>
      <c r="AD309" s="21" t="s">
        <v>72</v>
      </c>
      <c r="AE309">
        <f>+DB!X309</f>
        <v>0</v>
      </c>
      <c r="AF309" s="22">
        <f>+DB!Y309</f>
        <v>0</v>
      </c>
      <c r="AG309">
        <f>+DB!AK309</f>
        <v>0</v>
      </c>
    </row>
    <row r="310" spans="1:33" x14ac:dyDescent="0.2">
      <c r="A310">
        <f>+DB!C310</f>
        <v>0</v>
      </c>
      <c r="B310">
        <f>+DB!D310</f>
        <v>0</v>
      </c>
      <c r="C310">
        <f>+DB!E310</f>
        <v>0</v>
      </c>
      <c r="D310">
        <f t="shared" si="12"/>
        <v>0</v>
      </c>
      <c r="E310">
        <f>+DB!G310</f>
        <v>0</v>
      </c>
      <c r="F310">
        <f>+DB!H310</f>
        <v>0</v>
      </c>
      <c r="G310">
        <f>+DB!N310</f>
        <v>0</v>
      </c>
      <c r="H310">
        <f>+DB!O310</f>
        <v>0</v>
      </c>
      <c r="I310">
        <f>+DB!I310</f>
        <v>0</v>
      </c>
      <c r="J310">
        <f>+DB!J310</f>
        <v>0</v>
      </c>
      <c r="K310">
        <f>+DB!L310</f>
        <v>0</v>
      </c>
      <c r="L310" t="str">
        <f t="shared" si="13"/>
        <v/>
      </c>
      <c r="M310" t="str">
        <f>+IF(LEFT(DB!M310,3)="13/","CAC","MAD")</f>
        <v>MAD</v>
      </c>
      <c r="N310" t="str">
        <f>+RIGHT(DB!M310,6)</f>
        <v/>
      </c>
      <c r="O310">
        <v>95</v>
      </c>
      <c r="P310">
        <v>5</v>
      </c>
      <c r="Q310">
        <f>+DB!AB310</f>
        <v>0</v>
      </c>
      <c r="R310">
        <f>+DB!K310</f>
        <v>0</v>
      </c>
      <c r="S310">
        <f>+DB!F310</f>
        <v>0</v>
      </c>
      <c r="T310">
        <f>+IF(DB!F310="AAAC-35",1,3)</f>
        <v>3</v>
      </c>
      <c r="U310">
        <f>+DB!R310</f>
        <v>0</v>
      </c>
      <c r="V310">
        <f>+IF(DB!P310="1RI",1,0)+IF(DB!P310="2RI",2,0)</f>
        <v>0</v>
      </c>
      <c r="W310">
        <f>+IF(DB!P310="1RV",1,0)+IF(DB!P310="2RV",2,0)</f>
        <v>0</v>
      </c>
      <c r="X310">
        <f>+IF(DB!P310="RYI",1,0)</f>
        <v>0</v>
      </c>
      <c r="Y310">
        <f>+IF(DB!P310="RYV",1,0)</f>
        <v>0</v>
      </c>
      <c r="Z310">
        <f>+DB!U310</f>
        <v>0</v>
      </c>
      <c r="AA310">
        <f>+IF(DB!F310="AAAC-35",19.5,33)</f>
        <v>33</v>
      </c>
      <c r="AB310">
        <f>+DB!V310</f>
        <v>0</v>
      </c>
      <c r="AC310" t="str">
        <f t="shared" si="14"/>
        <v>56-4</v>
      </c>
      <c r="AD310" s="21" t="s">
        <v>72</v>
      </c>
      <c r="AE310">
        <f>+DB!X310</f>
        <v>0</v>
      </c>
      <c r="AF310" s="22">
        <f>+DB!Y310</f>
        <v>0</v>
      </c>
      <c r="AG310">
        <f>+DB!AK310</f>
        <v>0</v>
      </c>
    </row>
    <row r="311" spans="1:33" x14ac:dyDescent="0.2">
      <c r="A311">
        <f>+DB!C311</f>
        <v>0</v>
      </c>
      <c r="B311">
        <f>+DB!D311</f>
        <v>0</v>
      </c>
      <c r="C311">
        <f>+DB!E311</f>
        <v>0</v>
      </c>
      <c r="D311">
        <f t="shared" si="12"/>
        <v>0</v>
      </c>
      <c r="E311">
        <f>+DB!G311</f>
        <v>0</v>
      </c>
      <c r="F311">
        <f>+DB!H311</f>
        <v>0</v>
      </c>
      <c r="G311">
        <f>+DB!N311</f>
        <v>0</v>
      </c>
      <c r="H311">
        <f>+DB!O311</f>
        <v>0</v>
      </c>
      <c r="I311">
        <f>+DB!I311</f>
        <v>0</v>
      </c>
      <c r="J311">
        <f>+DB!J311</f>
        <v>0</v>
      </c>
      <c r="K311">
        <f>+DB!L311</f>
        <v>0</v>
      </c>
      <c r="L311" t="str">
        <f t="shared" si="13"/>
        <v/>
      </c>
      <c r="M311" t="str">
        <f>+IF(LEFT(DB!M311,3)="13/","CAC","MAD")</f>
        <v>MAD</v>
      </c>
      <c r="N311" t="str">
        <f>+RIGHT(DB!M311,6)</f>
        <v/>
      </c>
      <c r="O311">
        <v>95</v>
      </c>
      <c r="P311">
        <v>5</v>
      </c>
      <c r="Q311">
        <f>+DB!AB311</f>
        <v>0</v>
      </c>
      <c r="R311">
        <f>+DB!K311</f>
        <v>0</v>
      </c>
      <c r="S311">
        <f>+DB!F311</f>
        <v>0</v>
      </c>
      <c r="T311">
        <f>+IF(DB!F311="AAAC-35",1,3)</f>
        <v>3</v>
      </c>
      <c r="U311">
        <f>+DB!R311</f>
        <v>0</v>
      </c>
      <c r="V311">
        <f>+IF(DB!P311="1RI",1,0)+IF(DB!P311="2RI",2,0)</f>
        <v>0</v>
      </c>
      <c r="W311">
        <f>+IF(DB!P311="1RV",1,0)+IF(DB!P311="2RV",2,0)</f>
        <v>0</v>
      </c>
      <c r="X311">
        <f>+IF(DB!P311="RYI",1,0)</f>
        <v>0</v>
      </c>
      <c r="Y311">
        <f>+IF(DB!P311="RYV",1,0)</f>
        <v>0</v>
      </c>
      <c r="Z311">
        <f>+DB!U311</f>
        <v>0</v>
      </c>
      <c r="AA311">
        <f>+IF(DB!F311="AAAC-35",19.5,33)</f>
        <v>33</v>
      </c>
      <c r="AB311">
        <f>+DB!V311</f>
        <v>0</v>
      </c>
      <c r="AC311" t="str">
        <f t="shared" si="14"/>
        <v>56-4</v>
      </c>
      <c r="AD311" s="21" t="s">
        <v>72</v>
      </c>
      <c r="AE311">
        <f>+DB!X311</f>
        <v>0</v>
      </c>
      <c r="AF311" s="22">
        <f>+DB!Y311</f>
        <v>0</v>
      </c>
      <c r="AG311">
        <f>+DB!AK311</f>
        <v>0</v>
      </c>
    </row>
    <row r="312" spans="1:33" x14ac:dyDescent="0.2">
      <c r="A312">
        <f>+DB!C312</f>
        <v>0</v>
      </c>
      <c r="B312">
        <f>+DB!D312</f>
        <v>0</v>
      </c>
      <c r="C312">
        <f>+DB!E312</f>
        <v>0</v>
      </c>
      <c r="D312">
        <f t="shared" si="12"/>
        <v>0</v>
      </c>
      <c r="E312">
        <f>+DB!G312</f>
        <v>0</v>
      </c>
      <c r="F312">
        <f>+DB!H312</f>
        <v>0</v>
      </c>
      <c r="G312">
        <f>+DB!N312</f>
        <v>0</v>
      </c>
      <c r="H312">
        <f>+DB!O312</f>
        <v>0</v>
      </c>
      <c r="I312">
        <f>+DB!I312</f>
        <v>0</v>
      </c>
      <c r="J312">
        <f>+DB!J312</f>
        <v>0</v>
      </c>
      <c r="K312">
        <f>+DB!L312</f>
        <v>0</v>
      </c>
      <c r="L312" t="str">
        <f t="shared" si="13"/>
        <v/>
      </c>
      <c r="M312" t="str">
        <f>+IF(LEFT(DB!M312,3)="13/","CAC","MAD")</f>
        <v>MAD</v>
      </c>
      <c r="N312" t="str">
        <f>+RIGHT(DB!M312,6)</f>
        <v/>
      </c>
      <c r="O312">
        <v>95</v>
      </c>
      <c r="P312">
        <v>5</v>
      </c>
      <c r="Q312">
        <f>+DB!AB312</f>
        <v>0</v>
      </c>
      <c r="R312">
        <f>+DB!K312</f>
        <v>0</v>
      </c>
      <c r="S312">
        <f>+DB!F312</f>
        <v>0</v>
      </c>
      <c r="T312">
        <f>+IF(DB!F312="AAAC-35",1,3)</f>
        <v>3</v>
      </c>
      <c r="U312">
        <f>+DB!R312</f>
        <v>0</v>
      </c>
      <c r="V312">
        <f>+IF(DB!P312="1RI",1,0)+IF(DB!P312="2RI",2,0)</f>
        <v>0</v>
      </c>
      <c r="W312">
        <f>+IF(DB!P312="1RV",1,0)+IF(DB!P312="2RV",2,0)</f>
        <v>0</v>
      </c>
      <c r="X312">
        <f>+IF(DB!P312="RYI",1,0)</f>
        <v>0</v>
      </c>
      <c r="Y312">
        <f>+IF(DB!P312="RYV",1,0)</f>
        <v>0</v>
      </c>
      <c r="Z312">
        <f>+DB!U312</f>
        <v>0</v>
      </c>
      <c r="AA312">
        <f>+IF(DB!F312="AAAC-35",19.5,33)</f>
        <v>33</v>
      </c>
      <c r="AB312">
        <f>+DB!V312</f>
        <v>0</v>
      </c>
      <c r="AC312" t="str">
        <f t="shared" si="14"/>
        <v>56-4</v>
      </c>
      <c r="AD312" s="21" t="s">
        <v>72</v>
      </c>
      <c r="AE312">
        <f>+DB!X312</f>
        <v>0</v>
      </c>
      <c r="AF312" s="22">
        <f>+DB!Y312</f>
        <v>0</v>
      </c>
      <c r="AG312">
        <f>+DB!AK312</f>
        <v>0</v>
      </c>
    </row>
    <row r="313" spans="1:33" x14ac:dyDescent="0.2">
      <c r="A313">
        <f>+DB!C313</f>
        <v>0</v>
      </c>
      <c r="B313">
        <f>+DB!D313</f>
        <v>0</v>
      </c>
      <c r="C313">
        <f>+DB!E313</f>
        <v>0</v>
      </c>
      <c r="D313">
        <f t="shared" si="12"/>
        <v>0</v>
      </c>
      <c r="E313">
        <f>+DB!G313</f>
        <v>0</v>
      </c>
      <c r="F313">
        <f>+DB!H313</f>
        <v>0</v>
      </c>
      <c r="G313">
        <f>+DB!N313</f>
        <v>0</v>
      </c>
      <c r="H313">
        <f>+DB!O313</f>
        <v>0</v>
      </c>
      <c r="I313">
        <f>+DB!I313</f>
        <v>0</v>
      </c>
      <c r="J313">
        <f>+DB!J313</f>
        <v>0</v>
      </c>
      <c r="K313">
        <f>+DB!L313</f>
        <v>0</v>
      </c>
      <c r="L313" t="str">
        <f t="shared" si="13"/>
        <v/>
      </c>
      <c r="M313" t="str">
        <f>+IF(LEFT(DB!M313,3)="13/","CAC","MAD")</f>
        <v>MAD</v>
      </c>
      <c r="N313" t="str">
        <f>+RIGHT(DB!M313,6)</f>
        <v/>
      </c>
      <c r="O313">
        <v>95</v>
      </c>
      <c r="P313">
        <v>5</v>
      </c>
      <c r="Q313">
        <f>+DB!AB313</f>
        <v>0</v>
      </c>
      <c r="R313">
        <f>+DB!K313</f>
        <v>0</v>
      </c>
      <c r="S313">
        <f>+DB!F313</f>
        <v>0</v>
      </c>
      <c r="T313">
        <f>+IF(DB!F313="AAAC-35",1,3)</f>
        <v>3</v>
      </c>
      <c r="U313">
        <f>+DB!R313</f>
        <v>0</v>
      </c>
      <c r="V313">
        <f>+IF(DB!P313="1RI",1,0)+IF(DB!P313="2RI",2,0)</f>
        <v>0</v>
      </c>
      <c r="W313">
        <f>+IF(DB!P313="1RV",1,0)+IF(DB!P313="2RV",2,0)</f>
        <v>0</v>
      </c>
      <c r="X313">
        <f>+IF(DB!P313="RYI",1,0)</f>
        <v>0</v>
      </c>
      <c r="Y313">
        <f>+IF(DB!P313="RYV",1,0)</f>
        <v>0</v>
      </c>
      <c r="Z313">
        <f>+DB!U313</f>
        <v>0</v>
      </c>
      <c r="AA313">
        <f>+IF(DB!F313="AAAC-35",19.5,33)</f>
        <v>33</v>
      </c>
      <c r="AB313">
        <f>+DB!V313</f>
        <v>0</v>
      </c>
      <c r="AC313" t="str">
        <f t="shared" si="14"/>
        <v>56-4</v>
      </c>
      <c r="AD313" s="21" t="s">
        <v>72</v>
      </c>
      <c r="AE313">
        <f>+DB!X313</f>
        <v>0</v>
      </c>
      <c r="AF313" s="22">
        <f>+DB!Y313</f>
        <v>0</v>
      </c>
      <c r="AG313">
        <f>+DB!AK313</f>
        <v>0</v>
      </c>
    </row>
    <row r="314" spans="1:33" x14ac:dyDescent="0.2">
      <c r="A314">
        <f>+DB!C314</f>
        <v>0</v>
      </c>
      <c r="B314">
        <f>+DB!D314</f>
        <v>0</v>
      </c>
      <c r="C314">
        <f>+DB!E314</f>
        <v>0</v>
      </c>
      <c r="D314">
        <f t="shared" si="12"/>
        <v>0</v>
      </c>
      <c r="E314">
        <f>+DB!G314</f>
        <v>0</v>
      </c>
      <c r="F314">
        <f>+DB!H314</f>
        <v>0</v>
      </c>
      <c r="G314">
        <f>+DB!N314</f>
        <v>0</v>
      </c>
      <c r="H314">
        <f>+DB!O314</f>
        <v>0</v>
      </c>
      <c r="I314">
        <f>+DB!I314</f>
        <v>0</v>
      </c>
      <c r="J314">
        <f>+DB!J314</f>
        <v>0</v>
      </c>
      <c r="K314">
        <f>+DB!L314</f>
        <v>0</v>
      </c>
      <c r="L314" t="str">
        <f t="shared" si="13"/>
        <v/>
      </c>
      <c r="M314" t="str">
        <f>+IF(LEFT(DB!M314,3)="13/","CAC","MAD")</f>
        <v>MAD</v>
      </c>
      <c r="N314" t="str">
        <f>+RIGHT(DB!M314,6)</f>
        <v/>
      </c>
      <c r="O314">
        <v>95</v>
      </c>
      <c r="P314">
        <v>5</v>
      </c>
      <c r="Q314">
        <f>+DB!AB314</f>
        <v>0</v>
      </c>
      <c r="R314">
        <f>+DB!K314</f>
        <v>0</v>
      </c>
      <c r="S314">
        <f>+DB!F314</f>
        <v>0</v>
      </c>
      <c r="T314">
        <f>+IF(DB!F314="AAAC-35",1,3)</f>
        <v>3</v>
      </c>
      <c r="U314">
        <f>+DB!R314</f>
        <v>0</v>
      </c>
      <c r="V314">
        <f>+IF(DB!P314="1RI",1,0)+IF(DB!P314="2RI",2,0)</f>
        <v>0</v>
      </c>
      <c r="W314">
        <f>+IF(DB!P314="1RV",1,0)+IF(DB!P314="2RV",2,0)</f>
        <v>0</v>
      </c>
      <c r="X314">
        <f>+IF(DB!P314="RYI",1,0)</f>
        <v>0</v>
      </c>
      <c r="Y314">
        <f>+IF(DB!P314="RYV",1,0)</f>
        <v>0</v>
      </c>
      <c r="Z314">
        <f>+DB!U314</f>
        <v>0</v>
      </c>
      <c r="AA314">
        <f>+IF(DB!F314="AAAC-35",19.5,33)</f>
        <v>33</v>
      </c>
      <c r="AB314">
        <f>+DB!V314</f>
        <v>0</v>
      </c>
      <c r="AC314" t="str">
        <f t="shared" si="14"/>
        <v>56-4</v>
      </c>
      <c r="AD314" s="21" t="s">
        <v>72</v>
      </c>
      <c r="AE314">
        <f>+DB!X314</f>
        <v>0</v>
      </c>
      <c r="AF314" s="22">
        <f>+DB!Y314</f>
        <v>0</v>
      </c>
      <c r="AG314">
        <f>+DB!AK314</f>
        <v>0</v>
      </c>
    </row>
    <row r="315" spans="1:33" x14ac:dyDescent="0.2">
      <c r="A315">
        <f>+DB!C315</f>
        <v>0</v>
      </c>
      <c r="B315">
        <f>+DB!D315</f>
        <v>0</v>
      </c>
      <c r="C315">
        <f>+DB!E315</f>
        <v>0</v>
      </c>
      <c r="D315">
        <f t="shared" si="12"/>
        <v>0</v>
      </c>
      <c r="E315">
        <f>+DB!G315</f>
        <v>0</v>
      </c>
      <c r="F315">
        <f>+DB!H315</f>
        <v>0</v>
      </c>
      <c r="G315">
        <f>+DB!N315</f>
        <v>0</v>
      </c>
      <c r="H315">
        <f>+DB!O315</f>
        <v>0</v>
      </c>
      <c r="I315">
        <f>+DB!I315</f>
        <v>0</v>
      </c>
      <c r="J315">
        <f>+DB!J315</f>
        <v>0</v>
      </c>
      <c r="K315">
        <f>+DB!L315</f>
        <v>0</v>
      </c>
      <c r="L315" t="str">
        <f t="shared" si="13"/>
        <v/>
      </c>
      <c r="M315" t="str">
        <f>+IF(LEFT(DB!M315,3)="13/","CAC","MAD")</f>
        <v>MAD</v>
      </c>
      <c r="N315" t="str">
        <f>+RIGHT(DB!M315,6)</f>
        <v/>
      </c>
      <c r="O315">
        <v>95</v>
      </c>
      <c r="P315">
        <v>5</v>
      </c>
      <c r="Q315">
        <f>+DB!AB315</f>
        <v>0</v>
      </c>
      <c r="R315">
        <f>+DB!K315</f>
        <v>0</v>
      </c>
      <c r="S315">
        <f>+DB!F315</f>
        <v>0</v>
      </c>
      <c r="T315">
        <f>+IF(DB!F315="AAAC-35",1,3)</f>
        <v>3</v>
      </c>
      <c r="U315">
        <f>+DB!R315</f>
        <v>0</v>
      </c>
      <c r="V315">
        <f>+IF(DB!P315="1RI",1,0)+IF(DB!P315="2RI",2,0)</f>
        <v>0</v>
      </c>
      <c r="W315">
        <f>+IF(DB!P315="1RV",1,0)+IF(DB!P315="2RV",2,0)</f>
        <v>0</v>
      </c>
      <c r="X315">
        <f>+IF(DB!P315="RYI",1,0)</f>
        <v>0</v>
      </c>
      <c r="Y315">
        <f>+IF(DB!P315="RYV",1,0)</f>
        <v>0</v>
      </c>
      <c r="Z315">
        <f>+DB!U315</f>
        <v>0</v>
      </c>
      <c r="AA315">
        <f>+IF(DB!F315="AAAC-35",19.5,33)</f>
        <v>33</v>
      </c>
      <c r="AB315">
        <f>+DB!V315</f>
        <v>0</v>
      </c>
      <c r="AC315" t="str">
        <f t="shared" si="14"/>
        <v>56-4</v>
      </c>
      <c r="AD315" s="21" t="s">
        <v>72</v>
      </c>
      <c r="AE315">
        <f>+DB!X315</f>
        <v>0</v>
      </c>
      <c r="AF315" s="22">
        <f>+DB!Y315</f>
        <v>0</v>
      </c>
      <c r="AG315">
        <f>+DB!AK315</f>
        <v>0</v>
      </c>
    </row>
    <row r="316" spans="1:33" x14ac:dyDescent="0.2">
      <c r="A316">
        <f>+DB!C316</f>
        <v>0</v>
      </c>
      <c r="B316">
        <f>+DB!D316</f>
        <v>0</v>
      </c>
      <c r="C316">
        <f>+DB!E316</f>
        <v>0</v>
      </c>
      <c r="D316">
        <f t="shared" si="12"/>
        <v>0</v>
      </c>
      <c r="E316">
        <f>+DB!G316</f>
        <v>0</v>
      </c>
      <c r="F316">
        <f>+DB!H316</f>
        <v>0</v>
      </c>
      <c r="G316">
        <f>+DB!N316</f>
        <v>0</v>
      </c>
      <c r="H316">
        <f>+DB!O316</f>
        <v>0</v>
      </c>
      <c r="I316">
        <f>+DB!I316</f>
        <v>0</v>
      </c>
      <c r="J316">
        <f>+DB!J316</f>
        <v>0</v>
      </c>
      <c r="K316">
        <f>+DB!L316</f>
        <v>0</v>
      </c>
      <c r="L316" t="str">
        <f t="shared" si="13"/>
        <v/>
      </c>
      <c r="M316" t="str">
        <f>+IF(LEFT(DB!M316,3)="13/","CAC","MAD")</f>
        <v>MAD</v>
      </c>
      <c r="N316" t="str">
        <f>+RIGHT(DB!M316,6)</f>
        <v/>
      </c>
      <c r="O316">
        <v>95</v>
      </c>
      <c r="P316">
        <v>5</v>
      </c>
      <c r="Q316">
        <f>+DB!AB316</f>
        <v>0</v>
      </c>
      <c r="R316">
        <f>+DB!K316</f>
        <v>0</v>
      </c>
      <c r="S316">
        <f>+DB!F316</f>
        <v>0</v>
      </c>
      <c r="T316">
        <f>+IF(DB!F316="AAAC-35",1,3)</f>
        <v>3</v>
      </c>
      <c r="U316">
        <f>+DB!R316</f>
        <v>0</v>
      </c>
      <c r="V316">
        <f>+IF(DB!P316="1RI",1,0)+IF(DB!P316="2RI",2,0)</f>
        <v>0</v>
      </c>
      <c r="W316">
        <f>+IF(DB!P316="1RV",1,0)+IF(DB!P316="2RV",2,0)</f>
        <v>0</v>
      </c>
      <c r="X316">
        <f>+IF(DB!P316="RYI",1,0)</f>
        <v>0</v>
      </c>
      <c r="Y316">
        <f>+IF(DB!P316="RYV",1,0)</f>
        <v>0</v>
      </c>
      <c r="Z316">
        <f>+DB!U316</f>
        <v>0</v>
      </c>
      <c r="AA316">
        <f>+IF(DB!F316="AAAC-35",19.5,33)</f>
        <v>33</v>
      </c>
      <c r="AB316">
        <f>+DB!V316</f>
        <v>0</v>
      </c>
      <c r="AC316" t="str">
        <f t="shared" si="14"/>
        <v>56-4</v>
      </c>
      <c r="AD316" s="21" t="s">
        <v>72</v>
      </c>
      <c r="AE316">
        <f>+DB!X316</f>
        <v>0</v>
      </c>
      <c r="AF316" s="22">
        <f>+DB!Y316</f>
        <v>0</v>
      </c>
      <c r="AG316">
        <f>+DB!AK316</f>
        <v>0</v>
      </c>
    </row>
    <row r="317" spans="1:33" x14ac:dyDescent="0.2">
      <c r="A317">
        <f>+DB!C317</f>
        <v>0</v>
      </c>
      <c r="B317">
        <f>+DB!D317</f>
        <v>0</v>
      </c>
      <c r="C317">
        <f>+DB!E317</f>
        <v>0</v>
      </c>
      <c r="D317">
        <f t="shared" si="12"/>
        <v>0</v>
      </c>
      <c r="E317">
        <f>+DB!G317</f>
        <v>0</v>
      </c>
      <c r="F317">
        <f>+DB!H317</f>
        <v>0</v>
      </c>
      <c r="G317">
        <f>+DB!N317</f>
        <v>0</v>
      </c>
      <c r="H317">
        <f>+DB!O317</f>
        <v>0</v>
      </c>
      <c r="I317">
        <f>+DB!I317</f>
        <v>0</v>
      </c>
      <c r="J317">
        <f>+DB!J317</f>
        <v>0</v>
      </c>
      <c r="K317">
        <f>+DB!L317</f>
        <v>0</v>
      </c>
      <c r="L317" t="str">
        <f t="shared" si="13"/>
        <v/>
      </c>
      <c r="M317" t="str">
        <f>+IF(LEFT(DB!M317,3)="13/","CAC","MAD")</f>
        <v>MAD</v>
      </c>
      <c r="N317" t="str">
        <f>+RIGHT(DB!M317,6)</f>
        <v/>
      </c>
      <c r="O317">
        <v>95</v>
      </c>
      <c r="P317">
        <v>5</v>
      </c>
      <c r="Q317">
        <f>+DB!AB317</f>
        <v>0</v>
      </c>
      <c r="R317">
        <f>+DB!K317</f>
        <v>0</v>
      </c>
      <c r="S317">
        <f>+DB!F317</f>
        <v>0</v>
      </c>
      <c r="T317">
        <f>+IF(DB!F317="AAAC-35",1,3)</f>
        <v>3</v>
      </c>
      <c r="U317">
        <f>+DB!R317</f>
        <v>0</v>
      </c>
      <c r="V317">
        <f>+IF(DB!P317="1RI",1,0)+IF(DB!P317="2RI",2,0)</f>
        <v>0</v>
      </c>
      <c r="W317">
        <f>+IF(DB!P317="1RV",1,0)+IF(DB!P317="2RV",2,0)</f>
        <v>0</v>
      </c>
      <c r="X317">
        <f>+IF(DB!P317="RYI",1,0)</f>
        <v>0</v>
      </c>
      <c r="Y317">
        <f>+IF(DB!P317="RYV",1,0)</f>
        <v>0</v>
      </c>
      <c r="Z317">
        <f>+DB!U317</f>
        <v>0</v>
      </c>
      <c r="AA317">
        <f>+IF(DB!F317="AAAC-35",19.5,33)</f>
        <v>33</v>
      </c>
      <c r="AB317">
        <f>+DB!V317</f>
        <v>0</v>
      </c>
      <c r="AC317" t="str">
        <f t="shared" si="14"/>
        <v>56-4</v>
      </c>
      <c r="AD317" s="21" t="s">
        <v>72</v>
      </c>
      <c r="AE317">
        <f>+DB!X317</f>
        <v>0</v>
      </c>
      <c r="AF317" s="22">
        <f>+DB!Y317</f>
        <v>0</v>
      </c>
      <c r="AG317">
        <f>+DB!AK317</f>
        <v>0</v>
      </c>
    </row>
    <row r="318" spans="1:33" x14ac:dyDescent="0.2">
      <c r="A318">
        <f>+DB!C318</f>
        <v>0</v>
      </c>
      <c r="B318">
        <f>+DB!D318</f>
        <v>0</v>
      </c>
      <c r="C318">
        <f>+DB!E318</f>
        <v>0</v>
      </c>
      <c r="D318">
        <f t="shared" si="12"/>
        <v>0</v>
      </c>
      <c r="E318">
        <f>+DB!G318</f>
        <v>0</v>
      </c>
      <c r="F318">
        <f>+DB!H318</f>
        <v>0</v>
      </c>
      <c r="G318">
        <f>+DB!N318</f>
        <v>0</v>
      </c>
      <c r="H318">
        <f>+DB!O318</f>
        <v>0</v>
      </c>
      <c r="I318">
        <f>+DB!I318</f>
        <v>0</v>
      </c>
      <c r="J318">
        <f>+DB!J318</f>
        <v>0</v>
      </c>
      <c r="K318">
        <f>+DB!L318</f>
        <v>0</v>
      </c>
      <c r="L318" t="str">
        <f t="shared" si="13"/>
        <v/>
      </c>
      <c r="M318" t="str">
        <f>+IF(LEFT(DB!M318,3)="13/","CAC","MAD")</f>
        <v>MAD</v>
      </c>
      <c r="N318" t="str">
        <f>+RIGHT(DB!M318,6)</f>
        <v/>
      </c>
      <c r="O318">
        <v>95</v>
      </c>
      <c r="P318">
        <v>5</v>
      </c>
      <c r="Q318">
        <f>+DB!AB318</f>
        <v>0</v>
      </c>
      <c r="R318">
        <f>+DB!K318</f>
        <v>0</v>
      </c>
      <c r="S318">
        <f>+DB!F318</f>
        <v>0</v>
      </c>
      <c r="T318">
        <f>+IF(DB!F318="AAAC-35",1,3)</f>
        <v>3</v>
      </c>
      <c r="U318">
        <f>+DB!R318</f>
        <v>0</v>
      </c>
      <c r="V318">
        <f>+IF(DB!P318="1RI",1,0)+IF(DB!P318="2RI",2,0)</f>
        <v>0</v>
      </c>
      <c r="W318">
        <f>+IF(DB!P318="1RV",1,0)+IF(DB!P318="2RV",2,0)</f>
        <v>0</v>
      </c>
      <c r="X318">
        <f>+IF(DB!P318="RYI",1,0)</f>
        <v>0</v>
      </c>
      <c r="Y318">
        <f>+IF(DB!P318="RYV",1,0)</f>
        <v>0</v>
      </c>
      <c r="Z318">
        <f>+DB!U318</f>
        <v>0</v>
      </c>
      <c r="AA318">
        <f>+IF(DB!F318="AAAC-35",19.5,33)</f>
        <v>33</v>
      </c>
      <c r="AB318">
        <f>+DB!V318</f>
        <v>0</v>
      </c>
      <c r="AC318" t="str">
        <f t="shared" si="14"/>
        <v>56-4</v>
      </c>
      <c r="AD318" s="21" t="s">
        <v>72</v>
      </c>
      <c r="AE318">
        <f>+DB!X318</f>
        <v>0</v>
      </c>
      <c r="AF318" s="22">
        <f>+DB!Y318</f>
        <v>0</v>
      </c>
      <c r="AG318">
        <f>+DB!AK318</f>
        <v>0</v>
      </c>
    </row>
    <row r="319" spans="1:33" x14ac:dyDescent="0.2">
      <c r="A319">
        <f>+DB!C319</f>
        <v>0</v>
      </c>
      <c r="B319">
        <f>+DB!D319</f>
        <v>0</v>
      </c>
      <c r="C319">
        <f>+DB!E319</f>
        <v>0</v>
      </c>
      <c r="D319">
        <f t="shared" si="12"/>
        <v>0</v>
      </c>
      <c r="E319">
        <f>+DB!G319</f>
        <v>0</v>
      </c>
      <c r="F319">
        <f>+DB!H319</f>
        <v>0</v>
      </c>
      <c r="G319">
        <f>+DB!N319</f>
        <v>0</v>
      </c>
      <c r="H319">
        <f>+DB!O319</f>
        <v>0</v>
      </c>
      <c r="I319">
        <f>+DB!I319</f>
        <v>0</v>
      </c>
      <c r="J319">
        <f>+DB!J319</f>
        <v>0</v>
      </c>
      <c r="K319">
        <f>+DB!L319</f>
        <v>0</v>
      </c>
      <c r="L319" t="str">
        <f t="shared" si="13"/>
        <v/>
      </c>
      <c r="M319" t="str">
        <f>+IF(LEFT(DB!M319,3)="13/","CAC","MAD")</f>
        <v>MAD</v>
      </c>
      <c r="N319" t="str">
        <f>+RIGHT(DB!M319,6)</f>
        <v/>
      </c>
      <c r="O319">
        <v>95</v>
      </c>
      <c r="P319">
        <v>5</v>
      </c>
      <c r="Q319">
        <f>+DB!AB319</f>
        <v>0</v>
      </c>
      <c r="R319">
        <f>+DB!K319</f>
        <v>0</v>
      </c>
      <c r="S319">
        <f>+DB!F319</f>
        <v>0</v>
      </c>
      <c r="T319">
        <f>+IF(DB!F319="AAAC-35",1,3)</f>
        <v>3</v>
      </c>
      <c r="U319">
        <f>+DB!R319</f>
        <v>0</v>
      </c>
      <c r="V319">
        <f>+IF(DB!P319="1RI",1,0)+IF(DB!P319="2RI",2,0)</f>
        <v>0</v>
      </c>
      <c r="W319">
        <f>+IF(DB!P319="1RV",1,0)+IF(DB!P319="2RV",2,0)</f>
        <v>0</v>
      </c>
      <c r="X319">
        <f>+IF(DB!P319="RYI",1,0)</f>
        <v>0</v>
      </c>
      <c r="Y319">
        <f>+IF(DB!P319="RYV",1,0)</f>
        <v>0</v>
      </c>
      <c r="Z319">
        <f>+DB!U319</f>
        <v>0</v>
      </c>
      <c r="AA319">
        <f>+IF(DB!F319="AAAC-35",19.5,33)</f>
        <v>33</v>
      </c>
      <c r="AB319">
        <f>+DB!V319</f>
        <v>0</v>
      </c>
      <c r="AC319" t="str">
        <f t="shared" si="14"/>
        <v>56-4</v>
      </c>
      <c r="AD319" s="21" t="s">
        <v>72</v>
      </c>
      <c r="AE319">
        <f>+DB!X319</f>
        <v>0</v>
      </c>
      <c r="AF319" s="22">
        <f>+DB!Y319</f>
        <v>0</v>
      </c>
      <c r="AG319">
        <f>+DB!AK319</f>
        <v>0</v>
      </c>
    </row>
    <row r="320" spans="1:33" x14ac:dyDescent="0.2">
      <c r="A320">
        <f>+DB!C320</f>
        <v>0</v>
      </c>
      <c r="B320">
        <f>+DB!D320</f>
        <v>0</v>
      </c>
      <c r="C320">
        <f>+DB!E320</f>
        <v>0</v>
      </c>
      <c r="D320">
        <f t="shared" si="12"/>
        <v>0</v>
      </c>
      <c r="E320">
        <f>+DB!G320</f>
        <v>0</v>
      </c>
      <c r="F320">
        <f>+DB!H320</f>
        <v>0</v>
      </c>
      <c r="G320">
        <f>+DB!N320</f>
        <v>0</v>
      </c>
      <c r="H320">
        <f>+DB!O320</f>
        <v>0</v>
      </c>
      <c r="I320">
        <f>+DB!I320</f>
        <v>0</v>
      </c>
      <c r="J320">
        <f>+DB!J320</f>
        <v>0</v>
      </c>
      <c r="K320">
        <f>+DB!L320</f>
        <v>0</v>
      </c>
      <c r="L320" t="str">
        <f t="shared" si="13"/>
        <v/>
      </c>
      <c r="M320" t="str">
        <f>+IF(LEFT(DB!M320,3)="13/","CAC","MAD")</f>
        <v>MAD</v>
      </c>
      <c r="N320" t="str">
        <f>+RIGHT(DB!M320,6)</f>
        <v/>
      </c>
      <c r="O320">
        <v>95</v>
      </c>
      <c r="P320">
        <v>5</v>
      </c>
      <c r="Q320">
        <f>+DB!AB320</f>
        <v>0</v>
      </c>
      <c r="R320">
        <f>+DB!K320</f>
        <v>0</v>
      </c>
      <c r="S320">
        <f>+DB!F320</f>
        <v>0</v>
      </c>
      <c r="T320">
        <f>+IF(DB!F320="AAAC-35",1,3)</f>
        <v>3</v>
      </c>
      <c r="U320">
        <f>+DB!R320</f>
        <v>0</v>
      </c>
      <c r="V320">
        <f>+IF(DB!P320="1RI",1,0)+IF(DB!P320="2RI",2,0)</f>
        <v>0</v>
      </c>
      <c r="W320">
        <f>+IF(DB!P320="1RV",1,0)+IF(DB!P320="2RV",2,0)</f>
        <v>0</v>
      </c>
      <c r="X320">
        <f>+IF(DB!P320="RYI",1,0)</f>
        <v>0</v>
      </c>
      <c r="Y320">
        <f>+IF(DB!P320="RYV",1,0)</f>
        <v>0</v>
      </c>
      <c r="Z320">
        <f>+DB!U320</f>
        <v>0</v>
      </c>
      <c r="AA320">
        <f>+IF(DB!F320="AAAC-35",19.5,33)</f>
        <v>33</v>
      </c>
      <c r="AB320">
        <f>+DB!V320</f>
        <v>0</v>
      </c>
      <c r="AC320" t="str">
        <f t="shared" si="14"/>
        <v>56-4</v>
      </c>
      <c r="AD320" s="21" t="s">
        <v>72</v>
      </c>
      <c r="AE320">
        <f>+DB!X320</f>
        <v>0</v>
      </c>
      <c r="AF320" s="22">
        <f>+DB!Y320</f>
        <v>0</v>
      </c>
      <c r="AG320">
        <f>+DB!AK320</f>
        <v>0</v>
      </c>
    </row>
    <row r="321" spans="1:33" x14ac:dyDescent="0.2">
      <c r="A321">
        <f>+DB!C321</f>
        <v>0</v>
      </c>
      <c r="B321">
        <f>+DB!D321</f>
        <v>0</v>
      </c>
      <c r="C321">
        <f>+DB!E321</f>
        <v>0</v>
      </c>
      <c r="D321">
        <f t="shared" si="12"/>
        <v>0</v>
      </c>
      <c r="E321">
        <f>+DB!G321</f>
        <v>0</v>
      </c>
      <c r="F321">
        <f>+DB!H321</f>
        <v>0</v>
      </c>
      <c r="G321">
        <f>+DB!N321</f>
        <v>0</v>
      </c>
      <c r="H321">
        <f>+DB!O321</f>
        <v>0</v>
      </c>
      <c r="I321">
        <f>+DB!I321</f>
        <v>0</v>
      </c>
      <c r="J321">
        <f>+DB!J321</f>
        <v>0</v>
      </c>
      <c r="K321">
        <f>+DB!L321</f>
        <v>0</v>
      </c>
      <c r="L321" t="str">
        <f t="shared" si="13"/>
        <v/>
      </c>
      <c r="M321" t="str">
        <f>+IF(LEFT(DB!M321,3)="13/","CAC","MAD")</f>
        <v>MAD</v>
      </c>
      <c r="N321" t="str">
        <f>+RIGHT(DB!M321,6)</f>
        <v/>
      </c>
      <c r="O321">
        <v>95</v>
      </c>
      <c r="P321">
        <v>5</v>
      </c>
      <c r="Q321">
        <f>+DB!AB321</f>
        <v>0</v>
      </c>
      <c r="R321">
        <f>+DB!K321</f>
        <v>0</v>
      </c>
      <c r="S321">
        <f>+DB!F321</f>
        <v>0</v>
      </c>
      <c r="T321">
        <f>+IF(DB!F321="AAAC-35",1,3)</f>
        <v>3</v>
      </c>
      <c r="U321">
        <f>+DB!R321</f>
        <v>0</v>
      </c>
      <c r="V321">
        <f>+IF(DB!P321="1RI",1,0)+IF(DB!P321="2RI",2,0)</f>
        <v>0</v>
      </c>
      <c r="W321">
        <f>+IF(DB!P321="1RV",1,0)+IF(DB!P321="2RV",2,0)</f>
        <v>0</v>
      </c>
      <c r="X321">
        <f>+IF(DB!P321="RYI",1,0)</f>
        <v>0</v>
      </c>
      <c r="Y321">
        <f>+IF(DB!P321="RYV",1,0)</f>
        <v>0</v>
      </c>
      <c r="Z321">
        <f>+DB!U321</f>
        <v>0</v>
      </c>
      <c r="AA321">
        <f>+IF(DB!F321="AAAC-35",19.5,33)</f>
        <v>33</v>
      </c>
      <c r="AB321">
        <f>+DB!V321</f>
        <v>0</v>
      </c>
      <c r="AC321" t="str">
        <f t="shared" si="14"/>
        <v>56-4</v>
      </c>
      <c r="AD321" s="21" t="s">
        <v>72</v>
      </c>
      <c r="AE321">
        <f>+DB!X321</f>
        <v>0</v>
      </c>
      <c r="AF321" s="22">
        <f>+DB!Y321</f>
        <v>0</v>
      </c>
      <c r="AG321">
        <f>+DB!AK321</f>
        <v>0</v>
      </c>
    </row>
    <row r="322" spans="1:33" x14ac:dyDescent="0.2">
      <c r="A322">
        <f>+DB!C322</f>
        <v>0</v>
      </c>
      <c r="B322">
        <f>+DB!D322</f>
        <v>0</v>
      </c>
      <c r="C322">
        <f>+DB!E322</f>
        <v>0</v>
      </c>
      <c r="D322">
        <f t="shared" si="12"/>
        <v>0</v>
      </c>
      <c r="E322">
        <f>+DB!G322</f>
        <v>0</v>
      </c>
      <c r="F322">
        <f>+DB!H322</f>
        <v>0</v>
      </c>
      <c r="G322">
        <f>+DB!N322</f>
        <v>0</v>
      </c>
      <c r="H322">
        <f>+DB!O322</f>
        <v>0</v>
      </c>
      <c r="I322">
        <f>+DB!I322</f>
        <v>0</v>
      </c>
      <c r="J322">
        <f>+DB!J322</f>
        <v>0</v>
      </c>
      <c r="K322">
        <f>+DB!L322</f>
        <v>0</v>
      </c>
      <c r="L322" t="str">
        <f t="shared" si="13"/>
        <v/>
      </c>
      <c r="M322" t="str">
        <f>+IF(LEFT(DB!M322,3)="13/","CAC","MAD")</f>
        <v>MAD</v>
      </c>
      <c r="N322" t="str">
        <f>+RIGHT(DB!M322,6)</f>
        <v/>
      </c>
      <c r="O322">
        <v>95</v>
      </c>
      <c r="P322">
        <v>5</v>
      </c>
      <c r="Q322">
        <f>+DB!AB322</f>
        <v>0</v>
      </c>
      <c r="R322">
        <f>+DB!K322</f>
        <v>0</v>
      </c>
      <c r="S322">
        <f>+DB!F322</f>
        <v>0</v>
      </c>
      <c r="T322">
        <f>+IF(DB!F322="AAAC-35",1,3)</f>
        <v>3</v>
      </c>
      <c r="U322">
        <f>+DB!R322</f>
        <v>0</v>
      </c>
      <c r="V322">
        <f>+IF(DB!P322="1RI",1,0)+IF(DB!P322="2RI",2,0)</f>
        <v>0</v>
      </c>
      <c r="W322">
        <f>+IF(DB!P322="1RV",1,0)+IF(DB!P322="2RV",2,0)</f>
        <v>0</v>
      </c>
      <c r="X322">
        <f>+IF(DB!P322="RYI",1,0)</f>
        <v>0</v>
      </c>
      <c r="Y322">
        <f>+IF(DB!P322="RYV",1,0)</f>
        <v>0</v>
      </c>
      <c r="Z322">
        <f>+DB!U322</f>
        <v>0</v>
      </c>
      <c r="AA322">
        <f>+IF(DB!F322="AAAC-35",19.5,33)</f>
        <v>33</v>
      </c>
      <c r="AB322">
        <f>+DB!V322</f>
        <v>0</v>
      </c>
      <c r="AC322" t="str">
        <f t="shared" si="14"/>
        <v>56-4</v>
      </c>
      <c r="AD322" s="21" t="s">
        <v>72</v>
      </c>
      <c r="AE322">
        <f>+DB!X322</f>
        <v>0</v>
      </c>
      <c r="AF322" s="22">
        <f>+DB!Y322</f>
        <v>0</v>
      </c>
      <c r="AG322">
        <f>+DB!AK322</f>
        <v>0</v>
      </c>
    </row>
    <row r="323" spans="1:33" x14ac:dyDescent="0.2">
      <c r="A323">
        <f>+DB!C323</f>
        <v>0</v>
      </c>
      <c r="B323">
        <f>+DB!D323</f>
        <v>0</v>
      </c>
      <c r="C323">
        <f>+DB!E323</f>
        <v>0</v>
      </c>
      <c r="D323">
        <f t="shared" ref="D323:D386" si="15">+IF(B323="PSEC-0PA","K",0)</f>
        <v>0</v>
      </c>
      <c r="E323">
        <f>+DB!G323</f>
        <v>0</v>
      </c>
      <c r="F323">
        <f>+DB!H323</f>
        <v>0</v>
      </c>
      <c r="G323">
        <f>+DB!N323</f>
        <v>0</v>
      </c>
      <c r="H323">
        <f>+DB!O323</f>
        <v>0</v>
      </c>
      <c r="I323">
        <f>+DB!I323</f>
        <v>0</v>
      </c>
      <c r="J323">
        <f>+DB!J323</f>
        <v>0</v>
      </c>
      <c r="K323">
        <f>+DB!L323</f>
        <v>0</v>
      </c>
      <c r="L323" t="str">
        <f t="shared" ref="L323:L386" si="16">+LEFT(N323,2)</f>
        <v/>
      </c>
      <c r="M323" t="str">
        <f>+IF(LEFT(DB!M323,3)="13/","CAC","MAD")</f>
        <v>MAD</v>
      </c>
      <c r="N323" t="str">
        <f>+RIGHT(DB!M323,6)</f>
        <v/>
      </c>
      <c r="O323">
        <v>95</v>
      </c>
      <c r="P323">
        <v>5</v>
      </c>
      <c r="Q323">
        <f>+DB!AB323</f>
        <v>0</v>
      </c>
      <c r="R323">
        <f>+DB!K323</f>
        <v>0</v>
      </c>
      <c r="S323">
        <f>+DB!F323</f>
        <v>0</v>
      </c>
      <c r="T323">
        <f>+IF(DB!F323="AAAC-35",1,3)</f>
        <v>3</v>
      </c>
      <c r="U323">
        <f>+DB!R323</f>
        <v>0</v>
      </c>
      <c r="V323">
        <f>+IF(DB!P323="1RI",1,0)+IF(DB!P323="2RI",2,0)</f>
        <v>0</v>
      </c>
      <c r="W323">
        <f>+IF(DB!P323="1RV",1,0)+IF(DB!P323="2RV",2,0)</f>
        <v>0</v>
      </c>
      <c r="X323">
        <f>+IF(DB!P323="RYI",1,0)</f>
        <v>0</v>
      </c>
      <c r="Y323">
        <f>+IF(DB!P323="RYV",1,0)</f>
        <v>0</v>
      </c>
      <c r="Z323">
        <f>+DB!U323</f>
        <v>0</v>
      </c>
      <c r="AA323">
        <f>+IF(DB!F323="AAAC-35",19.5,33)</f>
        <v>33</v>
      </c>
      <c r="AB323">
        <f>+DB!V323</f>
        <v>0</v>
      </c>
      <c r="AC323" t="str">
        <f t="shared" ref="AC323:AC386" si="17">+IF(F323&gt;1675,"56-5","56-4")</f>
        <v>56-4</v>
      </c>
      <c r="AD323" s="21" t="s">
        <v>72</v>
      </c>
      <c r="AE323">
        <f>+DB!X323</f>
        <v>0</v>
      </c>
      <c r="AF323" s="22">
        <f>+DB!Y323</f>
        <v>0</v>
      </c>
      <c r="AG323">
        <f>+DB!AK323</f>
        <v>0</v>
      </c>
    </row>
    <row r="324" spans="1:33" x14ac:dyDescent="0.2">
      <c r="A324">
        <f>+DB!C324</f>
        <v>0</v>
      </c>
      <c r="B324">
        <f>+DB!D324</f>
        <v>0</v>
      </c>
      <c r="C324">
        <f>+DB!E324</f>
        <v>0</v>
      </c>
      <c r="D324">
        <f t="shared" si="15"/>
        <v>0</v>
      </c>
      <c r="E324">
        <f>+DB!G324</f>
        <v>0</v>
      </c>
      <c r="F324">
        <f>+DB!H324</f>
        <v>0</v>
      </c>
      <c r="G324">
        <f>+DB!N324</f>
        <v>0</v>
      </c>
      <c r="H324">
        <f>+DB!O324</f>
        <v>0</v>
      </c>
      <c r="I324">
        <f>+DB!I324</f>
        <v>0</v>
      </c>
      <c r="J324">
        <f>+DB!J324</f>
        <v>0</v>
      </c>
      <c r="K324">
        <f>+DB!L324</f>
        <v>0</v>
      </c>
      <c r="L324" t="str">
        <f t="shared" si="16"/>
        <v/>
      </c>
      <c r="M324" t="str">
        <f>+IF(LEFT(DB!M324,3)="13/","CAC","MAD")</f>
        <v>MAD</v>
      </c>
      <c r="N324" t="str">
        <f>+RIGHT(DB!M324,6)</f>
        <v/>
      </c>
      <c r="O324">
        <v>95</v>
      </c>
      <c r="P324">
        <v>5</v>
      </c>
      <c r="Q324">
        <f>+DB!AB324</f>
        <v>0</v>
      </c>
      <c r="R324">
        <f>+DB!K324</f>
        <v>0</v>
      </c>
      <c r="S324">
        <f>+DB!F324</f>
        <v>0</v>
      </c>
      <c r="T324">
        <f>+IF(DB!F324="AAAC-35",1,3)</f>
        <v>3</v>
      </c>
      <c r="U324">
        <f>+DB!R324</f>
        <v>0</v>
      </c>
      <c r="V324">
        <f>+IF(DB!P324="1RI",1,0)+IF(DB!P324="2RI",2,0)</f>
        <v>0</v>
      </c>
      <c r="W324">
        <f>+IF(DB!P324="1RV",1,0)+IF(DB!P324="2RV",2,0)</f>
        <v>0</v>
      </c>
      <c r="X324">
        <f>+IF(DB!P324="RYI",1,0)</f>
        <v>0</v>
      </c>
      <c r="Y324">
        <f>+IF(DB!P324="RYV",1,0)</f>
        <v>0</v>
      </c>
      <c r="Z324">
        <f>+DB!U324</f>
        <v>0</v>
      </c>
      <c r="AA324">
        <f>+IF(DB!F324="AAAC-35",19.5,33)</f>
        <v>33</v>
      </c>
      <c r="AB324">
        <f>+DB!V324</f>
        <v>0</v>
      </c>
      <c r="AC324" t="str">
        <f t="shared" si="17"/>
        <v>56-4</v>
      </c>
      <c r="AD324" s="21" t="s">
        <v>72</v>
      </c>
      <c r="AE324">
        <f>+DB!X324</f>
        <v>0</v>
      </c>
      <c r="AF324" s="22">
        <f>+DB!Y324</f>
        <v>0</v>
      </c>
      <c r="AG324">
        <f>+DB!AK324</f>
        <v>0</v>
      </c>
    </row>
    <row r="325" spans="1:33" x14ac:dyDescent="0.2">
      <c r="A325">
        <f>+DB!C325</f>
        <v>0</v>
      </c>
      <c r="B325">
        <f>+DB!D325</f>
        <v>0</v>
      </c>
      <c r="C325">
        <f>+DB!E325</f>
        <v>0</v>
      </c>
      <c r="D325">
        <f t="shared" si="15"/>
        <v>0</v>
      </c>
      <c r="E325">
        <f>+DB!G325</f>
        <v>0</v>
      </c>
      <c r="F325">
        <f>+DB!H325</f>
        <v>0</v>
      </c>
      <c r="G325">
        <f>+DB!N325</f>
        <v>0</v>
      </c>
      <c r="H325">
        <f>+DB!O325</f>
        <v>0</v>
      </c>
      <c r="I325">
        <f>+DB!I325</f>
        <v>0</v>
      </c>
      <c r="J325">
        <f>+DB!J325</f>
        <v>0</v>
      </c>
      <c r="K325">
        <f>+DB!L325</f>
        <v>0</v>
      </c>
      <c r="L325" t="str">
        <f t="shared" si="16"/>
        <v/>
      </c>
      <c r="M325" t="str">
        <f>+IF(LEFT(DB!M325,3)="13/","CAC","MAD")</f>
        <v>MAD</v>
      </c>
      <c r="N325" t="str">
        <f>+RIGHT(DB!M325,6)</f>
        <v/>
      </c>
      <c r="O325">
        <v>95</v>
      </c>
      <c r="P325">
        <v>5</v>
      </c>
      <c r="Q325">
        <f>+DB!AB325</f>
        <v>0</v>
      </c>
      <c r="R325">
        <f>+DB!K325</f>
        <v>0</v>
      </c>
      <c r="S325">
        <f>+DB!F325</f>
        <v>0</v>
      </c>
      <c r="T325">
        <f>+IF(DB!F325="AAAC-35",1,3)</f>
        <v>3</v>
      </c>
      <c r="U325">
        <f>+DB!R325</f>
        <v>0</v>
      </c>
      <c r="V325">
        <f>+IF(DB!P325="1RI",1,0)+IF(DB!P325="2RI",2,0)</f>
        <v>0</v>
      </c>
      <c r="W325">
        <f>+IF(DB!P325="1RV",1,0)+IF(DB!P325="2RV",2,0)</f>
        <v>0</v>
      </c>
      <c r="X325">
        <f>+IF(DB!P325="RYI",1,0)</f>
        <v>0</v>
      </c>
      <c r="Y325">
        <f>+IF(DB!P325="RYV",1,0)</f>
        <v>0</v>
      </c>
      <c r="Z325">
        <f>+DB!U325</f>
        <v>0</v>
      </c>
      <c r="AA325">
        <f>+IF(DB!F325="AAAC-35",19.5,33)</f>
        <v>33</v>
      </c>
      <c r="AB325">
        <f>+DB!V325</f>
        <v>0</v>
      </c>
      <c r="AC325" t="str">
        <f t="shared" si="17"/>
        <v>56-4</v>
      </c>
      <c r="AD325" s="21" t="s">
        <v>72</v>
      </c>
      <c r="AE325">
        <f>+DB!X325</f>
        <v>0</v>
      </c>
      <c r="AF325" s="22">
        <f>+DB!Y325</f>
        <v>0</v>
      </c>
      <c r="AG325">
        <f>+DB!AK325</f>
        <v>0</v>
      </c>
    </row>
    <row r="326" spans="1:33" x14ac:dyDescent="0.2">
      <c r="A326">
        <f>+DB!C326</f>
        <v>0</v>
      </c>
      <c r="B326">
        <f>+DB!D326</f>
        <v>0</v>
      </c>
      <c r="C326">
        <f>+DB!E326</f>
        <v>0</v>
      </c>
      <c r="D326">
        <f t="shared" si="15"/>
        <v>0</v>
      </c>
      <c r="E326">
        <f>+DB!G326</f>
        <v>0</v>
      </c>
      <c r="F326">
        <f>+DB!H326</f>
        <v>0</v>
      </c>
      <c r="G326">
        <f>+DB!N326</f>
        <v>0</v>
      </c>
      <c r="H326">
        <f>+DB!O326</f>
        <v>0</v>
      </c>
      <c r="I326">
        <f>+DB!I326</f>
        <v>0</v>
      </c>
      <c r="J326">
        <f>+DB!J326</f>
        <v>0</v>
      </c>
      <c r="K326">
        <f>+DB!L326</f>
        <v>0</v>
      </c>
      <c r="L326" t="str">
        <f t="shared" si="16"/>
        <v/>
      </c>
      <c r="M326" t="str">
        <f>+IF(LEFT(DB!M326,3)="13/","CAC","MAD")</f>
        <v>MAD</v>
      </c>
      <c r="N326" t="str">
        <f>+RIGHT(DB!M326,6)</f>
        <v/>
      </c>
      <c r="O326">
        <v>95</v>
      </c>
      <c r="P326">
        <v>5</v>
      </c>
      <c r="Q326">
        <f>+DB!AB326</f>
        <v>0</v>
      </c>
      <c r="R326">
        <f>+DB!K326</f>
        <v>0</v>
      </c>
      <c r="S326">
        <f>+DB!F326</f>
        <v>0</v>
      </c>
      <c r="T326">
        <f>+IF(DB!F326="AAAC-35",1,3)</f>
        <v>3</v>
      </c>
      <c r="U326">
        <f>+DB!R326</f>
        <v>0</v>
      </c>
      <c r="V326">
        <f>+IF(DB!P326="1RI",1,0)+IF(DB!P326="2RI",2,0)</f>
        <v>0</v>
      </c>
      <c r="W326">
        <f>+IF(DB!P326="1RV",1,0)+IF(DB!P326="2RV",2,0)</f>
        <v>0</v>
      </c>
      <c r="X326">
        <f>+IF(DB!P326="RYI",1,0)</f>
        <v>0</v>
      </c>
      <c r="Y326">
        <f>+IF(DB!P326="RYV",1,0)</f>
        <v>0</v>
      </c>
      <c r="Z326">
        <f>+DB!U326</f>
        <v>0</v>
      </c>
      <c r="AA326">
        <f>+IF(DB!F326="AAAC-35",19.5,33)</f>
        <v>33</v>
      </c>
      <c r="AB326">
        <f>+DB!V326</f>
        <v>0</v>
      </c>
      <c r="AC326" t="str">
        <f t="shared" si="17"/>
        <v>56-4</v>
      </c>
      <c r="AD326" s="21" t="s">
        <v>72</v>
      </c>
      <c r="AE326">
        <f>+DB!X326</f>
        <v>0</v>
      </c>
      <c r="AF326" s="22">
        <f>+DB!Y326</f>
        <v>0</v>
      </c>
      <c r="AG326">
        <f>+DB!AK326</f>
        <v>0</v>
      </c>
    </row>
    <row r="327" spans="1:33" x14ac:dyDescent="0.2">
      <c r="A327">
        <f>+DB!C327</f>
        <v>0</v>
      </c>
      <c r="B327">
        <f>+DB!D327</f>
        <v>0</v>
      </c>
      <c r="C327">
        <f>+DB!E327</f>
        <v>0</v>
      </c>
      <c r="D327">
        <f t="shared" si="15"/>
        <v>0</v>
      </c>
      <c r="E327">
        <f>+DB!G327</f>
        <v>0</v>
      </c>
      <c r="F327">
        <f>+DB!H327</f>
        <v>0</v>
      </c>
      <c r="G327">
        <f>+DB!N327</f>
        <v>0</v>
      </c>
      <c r="H327">
        <f>+DB!O327</f>
        <v>0</v>
      </c>
      <c r="I327">
        <f>+DB!I327</f>
        <v>0</v>
      </c>
      <c r="J327">
        <f>+DB!J327</f>
        <v>0</v>
      </c>
      <c r="K327">
        <f>+DB!L327</f>
        <v>0</v>
      </c>
      <c r="L327" t="str">
        <f t="shared" si="16"/>
        <v/>
      </c>
      <c r="M327" t="str">
        <f>+IF(LEFT(DB!M327,3)="13/","CAC","MAD")</f>
        <v>MAD</v>
      </c>
      <c r="N327" t="str">
        <f>+RIGHT(DB!M327,6)</f>
        <v/>
      </c>
      <c r="O327">
        <v>95</v>
      </c>
      <c r="P327">
        <v>5</v>
      </c>
      <c r="Q327">
        <f>+DB!AB327</f>
        <v>0</v>
      </c>
      <c r="R327">
        <f>+DB!K327</f>
        <v>0</v>
      </c>
      <c r="S327">
        <f>+DB!F327</f>
        <v>0</v>
      </c>
      <c r="T327">
        <f>+IF(DB!F327="AAAC-35",1,3)</f>
        <v>3</v>
      </c>
      <c r="U327">
        <f>+DB!R327</f>
        <v>0</v>
      </c>
      <c r="V327">
        <f>+IF(DB!P327="1RI",1,0)+IF(DB!P327="2RI",2,0)</f>
        <v>0</v>
      </c>
      <c r="W327">
        <f>+IF(DB!P327="1RV",1,0)+IF(DB!P327="2RV",2,0)</f>
        <v>0</v>
      </c>
      <c r="X327">
        <f>+IF(DB!P327="RYI",1,0)</f>
        <v>0</v>
      </c>
      <c r="Y327">
        <f>+IF(DB!P327="RYV",1,0)</f>
        <v>0</v>
      </c>
      <c r="Z327">
        <f>+DB!U327</f>
        <v>0</v>
      </c>
      <c r="AA327">
        <f>+IF(DB!F327="AAAC-35",19.5,33)</f>
        <v>33</v>
      </c>
      <c r="AB327">
        <f>+DB!V327</f>
        <v>0</v>
      </c>
      <c r="AC327" t="str">
        <f t="shared" si="17"/>
        <v>56-4</v>
      </c>
      <c r="AD327" s="21" t="s">
        <v>72</v>
      </c>
      <c r="AE327">
        <f>+DB!X327</f>
        <v>0</v>
      </c>
      <c r="AF327" s="22">
        <f>+DB!Y327</f>
        <v>0</v>
      </c>
      <c r="AG327">
        <f>+DB!AK327</f>
        <v>0</v>
      </c>
    </row>
    <row r="328" spans="1:33" x14ac:dyDescent="0.2">
      <c r="A328">
        <f>+DB!C328</f>
        <v>0</v>
      </c>
      <c r="B328">
        <f>+DB!D328</f>
        <v>0</v>
      </c>
      <c r="C328">
        <f>+DB!E328</f>
        <v>0</v>
      </c>
      <c r="D328">
        <f t="shared" si="15"/>
        <v>0</v>
      </c>
      <c r="E328">
        <f>+DB!G328</f>
        <v>0</v>
      </c>
      <c r="F328">
        <f>+DB!H328</f>
        <v>0</v>
      </c>
      <c r="G328">
        <f>+DB!N328</f>
        <v>0</v>
      </c>
      <c r="H328">
        <f>+DB!O328</f>
        <v>0</v>
      </c>
      <c r="I328">
        <f>+DB!I328</f>
        <v>0</v>
      </c>
      <c r="J328">
        <f>+DB!J328</f>
        <v>0</v>
      </c>
      <c r="K328">
        <f>+DB!L328</f>
        <v>0</v>
      </c>
      <c r="L328" t="str">
        <f t="shared" si="16"/>
        <v/>
      </c>
      <c r="M328" t="str">
        <f>+IF(LEFT(DB!M328,3)="13/","CAC","MAD")</f>
        <v>MAD</v>
      </c>
      <c r="N328" t="str">
        <f>+RIGHT(DB!M328,6)</f>
        <v/>
      </c>
      <c r="O328">
        <v>95</v>
      </c>
      <c r="P328">
        <v>5</v>
      </c>
      <c r="Q328">
        <f>+DB!AB328</f>
        <v>0</v>
      </c>
      <c r="R328">
        <f>+DB!K328</f>
        <v>0</v>
      </c>
      <c r="S328">
        <f>+DB!F328</f>
        <v>0</v>
      </c>
      <c r="T328">
        <f>+IF(DB!F328="AAAC-35",1,3)</f>
        <v>3</v>
      </c>
      <c r="U328">
        <f>+DB!R328</f>
        <v>0</v>
      </c>
      <c r="V328">
        <f>+IF(DB!P328="1RI",1,0)+IF(DB!P328="2RI",2,0)</f>
        <v>0</v>
      </c>
      <c r="W328">
        <f>+IF(DB!P328="1RV",1,0)+IF(DB!P328="2RV",2,0)</f>
        <v>0</v>
      </c>
      <c r="X328">
        <f>+IF(DB!P328="RYI",1,0)</f>
        <v>0</v>
      </c>
      <c r="Y328">
        <f>+IF(DB!P328="RYV",1,0)</f>
        <v>0</v>
      </c>
      <c r="Z328">
        <f>+DB!U328</f>
        <v>0</v>
      </c>
      <c r="AA328">
        <f>+IF(DB!F328="AAAC-35",19.5,33)</f>
        <v>33</v>
      </c>
      <c r="AB328">
        <f>+DB!V328</f>
        <v>0</v>
      </c>
      <c r="AC328" t="str">
        <f t="shared" si="17"/>
        <v>56-4</v>
      </c>
      <c r="AD328" s="21" t="s">
        <v>72</v>
      </c>
      <c r="AE328">
        <f>+DB!X328</f>
        <v>0</v>
      </c>
      <c r="AF328" s="22">
        <f>+DB!Y328</f>
        <v>0</v>
      </c>
      <c r="AG328">
        <f>+DB!AK328</f>
        <v>0</v>
      </c>
    </row>
    <row r="329" spans="1:33" x14ac:dyDescent="0.2">
      <c r="A329">
        <f>+DB!C329</f>
        <v>0</v>
      </c>
      <c r="B329">
        <f>+DB!D329</f>
        <v>0</v>
      </c>
      <c r="C329">
        <f>+DB!E329</f>
        <v>0</v>
      </c>
      <c r="D329">
        <f t="shared" si="15"/>
        <v>0</v>
      </c>
      <c r="E329">
        <f>+DB!G329</f>
        <v>0</v>
      </c>
      <c r="F329">
        <f>+DB!H329</f>
        <v>0</v>
      </c>
      <c r="G329">
        <f>+DB!N329</f>
        <v>0</v>
      </c>
      <c r="H329">
        <f>+DB!O329</f>
        <v>0</v>
      </c>
      <c r="I329">
        <f>+DB!I329</f>
        <v>0</v>
      </c>
      <c r="J329">
        <f>+DB!J329</f>
        <v>0</v>
      </c>
      <c r="K329">
        <f>+DB!L329</f>
        <v>0</v>
      </c>
      <c r="L329" t="str">
        <f t="shared" si="16"/>
        <v/>
      </c>
      <c r="M329" t="str">
        <f>+IF(LEFT(DB!M329,3)="13/","CAC","MAD")</f>
        <v>MAD</v>
      </c>
      <c r="N329" t="str">
        <f>+RIGHT(DB!M329,6)</f>
        <v/>
      </c>
      <c r="O329">
        <v>95</v>
      </c>
      <c r="P329">
        <v>5</v>
      </c>
      <c r="Q329">
        <f>+DB!AB329</f>
        <v>0</v>
      </c>
      <c r="R329">
        <f>+DB!K329</f>
        <v>0</v>
      </c>
      <c r="S329">
        <f>+DB!F329</f>
        <v>0</v>
      </c>
      <c r="T329">
        <f>+IF(DB!F329="AAAC-35",1,3)</f>
        <v>3</v>
      </c>
      <c r="U329">
        <f>+DB!R329</f>
        <v>0</v>
      </c>
      <c r="V329">
        <f>+IF(DB!P329="1RI",1,0)+IF(DB!P329="2RI",2,0)</f>
        <v>0</v>
      </c>
      <c r="W329">
        <f>+IF(DB!P329="1RV",1,0)+IF(DB!P329="2RV",2,0)</f>
        <v>0</v>
      </c>
      <c r="X329">
        <f>+IF(DB!P329="RYI",1,0)</f>
        <v>0</v>
      </c>
      <c r="Y329">
        <f>+IF(DB!P329="RYV",1,0)</f>
        <v>0</v>
      </c>
      <c r="Z329">
        <f>+DB!U329</f>
        <v>0</v>
      </c>
      <c r="AA329">
        <f>+IF(DB!F329="AAAC-35",19.5,33)</f>
        <v>33</v>
      </c>
      <c r="AB329">
        <f>+DB!V329</f>
        <v>0</v>
      </c>
      <c r="AC329" t="str">
        <f t="shared" si="17"/>
        <v>56-4</v>
      </c>
      <c r="AD329" s="21" t="s">
        <v>72</v>
      </c>
      <c r="AE329">
        <f>+DB!X329</f>
        <v>0</v>
      </c>
      <c r="AF329" s="22">
        <f>+DB!Y329</f>
        <v>0</v>
      </c>
      <c r="AG329">
        <f>+DB!AK329</f>
        <v>0</v>
      </c>
    </row>
    <row r="330" spans="1:33" x14ac:dyDescent="0.2">
      <c r="A330">
        <f>+DB!C330</f>
        <v>0</v>
      </c>
      <c r="B330">
        <f>+DB!D330</f>
        <v>0</v>
      </c>
      <c r="C330">
        <f>+DB!E330</f>
        <v>0</v>
      </c>
      <c r="D330">
        <f t="shared" si="15"/>
        <v>0</v>
      </c>
      <c r="E330">
        <f>+DB!G330</f>
        <v>0</v>
      </c>
      <c r="F330">
        <f>+DB!H330</f>
        <v>0</v>
      </c>
      <c r="G330">
        <f>+DB!N330</f>
        <v>0</v>
      </c>
      <c r="H330">
        <f>+DB!O330</f>
        <v>0</v>
      </c>
      <c r="I330">
        <f>+DB!I330</f>
        <v>0</v>
      </c>
      <c r="J330">
        <f>+DB!J330</f>
        <v>0</v>
      </c>
      <c r="K330">
        <f>+DB!L330</f>
        <v>0</v>
      </c>
      <c r="L330" t="str">
        <f t="shared" si="16"/>
        <v/>
      </c>
      <c r="M330" t="str">
        <f>+IF(LEFT(DB!M330,3)="13/","CAC","MAD")</f>
        <v>MAD</v>
      </c>
      <c r="N330" t="str">
        <f>+RIGHT(DB!M330,6)</f>
        <v/>
      </c>
      <c r="O330">
        <v>95</v>
      </c>
      <c r="P330">
        <v>5</v>
      </c>
      <c r="Q330">
        <f>+DB!AB330</f>
        <v>0</v>
      </c>
      <c r="R330">
        <f>+DB!K330</f>
        <v>0</v>
      </c>
      <c r="S330">
        <f>+DB!F330</f>
        <v>0</v>
      </c>
      <c r="T330">
        <f>+IF(DB!F330="AAAC-35",1,3)</f>
        <v>3</v>
      </c>
      <c r="U330">
        <f>+DB!R330</f>
        <v>0</v>
      </c>
      <c r="V330">
        <f>+IF(DB!P330="1RI",1,0)+IF(DB!P330="2RI",2,0)</f>
        <v>0</v>
      </c>
      <c r="W330">
        <f>+IF(DB!P330="1RV",1,0)+IF(DB!P330="2RV",2,0)</f>
        <v>0</v>
      </c>
      <c r="X330">
        <f>+IF(DB!P330="RYI",1,0)</f>
        <v>0</v>
      </c>
      <c r="Y330">
        <f>+IF(DB!P330="RYV",1,0)</f>
        <v>0</v>
      </c>
      <c r="Z330">
        <f>+DB!U330</f>
        <v>0</v>
      </c>
      <c r="AA330">
        <f>+IF(DB!F330="AAAC-35",19.5,33)</f>
        <v>33</v>
      </c>
      <c r="AB330">
        <f>+DB!V330</f>
        <v>0</v>
      </c>
      <c r="AC330" t="str">
        <f t="shared" si="17"/>
        <v>56-4</v>
      </c>
      <c r="AD330" s="21" t="s">
        <v>72</v>
      </c>
      <c r="AE330">
        <f>+DB!X330</f>
        <v>0</v>
      </c>
      <c r="AF330" s="22">
        <f>+DB!Y330</f>
        <v>0</v>
      </c>
      <c r="AG330">
        <f>+DB!AK330</f>
        <v>0</v>
      </c>
    </row>
    <row r="331" spans="1:33" x14ac:dyDescent="0.2">
      <c r="A331">
        <f>+DB!C331</f>
        <v>0</v>
      </c>
      <c r="B331">
        <f>+DB!D331</f>
        <v>0</v>
      </c>
      <c r="C331">
        <f>+DB!E331</f>
        <v>0</v>
      </c>
      <c r="D331">
        <f t="shared" si="15"/>
        <v>0</v>
      </c>
      <c r="E331">
        <f>+DB!G331</f>
        <v>0</v>
      </c>
      <c r="F331">
        <f>+DB!H331</f>
        <v>0</v>
      </c>
      <c r="G331">
        <f>+DB!N331</f>
        <v>0</v>
      </c>
      <c r="H331">
        <f>+DB!O331</f>
        <v>0</v>
      </c>
      <c r="I331">
        <f>+DB!I331</f>
        <v>0</v>
      </c>
      <c r="J331">
        <f>+DB!J331</f>
        <v>0</v>
      </c>
      <c r="K331">
        <f>+DB!L331</f>
        <v>0</v>
      </c>
      <c r="L331" t="str">
        <f t="shared" si="16"/>
        <v/>
      </c>
      <c r="M331" t="str">
        <f>+IF(LEFT(DB!M331,3)="13/","CAC","MAD")</f>
        <v>MAD</v>
      </c>
      <c r="N331" t="str">
        <f>+RIGHT(DB!M331,6)</f>
        <v/>
      </c>
      <c r="O331">
        <v>95</v>
      </c>
      <c r="P331">
        <v>5</v>
      </c>
      <c r="Q331">
        <f>+DB!AB331</f>
        <v>0</v>
      </c>
      <c r="R331">
        <f>+DB!K331</f>
        <v>0</v>
      </c>
      <c r="S331">
        <f>+DB!F331</f>
        <v>0</v>
      </c>
      <c r="T331">
        <f>+IF(DB!F331="AAAC-35",1,3)</f>
        <v>3</v>
      </c>
      <c r="U331">
        <f>+DB!R331</f>
        <v>0</v>
      </c>
      <c r="V331">
        <f>+IF(DB!P331="1RI",1,0)+IF(DB!P331="2RI",2,0)</f>
        <v>0</v>
      </c>
      <c r="W331">
        <f>+IF(DB!P331="1RV",1,0)+IF(DB!P331="2RV",2,0)</f>
        <v>0</v>
      </c>
      <c r="X331">
        <f>+IF(DB!P331="RYI",1,0)</f>
        <v>0</v>
      </c>
      <c r="Y331">
        <f>+IF(DB!P331="RYV",1,0)</f>
        <v>0</v>
      </c>
      <c r="Z331">
        <f>+DB!U331</f>
        <v>0</v>
      </c>
      <c r="AA331">
        <f>+IF(DB!F331="AAAC-35",19.5,33)</f>
        <v>33</v>
      </c>
      <c r="AB331">
        <f>+DB!V331</f>
        <v>0</v>
      </c>
      <c r="AC331" t="str">
        <f t="shared" si="17"/>
        <v>56-4</v>
      </c>
      <c r="AD331" s="21" t="s">
        <v>72</v>
      </c>
      <c r="AE331">
        <f>+DB!X331</f>
        <v>0</v>
      </c>
      <c r="AF331" s="22">
        <f>+DB!Y331</f>
        <v>0</v>
      </c>
      <c r="AG331">
        <f>+DB!AK331</f>
        <v>0</v>
      </c>
    </row>
    <row r="332" spans="1:33" x14ac:dyDescent="0.2">
      <c r="A332">
        <f>+DB!C332</f>
        <v>0</v>
      </c>
      <c r="B332">
        <f>+DB!D332</f>
        <v>0</v>
      </c>
      <c r="C332">
        <f>+DB!E332</f>
        <v>0</v>
      </c>
      <c r="D332">
        <f t="shared" si="15"/>
        <v>0</v>
      </c>
      <c r="E332">
        <f>+DB!G332</f>
        <v>0</v>
      </c>
      <c r="F332">
        <f>+DB!H332</f>
        <v>0</v>
      </c>
      <c r="G332">
        <f>+DB!N332</f>
        <v>0</v>
      </c>
      <c r="H332">
        <f>+DB!O332</f>
        <v>0</v>
      </c>
      <c r="I332">
        <f>+DB!I332</f>
        <v>0</v>
      </c>
      <c r="J332">
        <f>+DB!J332</f>
        <v>0</v>
      </c>
      <c r="K332">
        <f>+DB!L332</f>
        <v>0</v>
      </c>
      <c r="L332" t="str">
        <f t="shared" si="16"/>
        <v/>
      </c>
      <c r="M332" t="str">
        <f>+IF(LEFT(DB!M332,3)="13/","CAC","MAD")</f>
        <v>MAD</v>
      </c>
      <c r="N332" t="str">
        <f>+RIGHT(DB!M332,6)</f>
        <v/>
      </c>
      <c r="O332">
        <v>95</v>
      </c>
      <c r="P332">
        <v>5</v>
      </c>
      <c r="Q332">
        <f>+DB!AB332</f>
        <v>0</v>
      </c>
      <c r="R332">
        <f>+DB!K332</f>
        <v>0</v>
      </c>
      <c r="S332">
        <f>+DB!F332</f>
        <v>0</v>
      </c>
      <c r="T332">
        <f>+IF(DB!F332="AAAC-35",1,3)</f>
        <v>3</v>
      </c>
      <c r="U332">
        <f>+DB!R332</f>
        <v>0</v>
      </c>
      <c r="V332">
        <f>+IF(DB!P332="1RI",1,0)+IF(DB!P332="2RI",2,0)</f>
        <v>0</v>
      </c>
      <c r="W332">
        <f>+IF(DB!P332="1RV",1,0)+IF(DB!P332="2RV",2,0)</f>
        <v>0</v>
      </c>
      <c r="X332">
        <f>+IF(DB!P332="RYI",1,0)</f>
        <v>0</v>
      </c>
      <c r="Y332">
        <f>+IF(DB!P332="RYV",1,0)</f>
        <v>0</v>
      </c>
      <c r="Z332">
        <f>+DB!U332</f>
        <v>0</v>
      </c>
      <c r="AA332">
        <f>+IF(DB!F332="AAAC-35",19.5,33)</f>
        <v>33</v>
      </c>
      <c r="AB332">
        <f>+DB!V332</f>
        <v>0</v>
      </c>
      <c r="AC332" t="str">
        <f t="shared" si="17"/>
        <v>56-4</v>
      </c>
      <c r="AD332" s="21" t="s">
        <v>72</v>
      </c>
      <c r="AE332">
        <f>+DB!X332</f>
        <v>0</v>
      </c>
      <c r="AF332" s="22">
        <f>+DB!Y332</f>
        <v>0</v>
      </c>
      <c r="AG332">
        <f>+DB!AK332</f>
        <v>0</v>
      </c>
    </row>
    <row r="333" spans="1:33" x14ac:dyDescent="0.2">
      <c r="A333">
        <f>+DB!C333</f>
        <v>0</v>
      </c>
      <c r="B333">
        <f>+DB!D333</f>
        <v>0</v>
      </c>
      <c r="C333">
        <f>+DB!E333</f>
        <v>0</v>
      </c>
      <c r="D333">
        <f t="shared" si="15"/>
        <v>0</v>
      </c>
      <c r="E333">
        <f>+DB!G333</f>
        <v>0</v>
      </c>
      <c r="F333">
        <f>+DB!H333</f>
        <v>0</v>
      </c>
      <c r="G333">
        <f>+DB!N333</f>
        <v>0</v>
      </c>
      <c r="H333">
        <f>+DB!O333</f>
        <v>0</v>
      </c>
      <c r="I333">
        <f>+DB!I333</f>
        <v>0</v>
      </c>
      <c r="J333">
        <f>+DB!J333</f>
        <v>0</v>
      </c>
      <c r="K333">
        <f>+DB!L333</f>
        <v>0</v>
      </c>
      <c r="L333" t="str">
        <f t="shared" si="16"/>
        <v/>
      </c>
      <c r="M333" t="str">
        <f>+IF(LEFT(DB!M333,3)="13/","CAC","MAD")</f>
        <v>MAD</v>
      </c>
      <c r="N333" t="str">
        <f>+RIGHT(DB!M333,6)</f>
        <v/>
      </c>
      <c r="O333">
        <v>95</v>
      </c>
      <c r="P333">
        <v>5</v>
      </c>
      <c r="Q333">
        <f>+DB!AB333</f>
        <v>0</v>
      </c>
      <c r="R333">
        <f>+DB!K333</f>
        <v>0</v>
      </c>
      <c r="S333">
        <f>+DB!F333</f>
        <v>0</v>
      </c>
      <c r="T333">
        <f>+IF(DB!F333="AAAC-35",1,3)</f>
        <v>3</v>
      </c>
      <c r="U333">
        <f>+DB!R333</f>
        <v>0</v>
      </c>
      <c r="V333">
        <f>+IF(DB!P333="1RI",1,0)+IF(DB!P333="2RI",2,0)</f>
        <v>0</v>
      </c>
      <c r="W333">
        <f>+IF(DB!P333="1RV",1,0)+IF(DB!P333="2RV",2,0)</f>
        <v>0</v>
      </c>
      <c r="X333">
        <f>+IF(DB!P333="RYI",1,0)</f>
        <v>0</v>
      </c>
      <c r="Y333">
        <f>+IF(DB!P333="RYV",1,0)</f>
        <v>0</v>
      </c>
      <c r="Z333">
        <f>+DB!U333</f>
        <v>0</v>
      </c>
      <c r="AA333">
        <f>+IF(DB!F333="AAAC-35",19.5,33)</f>
        <v>33</v>
      </c>
      <c r="AB333">
        <f>+DB!V333</f>
        <v>0</v>
      </c>
      <c r="AC333" t="str">
        <f t="shared" si="17"/>
        <v>56-4</v>
      </c>
      <c r="AD333" s="21" t="s">
        <v>72</v>
      </c>
      <c r="AE333">
        <f>+DB!X333</f>
        <v>0</v>
      </c>
      <c r="AF333" s="22">
        <f>+DB!Y333</f>
        <v>0</v>
      </c>
      <c r="AG333">
        <f>+DB!AK333</f>
        <v>0</v>
      </c>
    </row>
    <row r="334" spans="1:33" x14ac:dyDescent="0.2">
      <c r="A334">
        <f>+DB!C334</f>
        <v>0</v>
      </c>
      <c r="B334">
        <f>+DB!D334</f>
        <v>0</v>
      </c>
      <c r="C334">
        <f>+DB!E334</f>
        <v>0</v>
      </c>
      <c r="D334">
        <f t="shared" si="15"/>
        <v>0</v>
      </c>
      <c r="E334">
        <f>+DB!G334</f>
        <v>0</v>
      </c>
      <c r="F334">
        <f>+DB!H334</f>
        <v>0</v>
      </c>
      <c r="G334">
        <f>+DB!N334</f>
        <v>0</v>
      </c>
      <c r="H334">
        <f>+DB!O334</f>
        <v>0</v>
      </c>
      <c r="I334">
        <f>+DB!I334</f>
        <v>0</v>
      </c>
      <c r="J334">
        <f>+DB!J334</f>
        <v>0</v>
      </c>
      <c r="K334">
        <f>+DB!L334</f>
        <v>0</v>
      </c>
      <c r="L334" t="str">
        <f t="shared" si="16"/>
        <v/>
      </c>
      <c r="M334" t="str">
        <f>+IF(LEFT(DB!M334,3)="13/","CAC","MAD")</f>
        <v>MAD</v>
      </c>
      <c r="N334" t="str">
        <f>+RIGHT(DB!M334,6)</f>
        <v/>
      </c>
      <c r="O334">
        <v>95</v>
      </c>
      <c r="P334">
        <v>5</v>
      </c>
      <c r="Q334">
        <f>+DB!AB334</f>
        <v>0</v>
      </c>
      <c r="R334">
        <f>+DB!K334</f>
        <v>0</v>
      </c>
      <c r="S334">
        <f>+DB!F334</f>
        <v>0</v>
      </c>
      <c r="T334">
        <f>+IF(DB!F334="AAAC-35",1,3)</f>
        <v>3</v>
      </c>
      <c r="U334">
        <f>+DB!R334</f>
        <v>0</v>
      </c>
      <c r="V334">
        <f>+IF(DB!P334="1RI",1,0)+IF(DB!P334="2RI",2,0)</f>
        <v>0</v>
      </c>
      <c r="W334">
        <f>+IF(DB!P334="1RV",1,0)+IF(DB!P334="2RV",2,0)</f>
        <v>0</v>
      </c>
      <c r="X334">
        <f>+IF(DB!P334="RYI",1,0)</f>
        <v>0</v>
      </c>
      <c r="Y334">
        <f>+IF(DB!P334="RYV",1,0)</f>
        <v>0</v>
      </c>
      <c r="Z334">
        <f>+DB!U334</f>
        <v>0</v>
      </c>
      <c r="AA334">
        <f>+IF(DB!F334="AAAC-35",19.5,33)</f>
        <v>33</v>
      </c>
      <c r="AB334">
        <f>+DB!V334</f>
        <v>0</v>
      </c>
      <c r="AC334" t="str">
        <f t="shared" si="17"/>
        <v>56-4</v>
      </c>
      <c r="AD334" s="21" t="s">
        <v>72</v>
      </c>
      <c r="AE334">
        <f>+DB!X334</f>
        <v>0</v>
      </c>
      <c r="AF334" s="22">
        <f>+DB!Y334</f>
        <v>0</v>
      </c>
      <c r="AG334">
        <f>+DB!AK334</f>
        <v>0</v>
      </c>
    </row>
    <row r="335" spans="1:33" x14ac:dyDescent="0.2">
      <c r="A335">
        <f>+DB!C335</f>
        <v>0</v>
      </c>
      <c r="B335">
        <f>+DB!D335</f>
        <v>0</v>
      </c>
      <c r="C335">
        <f>+DB!E335</f>
        <v>0</v>
      </c>
      <c r="D335">
        <f t="shared" si="15"/>
        <v>0</v>
      </c>
      <c r="E335">
        <f>+DB!G335</f>
        <v>0</v>
      </c>
      <c r="F335">
        <f>+DB!H335</f>
        <v>0</v>
      </c>
      <c r="G335">
        <f>+DB!N335</f>
        <v>0</v>
      </c>
      <c r="H335">
        <f>+DB!O335</f>
        <v>0</v>
      </c>
      <c r="I335">
        <f>+DB!I335</f>
        <v>0</v>
      </c>
      <c r="J335">
        <f>+DB!J335</f>
        <v>0</v>
      </c>
      <c r="K335">
        <f>+DB!L335</f>
        <v>0</v>
      </c>
      <c r="L335" t="str">
        <f t="shared" si="16"/>
        <v/>
      </c>
      <c r="M335" t="str">
        <f>+IF(LEFT(DB!M335,3)="13/","CAC","MAD")</f>
        <v>MAD</v>
      </c>
      <c r="N335" t="str">
        <f>+RIGHT(DB!M335,6)</f>
        <v/>
      </c>
      <c r="O335">
        <v>95</v>
      </c>
      <c r="P335">
        <v>5</v>
      </c>
      <c r="Q335">
        <f>+DB!AB335</f>
        <v>0</v>
      </c>
      <c r="R335">
        <f>+DB!K335</f>
        <v>0</v>
      </c>
      <c r="S335">
        <f>+DB!F335</f>
        <v>0</v>
      </c>
      <c r="T335">
        <f>+IF(DB!F335="AAAC-35",1,3)</f>
        <v>3</v>
      </c>
      <c r="U335">
        <f>+DB!R335</f>
        <v>0</v>
      </c>
      <c r="V335">
        <f>+IF(DB!P335="1RI",1,0)+IF(DB!P335="2RI",2,0)</f>
        <v>0</v>
      </c>
      <c r="W335">
        <f>+IF(DB!P335="1RV",1,0)+IF(DB!P335="2RV",2,0)</f>
        <v>0</v>
      </c>
      <c r="X335">
        <f>+IF(DB!P335="RYI",1,0)</f>
        <v>0</v>
      </c>
      <c r="Y335">
        <f>+IF(DB!P335="RYV",1,0)</f>
        <v>0</v>
      </c>
      <c r="Z335">
        <f>+DB!U335</f>
        <v>0</v>
      </c>
      <c r="AA335">
        <f>+IF(DB!F335="AAAC-35",19.5,33)</f>
        <v>33</v>
      </c>
      <c r="AB335">
        <f>+DB!V335</f>
        <v>0</v>
      </c>
      <c r="AC335" t="str">
        <f t="shared" si="17"/>
        <v>56-4</v>
      </c>
      <c r="AD335" s="21" t="s">
        <v>72</v>
      </c>
      <c r="AE335">
        <f>+DB!X335</f>
        <v>0</v>
      </c>
      <c r="AF335" s="22">
        <f>+DB!Y335</f>
        <v>0</v>
      </c>
      <c r="AG335">
        <f>+DB!AK335</f>
        <v>0</v>
      </c>
    </row>
    <row r="336" spans="1:33" x14ac:dyDescent="0.2">
      <c r="A336">
        <f>+DB!C336</f>
        <v>0</v>
      </c>
      <c r="B336">
        <f>+DB!D336</f>
        <v>0</v>
      </c>
      <c r="C336">
        <f>+DB!E336</f>
        <v>0</v>
      </c>
      <c r="D336">
        <f t="shared" si="15"/>
        <v>0</v>
      </c>
      <c r="E336">
        <f>+DB!G336</f>
        <v>0</v>
      </c>
      <c r="F336">
        <f>+DB!H336</f>
        <v>0</v>
      </c>
      <c r="G336">
        <f>+DB!N336</f>
        <v>0</v>
      </c>
      <c r="H336">
        <f>+DB!O336</f>
        <v>0</v>
      </c>
      <c r="I336">
        <f>+DB!I336</f>
        <v>0</v>
      </c>
      <c r="J336">
        <f>+DB!J336</f>
        <v>0</v>
      </c>
      <c r="K336">
        <f>+DB!L336</f>
        <v>0</v>
      </c>
      <c r="L336" t="str">
        <f t="shared" si="16"/>
        <v/>
      </c>
      <c r="M336" t="str">
        <f>+IF(LEFT(DB!M336,3)="13/","CAC","MAD")</f>
        <v>MAD</v>
      </c>
      <c r="N336" t="str">
        <f>+RIGHT(DB!M336,6)</f>
        <v/>
      </c>
      <c r="O336">
        <v>95</v>
      </c>
      <c r="P336">
        <v>5</v>
      </c>
      <c r="Q336">
        <f>+DB!AB336</f>
        <v>0</v>
      </c>
      <c r="R336">
        <f>+DB!K336</f>
        <v>0</v>
      </c>
      <c r="S336">
        <f>+DB!F336</f>
        <v>0</v>
      </c>
      <c r="T336">
        <f>+IF(DB!F336="AAAC-35",1,3)</f>
        <v>3</v>
      </c>
      <c r="U336">
        <f>+DB!R336</f>
        <v>0</v>
      </c>
      <c r="V336">
        <f>+IF(DB!P336="1RI",1,0)+IF(DB!P336="2RI",2,0)</f>
        <v>0</v>
      </c>
      <c r="W336">
        <f>+IF(DB!P336="1RV",1,0)+IF(DB!P336="2RV",2,0)</f>
        <v>0</v>
      </c>
      <c r="X336">
        <f>+IF(DB!P336="RYI",1,0)</f>
        <v>0</v>
      </c>
      <c r="Y336">
        <f>+IF(DB!P336="RYV",1,0)</f>
        <v>0</v>
      </c>
      <c r="Z336">
        <f>+DB!U336</f>
        <v>0</v>
      </c>
      <c r="AA336">
        <f>+IF(DB!F336="AAAC-35",19.5,33)</f>
        <v>33</v>
      </c>
      <c r="AB336">
        <f>+DB!V336</f>
        <v>0</v>
      </c>
      <c r="AC336" t="str">
        <f t="shared" si="17"/>
        <v>56-4</v>
      </c>
      <c r="AD336" s="21" t="s">
        <v>72</v>
      </c>
      <c r="AE336">
        <f>+DB!X336</f>
        <v>0</v>
      </c>
      <c r="AF336" s="22">
        <f>+DB!Y336</f>
        <v>0</v>
      </c>
      <c r="AG336">
        <f>+DB!AK336</f>
        <v>0</v>
      </c>
    </row>
    <row r="337" spans="1:33" x14ac:dyDescent="0.2">
      <c r="A337">
        <f>+DB!C337</f>
        <v>0</v>
      </c>
      <c r="B337">
        <f>+DB!D337</f>
        <v>0</v>
      </c>
      <c r="C337">
        <f>+DB!E337</f>
        <v>0</v>
      </c>
      <c r="D337">
        <f t="shared" si="15"/>
        <v>0</v>
      </c>
      <c r="E337">
        <f>+DB!G337</f>
        <v>0</v>
      </c>
      <c r="F337">
        <f>+DB!H337</f>
        <v>0</v>
      </c>
      <c r="G337">
        <f>+DB!N337</f>
        <v>0</v>
      </c>
      <c r="H337">
        <f>+DB!O337</f>
        <v>0</v>
      </c>
      <c r="I337">
        <f>+DB!I337</f>
        <v>0</v>
      </c>
      <c r="J337">
        <f>+DB!J337</f>
        <v>0</v>
      </c>
      <c r="K337">
        <f>+DB!L337</f>
        <v>0</v>
      </c>
      <c r="L337" t="str">
        <f t="shared" si="16"/>
        <v/>
      </c>
      <c r="M337" t="str">
        <f>+IF(LEFT(DB!M337,3)="13/","CAC","MAD")</f>
        <v>MAD</v>
      </c>
      <c r="N337" t="str">
        <f>+RIGHT(DB!M337,6)</f>
        <v/>
      </c>
      <c r="O337">
        <v>95</v>
      </c>
      <c r="P337">
        <v>5</v>
      </c>
      <c r="Q337">
        <f>+DB!AB337</f>
        <v>0</v>
      </c>
      <c r="R337">
        <f>+DB!K337</f>
        <v>0</v>
      </c>
      <c r="S337">
        <f>+DB!F337</f>
        <v>0</v>
      </c>
      <c r="T337">
        <f>+IF(DB!F337="AAAC-35",1,3)</f>
        <v>3</v>
      </c>
      <c r="U337">
        <f>+DB!R337</f>
        <v>0</v>
      </c>
      <c r="V337">
        <f>+IF(DB!P337="1RI",1,0)+IF(DB!P337="2RI",2,0)</f>
        <v>0</v>
      </c>
      <c r="W337">
        <f>+IF(DB!P337="1RV",1,0)+IF(DB!P337="2RV",2,0)</f>
        <v>0</v>
      </c>
      <c r="X337">
        <f>+IF(DB!P337="RYI",1,0)</f>
        <v>0</v>
      </c>
      <c r="Y337">
        <f>+IF(DB!P337="RYV",1,0)</f>
        <v>0</v>
      </c>
      <c r="Z337">
        <f>+DB!U337</f>
        <v>0</v>
      </c>
      <c r="AA337">
        <f>+IF(DB!F337="AAAC-35",19.5,33)</f>
        <v>33</v>
      </c>
      <c r="AB337">
        <f>+DB!V337</f>
        <v>0</v>
      </c>
      <c r="AC337" t="str">
        <f t="shared" si="17"/>
        <v>56-4</v>
      </c>
      <c r="AD337" s="21" t="s">
        <v>72</v>
      </c>
      <c r="AE337">
        <f>+DB!X337</f>
        <v>0</v>
      </c>
      <c r="AF337" s="22">
        <f>+DB!Y337</f>
        <v>0</v>
      </c>
      <c r="AG337">
        <f>+DB!AK337</f>
        <v>0</v>
      </c>
    </row>
    <row r="338" spans="1:33" x14ac:dyDescent="0.2">
      <c r="A338">
        <f>+DB!C338</f>
        <v>0</v>
      </c>
      <c r="B338">
        <f>+DB!D338</f>
        <v>0</v>
      </c>
      <c r="C338">
        <f>+DB!E338</f>
        <v>0</v>
      </c>
      <c r="D338">
        <f t="shared" si="15"/>
        <v>0</v>
      </c>
      <c r="E338">
        <f>+DB!G338</f>
        <v>0</v>
      </c>
      <c r="F338">
        <f>+DB!H338</f>
        <v>0</v>
      </c>
      <c r="G338">
        <f>+DB!N338</f>
        <v>0</v>
      </c>
      <c r="H338">
        <f>+DB!O338</f>
        <v>0</v>
      </c>
      <c r="I338">
        <f>+DB!I338</f>
        <v>0</v>
      </c>
      <c r="J338">
        <f>+DB!J338</f>
        <v>0</v>
      </c>
      <c r="K338">
        <f>+DB!L338</f>
        <v>0</v>
      </c>
      <c r="L338" t="str">
        <f t="shared" si="16"/>
        <v/>
      </c>
      <c r="M338" t="str">
        <f>+IF(LEFT(DB!M338,3)="13/","CAC","MAD")</f>
        <v>MAD</v>
      </c>
      <c r="N338" t="str">
        <f>+RIGHT(DB!M338,6)</f>
        <v/>
      </c>
      <c r="O338">
        <v>95</v>
      </c>
      <c r="P338">
        <v>5</v>
      </c>
      <c r="Q338">
        <f>+DB!AB338</f>
        <v>0</v>
      </c>
      <c r="R338">
        <f>+DB!K338</f>
        <v>0</v>
      </c>
      <c r="S338">
        <f>+DB!F338</f>
        <v>0</v>
      </c>
      <c r="T338">
        <f>+IF(DB!F338="AAAC-35",1,3)</f>
        <v>3</v>
      </c>
      <c r="U338">
        <f>+DB!R338</f>
        <v>0</v>
      </c>
      <c r="V338">
        <f>+IF(DB!P338="1RI",1,0)+IF(DB!P338="2RI",2,0)</f>
        <v>0</v>
      </c>
      <c r="W338">
        <f>+IF(DB!P338="1RV",1,0)+IF(DB!P338="2RV",2,0)</f>
        <v>0</v>
      </c>
      <c r="X338">
        <f>+IF(DB!P338="RYI",1,0)</f>
        <v>0</v>
      </c>
      <c r="Y338">
        <f>+IF(DB!P338="RYV",1,0)</f>
        <v>0</v>
      </c>
      <c r="Z338">
        <f>+DB!U338</f>
        <v>0</v>
      </c>
      <c r="AA338">
        <f>+IF(DB!F338="AAAC-35",19.5,33)</f>
        <v>33</v>
      </c>
      <c r="AB338">
        <f>+DB!V338</f>
        <v>0</v>
      </c>
      <c r="AC338" t="str">
        <f t="shared" si="17"/>
        <v>56-4</v>
      </c>
      <c r="AD338" s="21" t="s">
        <v>72</v>
      </c>
      <c r="AE338">
        <f>+DB!X338</f>
        <v>0</v>
      </c>
      <c r="AF338" s="22">
        <f>+DB!Y338</f>
        <v>0</v>
      </c>
      <c r="AG338">
        <f>+DB!AK338</f>
        <v>0</v>
      </c>
    </row>
    <row r="339" spans="1:33" x14ac:dyDescent="0.2">
      <c r="A339">
        <f>+DB!C339</f>
        <v>0</v>
      </c>
      <c r="B339">
        <f>+DB!D339</f>
        <v>0</v>
      </c>
      <c r="C339">
        <f>+DB!E339</f>
        <v>0</v>
      </c>
      <c r="D339">
        <f t="shared" si="15"/>
        <v>0</v>
      </c>
      <c r="E339">
        <f>+DB!G339</f>
        <v>0</v>
      </c>
      <c r="F339">
        <f>+DB!H339</f>
        <v>0</v>
      </c>
      <c r="G339">
        <f>+DB!N339</f>
        <v>0</v>
      </c>
      <c r="H339">
        <f>+DB!O339</f>
        <v>0</v>
      </c>
      <c r="I339">
        <f>+DB!I339</f>
        <v>0</v>
      </c>
      <c r="J339">
        <f>+DB!J339</f>
        <v>0</v>
      </c>
      <c r="K339">
        <f>+DB!L339</f>
        <v>0</v>
      </c>
      <c r="L339" t="str">
        <f t="shared" si="16"/>
        <v/>
      </c>
      <c r="M339" t="str">
        <f>+IF(LEFT(DB!M339,3)="13/","CAC","MAD")</f>
        <v>MAD</v>
      </c>
      <c r="N339" t="str">
        <f>+RIGHT(DB!M339,6)</f>
        <v/>
      </c>
      <c r="O339">
        <v>95</v>
      </c>
      <c r="P339">
        <v>5</v>
      </c>
      <c r="Q339">
        <f>+DB!AB339</f>
        <v>0</v>
      </c>
      <c r="R339">
        <f>+DB!K339</f>
        <v>0</v>
      </c>
      <c r="S339">
        <f>+DB!F339</f>
        <v>0</v>
      </c>
      <c r="T339">
        <f>+IF(DB!F339="AAAC-35",1,3)</f>
        <v>3</v>
      </c>
      <c r="U339">
        <f>+DB!R339</f>
        <v>0</v>
      </c>
      <c r="V339">
        <f>+IF(DB!P339="1RI",1,0)+IF(DB!P339="2RI",2,0)</f>
        <v>0</v>
      </c>
      <c r="W339">
        <f>+IF(DB!P339="1RV",1,0)+IF(DB!P339="2RV",2,0)</f>
        <v>0</v>
      </c>
      <c r="X339">
        <f>+IF(DB!P339="RYI",1,0)</f>
        <v>0</v>
      </c>
      <c r="Y339">
        <f>+IF(DB!P339="RYV",1,0)</f>
        <v>0</v>
      </c>
      <c r="Z339">
        <f>+DB!U339</f>
        <v>0</v>
      </c>
      <c r="AA339">
        <f>+IF(DB!F339="AAAC-35",19.5,33)</f>
        <v>33</v>
      </c>
      <c r="AB339">
        <f>+DB!V339</f>
        <v>0</v>
      </c>
      <c r="AC339" t="str">
        <f t="shared" si="17"/>
        <v>56-4</v>
      </c>
      <c r="AD339" s="21" t="s">
        <v>72</v>
      </c>
      <c r="AE339">
        <f>+DB!X339</f>
        <v>0</v>
      </c>
      <c r="AF339" s="22">
        <f>+DB!Y339</f>
        <v>0</v>
      </c>
      <c r="AG339">
        <f>+DB!AK339</f>
        <v>0</v>
      </c>
    </row>
    <row r="340" spans="1:33" x14ac:dyDescent="0.2">
      <c r="A340">
        <f>+DB!C340</f>
        <v>0</v>
      </c>
      <c r="B340">
        <f>+DB!D340</f>
        <v>0</v>
      </c>
      <c r="C340">
        <f>+DB!E340</f>
        <v>0</v>
      </c>
      <c r="D340">
        <f t="shared" si="15"/>
        <v>0</v>
      </c>
      <c r="E340">
        <f>+DB!G340</f>
        <v>0</v>
      </c>
      <c r="F340">
        <f>+DB!H340</f>
        <v>0</v>
      </c>
      <c r="G340">
        <f>+DB!N340</f>
        <v>0</v>
      </c>
      <c r="H340">
        <f>+DB!O340</f>
        <v>0</v>
      </c>
      <c r="I340">
        <f>+DB!I340</f>
        <v>0</v>
      </c>
      <c r="J340">
        <f>+DB!J340</f>
        <v>0</v>
      </c>
      <c r="K340">
        <f>+DB!L340</f>
        <v>0</v>
      </c>
      <c r="L340" t="str">
        <f t="shared" si="16"/>
        <v/>
      </c>
      <c r="M340" t="str">
        <f>+IF(LEFT(DB!M340,3)="13/","CAC","MAD")</f>
        <v>MAD</v>
      </c>
      <c r="N340" t="str">
        <f>+RIGHT(DB!M340,6)</f>
        <v/>
      </c>
      <c r="O340">
        <v>95</v>
      </c>
      <c r="P340">
        <v>5</v>
      </c>
      <c r="Q340">
        <f>+DB!AB340</f>
        <v>0</v>
      </c>
      <c r="R340">
        <f>+DB!K340</f>
        <v>0</v>
      </c>
      <c r="S340">
        <f>+DB!F340</f>
        <v>0</v>
      </c>
      <c r="T340">
        <f>+IF(DB!F340="AAAC-35",1,3)</f>
        <v>3</v>
      </c>
      <c r="U340">
        <f>+DB!R340</f>
        <v>0</v>
      </c>
      <c r="V340">
        <f>+IF(DB!P340="1RI",1,0)+IF(DB!P340="2RI",2,0)</f>
        <v>0</v>
      </c>
      <c r="W340">
        <f>+IF(DB!P340="1RV",1,0)+IF(DB!P340="2RV",2,0)</f>
        <v>0</v>
      </c>
      <c r="X340">
        <f>+IF(DB!P340="RYI",1,0)</f>
        <v>0</v>
      </c>
      <c r="Y340">
        <f>+IF(DB!P340="RYV",1,0)</f>
        <v>0</v>
      </c>
      <c r="Z340">
        <f>+DB!U340</f>
        <v>0</v>
      </c>
      <c r="AA340">
        <f>+IF(DB!F340="AAAC-35",19.5,33)</f>
        <v>33</v>
      </c>
      <c r="AB340">
        <f>+DB!V340</f>
        <v>0</v>
      </c>
      <c r="AC340" t="str">
        <f t="shared" si="17"/>
        <v>56-4</v>
      </c>
      <c r="AD340" s="21" t="s">
        <v>72</v>
      </c>
      <c r="AE340">
        <f>+DB!X340</f>
        <v>0</v>
      </c>
      <c r="AF340" s="22">
        <f>+DB!Y340</f>
        <v>0</v>
      </c>
      <c r="AG340">
        <f>+DB!AK340</f>
        <v>0</v>
      </c>
    </row>
    <row r="341" spans="1:33" x14ac:dyDescent="0.2">
      <c r="A341">
        <f>+DB!C341</f>
        <v>0</v>
      </c>
      <c r="B341">
        <f>+DB!D341</f>
        <v>0</v>
      </c>
      <c r="C341">
        <f>+DB!E341</f>
        <v>0</v>
      </c>
      <c r="D341">
        <f t="shared" si="15"/>
        <v>0</v>
      </c>
      <c r="E341">
        <f>+DB!G341</f>
        <v>0</v>
      </c>
      <c r="F341">
        <f>+DB!H341</f>
        <v>0</v>
      </c>
      <c r="G341">
        <f>+DB!N341</f>
        <v>0</v>
      </c>
      <c r="H341">
        <f>+DB!O341</f>
        <v>0</v>
      </c>
      <c r="I341">
        <f>+DB!I341</f>
        <v>0</v>
      </c>
      <c r="J341">
        <f>+DB!J341</f>
        <v>0</v>
      </c>
      <c r="K341">
        <f>+DB!L341</f>
        <v>0</v>
      </c>
      <c r="L341" t="str">
        <f t="shared" si="16"/>
        <v/>
      </c>
      <c r="M341" t="str">
        <f>+IF(LEFT(DB!M341,3)="13/","CAC","MAD")</f>
        <v>MAD</v>
      </c>
      <c r="N341" t="str">
        <f>+RIGHT(DB!M341,6)</f>
        <v/>
      </c>
      <c r="O341">
        <v>95</v>
      </c>
      <c r="P341">
        <v>5</v>
      </c>
      <c r="Q341">
        <f>+DB!AB341</f>
        <v>0</v>
      </c>
      <c r="R341">
        <f>+DB!K341</f>
        <v>0</v>
      </c>
      <c r="S341">
        <f>+DB!F341</f>
        <v>0</v>
      </c>
      <c r="T341">
        <f>+IF(DB!F341="AAAC-35",1,3)</f>
        <v>3</v>
      </c>
      <c r="U341">
        <f>+DB!R341</f>
        <v>0</v>
      </c>
      <c r="V341">
        <f>+IF(DB!P341="1RI",1,0)+IF(DB!P341="2RI",2,0)</f>
        <v>0</v>
      </c>
      <c r="W341">
        <f>+IF(DB!P341="1RV",1,0)+IF(DB!P341="2RV",2,0)</f>
        <v>0</v>
      </c>
      <c r="X341">
        <f>+IF(DB!P341="RYI",1,0)</f>
        <v>0</v>
      </c>
      <c r="Y341">
        <f>+IF(DB!P341="RYV",1,0)</f>
        <v>0</v>
      </c>
      <c r="Z341">
        <f>+DB!U341</f>
        <v>0</v>
      </c>
      <c r="AA341">
        <f>+IF(DB!F341="AAAC-35",19.5,33)</f>
        <v>33</v>
      </c>
      <c r="AB341">
        <f>+DB!V341</f>
        <v>0</v>
      </c>
      <c r="AC341" t="str">
        <f t="shared" si="17"/>
        <v>56-4</v>
      </c>
      <c r="AD341" s="21" t="s">
        <v>72</v>
      </c>
      <c r="AE341">
        <f>+DB!X341</f>
        <v>0</v>
      </c>
      <c r="AF341" s="22">
        <f>+DB!Y341</f>
        <v>0</v>
      </c>
      <c r="AG341">
        <f>+DB!AK341</f>
        <v>0</v>
      </c>
    </row>
    <row r="342" spans="1:33" x14ac:dyDescent="0.2">
      <c r="A342">
        <f>+DB!C342</f>
        <v>0</v>
      </c>
      <c r="B342">
        <f>+DB!D342</f>
        <v>0</v>
      </c>
      <c r="C342">
        <f>+DB!E342</f>
        <v>0</v>
      </c>
      <c r="D342">
        <f t="shared" si="15"/>
        <v>0</v>
      </c>
      <c r="E342">
        <f>+DB!G342</f>
        <v>0</v>
      </c>
      <c r="F342">
        <f>+DB!H342</f>
        <v>0</v>
      </c>
      <c r="G342">
        <f>+DB!N342</f>
        <v>0</v>
      </c>
      <c r="H342">
        <f>+DB!O342</f>
        <v>0</v>
      </c>
      <c r="I342">
        <f>+DB!I342</f>
        <v>0</v>
      </c>
      <c r="J342">
        <f>+DB!J342</f>
        <v>0</v>
      </c>
      <c r="K342">
        <f>+DB!L342</f>
        <v>0</v>
      </c>
      <c r="L342" t="str">
        <f t="shared" si="16"/>
        <v/>
      </c>
      <c r="M342" t="str">
        <f>+IF(LEFT(DB!M342,3)="13/","CAC","MAD")</f>
        <v>MAD</v>
      </c>
      <c r="N342" t="str">
        <f>+RIGHT(DB!M342,6)</f>
        <v/>
      </c>
      <c r="O342">
        <v>95</v>
      </c>
      <c r="P342">
        <v>5</v>
      </c>
      <c r="Q342">
        <f>+DB!AB342</f>
        <v>0</v>
      </c>
      <c r="R342">
        <f>+DB!K342</f>
        <v>0</v>
      </c>
      <c r="S342">
        <f>+DB!F342</f>
        <v>0</v>
      </c>
      <c r="T342">
        <f>+IF(DB!F342="AAAC-35",1,3)</f>
        <v>3</v>
      </c>
      <c r="U342">
        <f>+DB!R342</f>
        <v>0</v>
      </c>
      <c r="V342">
        <f>+IF(DB!P342="1RI",1,0)+IF(DB!P342="2RI",2,0)</f>
        <v>0</v>
      </c>
      <c r="W342">
        <f>+IF(DB!P342="1RV",1,0)+IF(DB!P342="2RV",2,0)</f>
        <v>0</v>
      </c>
      <c r="X342">
        <f>+IF(DB!P342="RYI",1,0)</f>
        <v>0</v>
      </c>
      <c r="Y342">
        <f>+IF(DB!P342="RYV",1,0)</f>
        <v>0</v>
      </c>
      <c r="Z342">
        <f>+DB!U342</f>
        <v>0</v>
      </c>
      <c r="AA342">
        <f>+IF(DB!F342="AAAC-35",19.5,33)</f>
        <v>33</v>
      </c>
      <c r="AB342">
        <f>+DB!V342</f>
        <v>0</v>
      </c>
      <c r="AC342" t="str">
        <f t="shared" si="17"/>
        <v>56-4</v>
      </c>
      <c r="AD342" s="21" t="s">
        <v>72</v>
      </c>
      <c r="AE342">
        <f>+DB!X342</f>
        <v>0</v>
      </c>
      <c r="AF342" s="22">
        <f>+DB!Y342</f>
        <v>0</v>
      </c>
      <c r="AG342">
        <f>+DB!AK342</f>
        <v>0</v>
      </c>
    </row>
    <row r="343" spans="1:33" x14ac:dyDescent="0.2">
      <c r="A343">
        <f>+DB!C343</f>
        <v>0</v>
      </c>
      <c r="B343">
        <f>+DB!D343</f>
        <v>0</v>
      </c>
      <c r="C343">
        <f>+DB!E343</f>
        <v>0</v>
      </c>
      <c r="D343">
        <f t="shared" si="15"/>
        <v>0</v>
      </c>
      <c r="E343">
        <f>+DB!G343</f>
        <v>0</v>
      </c>
      <c r="F343">
        <f>+DB!H343</f>
        <v>0</v>
      </c>
      <c r="G343">
        <f>+DB!N343</f>
        <v>0</v>
      </c>
      <c r="H343">
        <f>+DB!O343</f>
        <v>0</v>
      </c>
      <c r="I343">
        <f>+DB!I343</f>
        <v>0</v>
      </c>
      <c r="J343">
        <f>+DB!J343</f>
        <v>0</v>
      </c>
      <c r="K343">
        <f>+DB!L343</f>
        <v>0</v>
      </c>
      <c r="L343" t="str">
        <f t="shared" si="16"/>
        <v/>
      </c>
      <c r="M343" t="str">
        <f>+IF(LEFT(DB!M343,3)="13/","CAC","MAD")</f>
        <v>MAD</v>
      </c>
      <c r="N343" t="str">
        <f>+RIGHT(DB!M343,6)</f>
        <v/>
      </c>
      <c r="O343">
        <v>95</v>
      </c>
      <c r="P343">
        <v>5</v>
      </c>
      <c r="Q343">
        <f>+DB!AB343</f>
        <v>0</v>
      </c>
      <c r="R343">
        <f>+DB!K343</f>
        <v>0</v>
      </c>
      <c r="S343">
        <f>+DB!F343</f>
        <v>0</v>
      </c>
      <c r="T343">
        <f>+IF(DB!F343="AAAC-35",1,3)</f>
        <v>3</v>
      </c>
      <c r="U343">
        <f>+DB!R343</f>
        <v>0</v>
      </c>
      <c r="V343">
        <f>+IF(DB!P343="1RI",1,0)+IF(DB!P343="2RI",2,0)</f>
        <v>0</v>
      </c>
      <c r="W343">
        <f>+IF(DB!P343="1RV",1,0)+IF(DB!P343="2RV",2,0)</f>
        <v>0</v>
      </c>
      <c r="X343">
        <f>+IF(DB!P343="RYI",1,0)</f>
        <v>0</v>
      </c>
      <c r="Y343">
        <f>+IF(DB!P343="RYV",1,0)</f>
        <v>0</v>
      </c>
      <c r="Z343">
        <f>+DB!U343</f>
        <v>0</v>
      </c>
      <c r="AA343">
        <f>+IF(DB!F343="AAAC-35",19.5,33)</f>
        <v>33</v>
      </c>
      <c r="AB343">
        <f>+DB!V343</f>
        <v>0</v>
      </c>
      <c r="AC343" t="str">
        <f t="shared" si="17"/>
        <v>56-4</v>
      </c>
      <c r="AD343" s="21" t="s">
        <v>72</v>
      </c>
      <c r="AE343">
        <f>+DB!X343</f>
        <v>0</v>
      </c>
      <c r="AF343" s="22">
        <f>+DB!Y343</f>
        <v>0</v>
      </c>
      <c r="AG343">
        <f>+DB!AK343</f>
        <v>0</v>
      </c>
    </row>
    <row r="344" spans="1:33" x14ac:dyDescent="0.2">
      <c r="A344">
        <f>+DB!C344</f>
        <v>0</v>
      </c>
      <c r="B344">
        <f>+DB!D344</f>
        <v>0</v>
      </c>
      <c r="C344">
        <f>+DB!E344</f>
        <v>0</v>
      </c>
      <c r="D344">
        <f t="shared" si="15"/>
        <v>0</v>
      </c>
      <c r="E344">
        <f>+DB!G344</f>
        <v>0</v>
      </c>
      <c r="F344">
        <f>+DB!H344</f>
        <v>0</v>
      </c>
      <c r="G344">
        <f>+DB!N344</f>
        <v>0</v>
      </c>
      <c r="H344">
        <f>+DB!O344</f>
        <v>0</v>
      </c>
      <c r="I344">
        <f>+DB!I344</f>
        <v>0</v>
      </c>
      <c r="J344">
        <f>+DB!J344</f>
        <v>0</v>
      </c>
      <c r="K344">
        <f>+DB!L344</f>
        <v>0</v>
      </c>
      <c r="L344" t="str">
        <f t="shared" si="16"/>
        <v/>
      </c>
      <c r="M344" t="str">
        <f>+IF(LEFT(DB!M344,3)="13/","CAC","MAD")</f>
        <v>MAD</v>
      </c>
      <c r="N344" t="str">
        <f>+RIGHT(DB!M344,6)</f>
        <v/>
      </c>
      <c r="O344">
        <v>95</v>
      </c>
      <c r="P344">
        <v>5</v>
      </c>
      <c r="Q344">
        <f>+DB!AB344</f>
        <v>0</v>
      </c>
      <c r="R344">
        <f>+DB!K344</f>
        <v>0</v>
      </c>
      <c r="S344">
        <f>+DB!F344</f>
        <v>0</v>
      </c>
      <c r="T344">
        <f>+IF(DB!F344="AAAC-35",1,3)</f>
        <v>3</v>
      </c>
      <c r="U344">
        <f>+DB!R344</f>
        <v>0</v>
      </c>
      <c r="V344">
        <f>+IF(DB!P344="1RI",1,0)+IF(DB!P344="2RI",2,0)</f>
        <v>0</v>
      </c>
      <c r="W344">
        <f>+IF(DB!P344="1RV",1,0)+IF(DB!P344="2RV",2,0)</f>
        <v>0</v>
      </c>
      <c r="X344">
        <f>+IF(DB!P344="RYI",1,0)</f>
        <v>0</v>
      </c>
      <c r="Y344">
        <f>+IF(DB!P344="RYV",1,0)</f>
        <v>0</v>
      </c>
      <c r="Z344">
        <f>+DB!U344</f>
        <v>0</v>
      </c>
      <c r="AA344">
        <f>+IF(DB!F344="AAAC-35",19.5,33)</f>
        <v>33</v>
      </c>
      <c r="AB344">
        <f>+DB!V344</f>
        <v>0</v>
      </c>
      <c r="AC344" t="str">
        <f t="shared" si="17"/>
        <v>56-4</v>
      </c>
      <c r="AD344" s="21" t="s">
        <v>72</v>
      </c>
      <c r="AE344">
        <f>+DB!X344</f>
        <v>0</v>
      </c>
      <c r="AF344" s="22">
        <f>+DB!Y344</f>
        <v>0</v>
      </c>
      <c r="AG344">
        <f>+DB!AK344</f>
        <v>0</v>
      </c>
    </row>
    <row r="345" spans="1:33" x14ac:dyDescent="0.2">
      <c r="A345">
        <f>+DB!C345</f>
        <v>0</v>
      </c>
      <c r="B345">
        <f>+DB!D345</f>
        <v>0</v>
      </c>
      <c r="C345">
        <f>+DB!E345</f>
        <v>0</v>
      </c>
      <c r="D345">
        <f t="shared" si="15"/>
        <v>0</v>
      </c>
      <c r="E345">
        <f>+DB!G345</f>
        <v>0</v>
      </c>
      <c r="F345">
        <f>+DB!H345</f>
        <v>0</v>
      </c>
      <c r="G345">
        <f>+DB!N345</f>
        <v>0</v>
      </c>
      <c r="H345">
        <f>+DB!O345</f>
        <v>0</v>
      </c>
      <c r="I345">
        <f>+DB!I345</f>
        <v>0</v>
      </c>
      <c r="J345">
        <f>+DB!J345</f>
        <v>0</v>
      </c>
      <c r="K345">
        <f>+DB!L345</f>
        <v>0</v>
      </c>
      <c r="L345" t="str">
        <f t="shared" si="16"/>
        <v/>
      </c>
      <c r="M345" t="str">
        <f>+IF(LEFT(DB!M345,3)="13/","CAC","MAD")</f>
        <v>MAD</v>
      </c>
      <c r="N345" t="str">
        <f>+RIGHT(DB!M345,6)</f>
        <v/>
      </c>
      <c r="O345">
        <v>95</v>
      </c>
      <c r="P345">
        <v>5</v>
      </c>
      <c r="Q345">
        <f>+DB!AB345</f>
        <v>0</v>
      </c>
      <c r="R345">
        <f>+DB!K345</f>
        <v>0</v>
      </c>
      <c r="S345">
        <f>+DB!F345</f>
        <v>0</v>
      </c>
      <c r="T345">
        <f>+IF(DB!F345="AAAC-35",1,3)</f>
        <v>3</v>
      </c>
      <c r="U345">
        <f>+DB!R345</f>
        <v>0</v>
      </c>
      <c r="V345">
        <f>+IF(DB!P345="1RI",1,0)+IF(DB!P345="2RI",2,0)</f>
        <v>0</v>
      </c>
      <c r="W345">
        <f>+IF(DB!P345="1RV",1,0)+IF(DB!P345="2RV",2,0)</f>
        <v>0</v>
      </c>
      <c r="X345">
        <f>+IF(DB!P345="RYI",1,0)</f>
        <v>0</v>
      </c>
      <c r="Y345">
        <f>+IF(DB!P345="RYV",1,0)</f>
        <v>0</v>
      </c>
      <c r="Z345">
        <f>+DB!U345</f>
        <v>0</v>
      </c>
      <c r="AA345">
        <f>+IF(DB!F345="AAAC-35",19.5,33)</f>
        <v>33</v>
      </c>
      <c r="AB345">
        <f>+DB!V345</f>
        <v>0</v>
      </c>
      <c r="AC345" t="str">
        <f t="shared" si="17"/>
        <v>56-4</v>
      </c>
      <c r="AD345" s="21" t="s">
        <v>72</v>
      </c>
      <c r="AE345">
        <f>+DB!X345</f>
        <v>0</v>
      </c>
      <c r="AF345" s="22">
        <f>+DB!Y345</f>
        <v>0</v>
      </c>
      <c r="AG345">
        <f>+DB!AK345</f>
        <v>0</v>
      </c>
    </row>
    <row r="346" spans="1:33" x14ac:dyDescent="0.2">
      <c r="A346">
        <f>+DB!C346</f>
        <v>0</v>
      </c>
      <c r="B346">
        <f>+DB!D346</f>
        <v>0</v>
      </c>
      <c r="C346">
        <f>+DB!E346</f>
        <v>0</v>
      </c>
      <c r="D346">
        <f t="shared" si="15"/>
        <v>0</v>
      </c>
      <c r="E346">
        <f>+DB!G346</f>
        <v>0</v>
      </c>
      <c r="F346">
        <f>+DB!H346</f>
        <v>0</v>
      </c>
      <c r="G346">
        <f>+DB!N346</f>
        <v>0</v>
      </c>
      <c r="H346">
        <f>+DB!O346</f>
        <v>0</v>
      </c>
      <c r="I346">
        <f>+DB!I346</f>
        <v>0</v>
      </c>
      <c r="J346">
        <f>+DB!J346</f>
        <v>0</v>
      </c>
      <c r="K346">
        <f>+DB!L346</f>
        <v>0</v>
      </c>
      <c r="L346" t="str">
        <f t="shared" si="16"/>
        <v/>
      </c>
      <c r="M346" t="str">
        <f>+IF(LEFT(DB!M346,3)="13/","CAC","MAD")</f>
        <v>MAD</v>
      </c>
      <c r="N346" t="str">
        <f>+RIGHT(DB!M346,6)</f>
        <v/>
      </c>
      <c r="O346">
        <v>95</v>
      </c>
      <c r="P346">
        <v>5</v>
      </c>
      <c r="Q346">
        <f>+DB!AB346</f>
        <v>0</v>
      </c>
      <c r="R346">
        <f>+DB!K346</f>
        <v>0</v>
      </c>
      <c r="S346">
        <f>+DB!F346</f>
        <v>0</v>
      </c>
      <c r="T346">
        <f>+IF(DB!F346="AAAC-35",1,3)</f>
        <v>3</v>
      </c>
      <c r="U346">
        <f>+DB!R346</f>
        <v>0</v>
      </c>
      <c r="V346">
        <f>+IF(DB!P346="1RI",1,0)+IF(DB!P346="2RI",2,0)</f>
        <v>0</v>
      </c>
      <c r="W346">
        <f>+IF(DB!P346="1RV",1,0)+IF(DB!P346="2RV",2,0)</f>
        <v>0</v>
      </c>
      <c r="X346">
        <f>+IF(DB!P346="RYI",1,0)</f>
        <v>0</v>
      </c>
      <c r="Y346">
        <f>+IF(DB!P346="RYV",1,0)</f>
        <v>0</v>
      </c>
      <c r="Z346">
        <f>+DB!U346</f>
        <v>0</v>
      </c>
      <c r="AA346">
        <f>+IF(DB!F346="AAAC-35",19.5,33)</f>
        <v>33</v>
      </c>
      <c r="AB346">
        <f>+DB!V346</f>
        <v>0</v>
      </c>
      <c r="AC346" t="str">
        <f t="shared" si="17"/>
        <v>56-4</v>
      </c>
      <c r="AD346" s="21" t="s">
        <v>72</v>
      </c>
      <c r="AE346">
        <f>+DB!X346</f>
        <v>0</v>
      </c>
      <c r="AF346" s="22">
        <f>+DB!Y346</f>
        <v>0</v>
      </c>
      <c r="AG346">
        <f>+DB!AK346</f>
        <v>0</v>
      </c>
    </row>
    <row r="347" spans="1:33" x14ac:dyDescent="0.2">
      <c r="A347">
        <f>+DB!C347</f>
        <v>0</v>
      </c>
      <c r="B347">
        <f>+DB!D347</f>
        <v>0</v>
      </c>
      <c r="C347">
        <f>+DB!E347</f>
        <v>0</v>
      </c>
      <c r="D347">
        <f t="shared" si="15"/>
        <v>0</v>
      </c>
      <c r="E347">
        <f>+DB!G347</f>
        <v>0</v>
      </c>
      <c r="F347">
        <f>+DB!H347</f>
        <v>0</v>
      </c>
      <c r="G347">
        <f>+DB!N347</f>
        <v>0</v>
      </c>
      <c r="H347">
        <f>+DB!O347</f>
        <v>0</v>
      </c>
      <c r="I347">
        <f>+DB!I347</f>
        <v>0</v>
      </c>
      <c r="J347">
        <f>+DB!J347</f>
        <v>0</v>
      </c>
      <c r="K347">
        <f>+DB!L347</f>
        <v>0</v>
      </c>
      <c r="L347" t="str">
        <f t="shared" si="16"/>
        <v/>
      </c>
      <c r="M347" t="str">
        <f>+IF(LEFT(DB!M347,3)="13/","CAC","MAD")</f>
        <v>MAD</v>
      </c>
      <c r="N347" t="str">
        <f>+RIGHT(DB!M347,6)</f>
        <v/>
      </c>
      <c r="O347">
        <v>95</v>
      </c>
      <c r="P347">
        <v>5</v>
      </c>
      <c r="Q347">
        <f>+DB!AB347</f>
        <v>0</v>
      </c>
      <c r="R347">
        <f>+DB!K347</f>
        <v>0</v>
      </c>
      <c r="S347">
        <f>+DB!F347</f>
        <v>0</v>
      </c>
      <c r="T347">
        <f>+IF(DB!F347="AAAC-35",1,3)</f>
        <v>3</v>
      </c>
      <c r="U347">
        <f>+DB!R347</f>
        <v>0</v>
      </c>
      <c r="V347">
        <f>+IF(DB!P347="1RI",1,0)+IF(DB!P347="2RI",2,0)</f>
        <v>0</v>
      </c>
      <c r="W347">
        <f>+IF(DB!P347="1RV",1,0)+IF(DB!P347="2RV",2,0)</f>
        <v>0</v>
      </c>
      <c r="X347">
        <f>+IF(DB!P347="RYI",1,0)</f>
        <v>0</v>
      </c>
      <c r="Y347">
        <f>+IF(DB!P347="RYV",1,0)</f>
        <v>0</v>
      </c>
      <c r="Z347">
        <f>+DB!U347</f>
        <v>0</v>
      </c>
      <c r="AA347">
        <f>+IF(DB!F347="AAAC-35",19.5,33)</f>
        <v>33</v>
      </c>
      <c r="AB347">
        <f>+DB!V347</f>
        <v>0</v>
      </c>
      <c r="AC347" t="str">
        <f t="shared" si="17"/>
        <v>56-4</v>
      </c>
      <c r="AD347" s="21" t="s">
        <v>72</v>
      </c>
      <c r="AE347">
        <f>+DB!X347</f>
        <v>0</v>
      </c>
      <c r="AF347" s="22">
        <f>+DB!Y347</f>
        <v>0</v>
      </c>
      <c r="AG347">
        <f>+DB!AK347</f>
        <v>0</v>
      </c>
    </row>
    <row r="348" spans="1:33" x14ac:dyDescent="0.2">
      <c r="A348">
        <f>+DB!C348</f>
        <v>0</v>
      </c>
      <c r="B348">
        <f>+DB!D348</f>
        <v>0</v>
      </c>
      <c r="C348">
        <f>+DB!E348</f>
        <v>0</v>
      </c>
      <c r="D348">
        <f t="shared" si="15"/>
        <v>0</v>
      </c>
      <c r="E348">
        <f>+DB!G348</f>
        <v>0</v>
      </c>
      <c r="F348">
        <f>+DB!H348</f>
        <v>0</v>
      </c>
      <c r="G348">
        <f>+DB!N348</f>
        <v>0</v>
      </c>
      <c r="H348">
        <f>+DB!O348</f>
        <v>0</v>
      </c>
      <c r="I348">
        <f>+DB!I348</f>
        <v>0</v>
      </c>
      <c r="J348">
        <f>+DB!J348</f>
        <v>0</v>
      </c>
      <c r="K348">
        <f>+DB!L348</f>
        <v>0</v>
      </c>
      <c r="L348" t="str">
        <f t="shared" si="16"/>
        <v/>
      </c>
      <c r="M348" t="str">
        <f>+IF(LEFT(DB!M348,3)="13/","CAC","MAD")</f>
        <v>MAD</v>
      </c>
      <c r="N348" t="str">
        <f>+RIGHT(DB!M348,6)</f>
        <v/>
      </c>
      <c r="O348">
        <v>95</v>
      </c>
      <c r="P348">
        <v>5</v>
      </c>
      <c r="Q348">
        <f>+DB!AB348</f>
        <v>0</v>
      </c>
      <c r="R348">
        <f>+DB!K348</f>
        <v>0</v>
      </c>
      <c r="S348">
        <f>+DB!F348</f>
        <v>0</v>
      </c>
      <c r="T348">
        <f>+IF(DB!F348="AAAC-35",1,3)</f>
        <v>3</v>
      </c>
      <c r="U348">
        <f>+DB!R348</f>
        <v>0</v>
      </c>
      <c r="V348">
        <f>+IF(DB!P348="1RI",1,0)+IF(DB!P348="2RI",2,0)</f>
        <v>0</v>
      </c>
      <c r="W348">
        <f>+IF(DB!P348="1RV",1,0)+IF(DB!P348="2RV",2,0)</f>
        <v>0</v>
      </c>
      <c r="X348">
        <f>+IF(DB!P348="RYI",1,0)</f>
        <v>0</v>
      </c>
      <c r="Y348">
        <f>+IF(DB!P348="RYV",1,0)</f>
        <v>0</v>
      </c>
      <c r="Z348">
        <f>+DB!U348</f>
        <v>0</v>
      </c>
      <c r="AA348">
        <f>+IF(DB!F348="AAAC-35",19.5,33)</f>
        <v>33</v>
      </c>
      <c r="AB348">
        <f>+DB!V348</f>
        <v>0</v>
      </c>
      <c r="AC348" t="str">
        <f t="shared" si="17"/>
        <v>56-4</v>
      </c>
      <c r="AD348" s="21" t="s">
        <v>72</v>
      </c>
      <c r="AE348">
        <f>+DB!X348</f>
        <v>0</v>
      </c>
      <c r="AF348" s="22">
        <f>+DB!Y348</f>
        <v>0</v>
      </c>
      <c r="AG348">
        <f>+DB!AK348</f>
        <v>0</v>
      </c>
    </row>
    <row r="349" spans="1:33" x14ac:dyDescent="0.2">
      <c r="A349">
        <f>+DB!C349</f>
        <v>0</v>
      </c>
      <c r="B349">
        <f>+DB!D349</f>
        <v>0</v>
      </c>
      <c r="C349">
        <f>+DB!E349</f>
        <v>0</v>
      </c>
      <c r="D349">
        <f t="shared" si="15"/>
        <v>0</v>
      </c>
      <c r="E349">
        <f>+DB!G349</f>
        <v>0</v>
      </c>
      <c r="F349">
        <f>+DB!H349</f>
        <v>0</v>
      </c>
      <c r="G349">
        <f>+DB!N349</f>
        <v>0</v>
      </c>
      <c r="H349">
        <f>+DB!O349</f>
        <v>0</v>
      </c>
      <c r="I349">
        <f>+DB!I349</f>
        <v>0</v>
      </c>
      <c r="J349">
        <f>+DB!J349</f>
        <v>0</v>
      </c>
      <c r="K349">
        <f>+DB!L349</f>
        <v>0</v>
      </c>
      <c r="L349" t="str">
        <f t="shared" si="16"/>
        <v/>
      </c>
      <c r="M349" t="str">
        <f>+IF(LEFT(DB!M349,3)="13/","CAC","MAD")</f>
        <v>MAD</v>
      </c>
      <c r="N349" t="str">
        <f>+RIGHT(DB!M349,6)</f>
        <v/>
      </c>
      <c r="O349">
        <v>95</v>
      </c>
      <c r="P349">
        <v>5</v>
      </c>
      <c r="Q349">
        <f>+DB!AB349</f>
        <v>0</v>
      </c>
      <c r="R349">
        <f>+DB!K349</f>
        <v>0</v>
      </c>
      <c r="S349">
        <f>+DB!F349</f>
        <v>0</v>
      </c>
      <c r="T349">
        <f>+IF(DB!F349="AAAC-35",1,3)</f>
        <v>3</v>
      </c>
      <c r="U349">
        <f>+DB!R349</f>
        <v>0</v>
      </c>
      <c r="V349">
        <f>+IF(DB!P349="1RI",1,0)+IF(DB!P349="2RI",2,0)</f>
        <v>0</v>
      </c>
      <c r="W349">
        <f>+IF(DB!P349="1RV",1,0)+IF(DB!P349="2RV",2,0)</f>
        <v>0</v>
      </c>
      <c r="X349">
        <f>+IF(DB!P349="RYI",1,0)</f>
        <v>0</v>
      </c>
      <c r="Y349">
        <f>+IF(DB!P349="RYV",1,0)</f>
        <v>0</v>
      </c>
      <c r="Z349">
        <f>+DB!U349</f>
        <v>0</v>
      </c>
      <c r="AA349">
        <f>+IF(DB!F349="AAAC-35",19.5,33)</f>
        <v>33</v>
      </c>
      <c r="AB349">
        <f>+DB!V349</f>
        <v>0</v>
      </c>
      <c r="AC349" t="str">
        <f t="shared" si="17"/>
        <v>56-4</v>
      </c>
      <c r="AD349" s="21" t="s">
        <v>72</v>
      </c>
      <c r="AE349">
        <f>+DB!X349</f>
        <v>0</v>
      </c>
      <c r="AF349" s="22">
        <f>+DB!Y349</f>
        <v>0</v>
      </c>
      <c r="AG349">
        <f>+DB!AK349</f>
        <v>0</v>
      </c>
    </row>
    <row r="350" spans="1:33" x14ac:dyDescent="0.2">
      <c r="A350">
        <f>+DB!C350</f>
        <v>0</v>
      </c>
      <c r="B350">
        <f>+DB!D350</f>
        <v>0</v>
      </c>
      <c r="C350">
        <f>+DB!E350</f>
        <v>0</v>
      </c>
      <c r="D350">
        <f t="shared" si="15"/>
        <v>0</v>
      </c>
      <c r="E350">
        <f>+DB!G350</f>
        <v>0</v>
      </c>
      <c r="F350">
        <f>+DB!H350</f>
        <v>0</v>
      </c>
      <c r="G350">
        <f>+DB!N350</f>
        <v>0</v>
      </c>
      <c r="H350">
        <f>+DB!O350</f>
        <v>0</v>
      </c>
      <c r="I350">
        <f>+DB!I350</f>
        <v>0</v>
      </c>
      <c r="J350">
        <f>+DB!J350</f>
        <v>0</v>
      </c>
      <c r="K350">
        <f>+DB!L350</f>
        <v>0</v>
      </c>
      <c r="L350" t="str">
        <f t="shared" si="16"/>
        <v/>
      </c>
      <c r="M350" t="str">
        <f>+IF(LEFT(DB!M350,3)="13/","CAC","MAD")</f>
        <v>MAD</v>
      </c>
      <c r="N350" t="str">
        <f>+RIGHT(DB!M350,6)</f>
        <v/>
      </c>
      <c r="O350">
        <v>95</v>
      </c>
      <c r="P350">
        <v>5</v>
      </c>
      <c r="Q350">
        <f>+DB!AB350</f>
        <v>0</v>
      </c>
      <c r="R350">
        <f>+DB!K350</f>
        <v>0</v>
      </c>
      <c r="S350">
        <f>+DB!F350</f>
        <v>0</v>
      </c>
      <c r="T350">
        <f>+IF(DB!F350="AAAC-35",1,3)</f>
        <v>3</v>
      </c>
      <c r="U350">
        <f>+DB!R350</f>
        <v>0</v>
      </c>
      <c r="V350">
        <f>+IF(DB!P350="1RI",1,0)+IF(DB!P350="2RI",2,0)</f>
        <v>0</v>
      </c>
      <c r="W350">
        <f>+IF(DB!P350="1RV",1,0)+IF(DB!P350="2RV",2,0)</f>
        <v>0</v>
      </c>
      <c r="X350">
        <f>+IF(DB!P350="RYI",1,0)</f>
        <v>0</v>
      </c>
      <c r="Y350">
        <f>+IF(DB!P350="RYV",1,0)</f>
        <v>0</v>
      </c>
      <c r="Z350">
        <f>+DB!U350</f>
        <v>0</v>
      </c>
      <c r="AA350">
        <f>+IF(DB!F350="AAAC-35",19.5,33)</f>
        <v>33</v>
      </c>
      <c r="AB350">
        <f>+DB!V350</f>
        <v>0</v>
      </c>
      <c r="AC350" t="str">
        <f t="shared" si="17"/>
        <v>56-4</v>
      </c>
      <c r="AD350" s="21" t="s">
        <v>72</v>
      </c>
      <c r="AE350">
        <f>+DB!X350</f>
        <v>0</v>
      </c>
      <c r="AF350" s="22">
        <f>+DB!Y350</f>
        <v>0</v>
      </c>
      <c r="AG350">
        <f>+DB!AK350</f>
        <v>0</v>
      </c>
    </row>
    <row r="351" spans="1:33" x14ac:dyDescent="0.2">
      <c r="A351">
        <f>+DB!C351</f>
        <v>0</v>
      </c>
      <c r="B351">
        <f>+DB!D351</f>
        <v>0</v>
      </c>
      <c r="C351">
        <f>+DB!E351</f>
        <v>0</v>
      </c>
      <c r="D351">
        <f t="shared" si="15"/>
        <v>0</v>
      </c>
      <c r="E351">
        <f>+DB!G351</f>
        <v>0</v>
      </c>
      <c r="F351">
        <f>+DB!H351</f>
        <v>0</v>
      </c>
      <c r="G351">
        <f>+DB!N351</f>
        <v>0</v>
      </c>
      <c r="H351">
        <f>+DB!O351</f>
        <v>0</v>
      </c>
      <c r="I351">
        <f>+DB!I351</f>
        <v>0</v>
      </c>
      <c r="J351">
        <f>+DB!J351</f>
        <v>0</v>
      </c>
      <c r="K351">
        <f>+DB!L351</f>
        <v>0</v>
      </c>
      <c r="L351" t="str">
        <f t="shared" si="16"/>
        <v/>
      </c>
      <c r="M351" t="str">
        <f>+IF(LEFT(DB!M351,3)="13/","CAC","MAD")</f>
        <v>MAD</v>
      </c>
      <c r="N351" t="str">
        <f>+RIGHT(DB!M351,6)</f>
        <v/>
      </c>
      <c r="O351">
        <v>95</v>
      </c>
      <c r="P351">
        <v>5</v>
      </c>
      <c r="Q351">
        <f>+DB!AB351</f>
        <v>0</v>
      </c>
      <c r="R351">
        <f>+DB!K351</f>
        <v>0</v>
      </c>
      <c r="S351">
        <f>+DB!F351</f>
        <v>0</v>
      </c>
      <c r="T351">
        <f>+IF(DB!F351="AAAC-35",1,3)</f>
        <v>3</v>
      </c>
      <c r="U351">
        <f>+DB!R351</f>
        <v>0</v>
      </c>
      <c r="V351">
        <f>+IF(DB!P351="1RI",1,0)+IF(DB!P351="2RI",2,0)</f>
        <v>0</v>
      </c>
      <c r="W351">
        <f>+IF(DB!P351="1RV",1,0)+IF(DB!P351="2RV",2,0)</f>
        <v>0</v>
      </c>
      <c r="X351">
        <f>+IF(DB!P351="RYI",1,0)</f>
        <v>0</v>
      </c>
      <c r="Y351">
        <f>+IF(DB!P351="RYV",1,0)</f>
        <v>0</v>
      </c>
      <c r="Z351">
        <f>+DB!U351</f>
        <v>0</v>
      </c>
      <c r="AA351">
        <f>+IF(DB!F351="AAAC-35",19.5,33)</f>
        <v>33</v>
      </c>
      <c r="AB351">
        <f>+DB!V351</f>
        <v>0</v>
      </c>
      <c r="AC351" t="str">
        <f t="shared" si="17"/>
        <v>56-4</v>
      </c>
      <c r="AD351" s="21" t="s">
        <v>72</v>
      </c>
      <c r="AE351">
        <f>+DB!X351</f>
        <v>0</v>
      </c>
      <c r="AF351" s="22">
        <f>+DB!Y351</f>
        <v>0</v>
      </c>
      <c r="AG351">
        <f>+DB!AK351</f>
        <v>0</v>
      </c>
    </row>
    <row r="352" spans="1:33" x14ac:dyDescent="0.2">
      <c r="A352">
        <f>+DB!C352</f>
        <v>0</v>
      </c>
      <c r="B352">
        <f>+DB!D352</f>
        <v>0</v>
      </c>
      <c r="C352">
        <f>+DB!E352</f>
        <v>0</v>
      </c>
      <c r="D352">
        <f t="shared" si="15"/>
        <v>0</v>
      </c>
      <c r="E352">
        <f>+DB!G352</f>
        <v>0</v>
      </c>
      <c r="F352">
        <f>+DB!H352</f>
        <v>0</v>
      </c>
      <c r="G352">
        <f>+DB!N352</f>
        <v>0</v>
      </c>
      <c r="H352">
        <f>+DB!O352</f>
        <v>0</v>
      </c>
      <c r="I352">
        <f>+DB!I352</f>
        <v>0</v>
      </c>
      <c r="J352">
        <f>+DB!J352</f>
        <v>0</v>
      </c>
      <c r="K352">
        <f>+DB!L352</f>
        <v>0</v>
      </c>
      <c r="L352" t="str">
        <f t="shared" si="16"/>
        <v/>
      </c>
      <c r="M352" t="str">
        <f>+IF(LEFT(DB!M352,3)="13/","CAC","MAD")</f>
        <v>MAD</v>
      </c>
      <c r="N352" t="str">
        <f>+RIGHT(DB!M352,6)</f>
        <v/>
      </c>
      <c r="O352">
        <v>95</v>
      </c>
      <c r="P352">
        <v>5</v>
      </c>
      <c r="Q352">
        <f>+DB!AB352</f>
        <v>0</v>
      </c>
      <c r="R352">
        <f>+DB!K352</f>
        <v>0</v>
      </c>
      <c r="S352">
        <f>+DB!F352</f>
        <v>0</v>
      </c>
      <c r="T352">
        <f>+IF(DB!F352="AAAC-35",1,3)</f>
        <v>3</v>
      </c>
      <c r="U352">
        <f>+DB!R352</f>
        <v>0</v>
      </c>
      <c r="V352">
        <f>+IF(DB!P352="1RI",1,0)+IF(DB!P352="2RI",2,0)</f>
        <v>0</v>
      </c>
      <c r="W352">
        <f>+IF(DB!P352="1RV",1,0)+IF(DB!P352="2RV",2,0)</f>
        <v>0</v>
      </c>
      <c r="X352">
        <f>+IF(DB!P352="RYI",1,0)</f>
        <v>0</v>
      </c>
      <c r="Y352">
        <f>+IF(DB!P352="RYV",1,0)</f>
        <v>0</v>
      </c>
      <c r="Z352">
        <f>+DB!U352</f>
        <v>0</v>
      </c>
      <c r="AA352">
        <f>+IF(DB!F352="AAAC-35",19.5,33)</f>
        <v>33</v>
      </c>
      <c r="AB352">
        <f>+DB!V352</f>
        <v>0</v>
      </c>
      <c r="AC352" t="str">
        <f t="shared" si="17"/>
        <v>56-4</v>
      </c>
      <c r="AD352" s="21" t="s">
        <v>72</v>
      </c>
      <c r="AE352">
        <f>+DB!X352</f>
        <v>0</v>
      </c>
      <c r="AF352" s="22">
        <f>+DB!Y352</f>
        <v>0</v>
      </c>
      <c r="AG352">
        <f>+DB!AK352</f>
        <v>0</v>
      </c>
    </row>
    <row r="353" spans="1:33" x14ac:dyDescent="0.2">
      <c r="A353">
        <f>+DB!C353</f>
        <v>0</v>
      </c>
      <c r="B353">
        <f>+DB!D353</f>
        <v>0</v>
      </c>
      <c r="C353">
        <f>+DB!E353</f>
        <v>0</v>
      </c>
      <c r="D353">
        <f t="shared" si="15"/>
        <v>0</v>
      </c>
      <c r="E353">
        <f>+DB!G353</f>
        <v>0</v>
      </c>
      <c r="F353">
        <f>+DB!H353</f>
        <v>0</v>
      </c>
      <c r="G353">
        <f>+DB!N353</f>
        <v>0</v>
      </c>
      <c r="H353">
        <f>+DB!O353</f>
        <v>0</v>
      </c>
      <c r="I353">
        <f>+DB!I353</f>
        <v>0</v>
      </c>
      <c r="J353">
        <f>+DB!J353</f>
        <v>0</v>
      </c>
      <c r="K353">
        <f>+DB!L353</f>
        <v>0</v>
      </c>
      <c r="L353" t="str">
        <f t="shared" si="16"/>
        <v/>
      </c>
      <c r="M353" t="str">
        <f>+IF(LEFT(DB!M353,3)="13/","CAC","MAD")</f>
        <v>MAD</v>
      </c>
      <c r="N353" t="str">
        <f>+RIGHT(DB!M353,6)</f>
        <v/>
      </c>
      <c r="O353">
        <v>95</v>
      </c>
      <c r="P353">
        <v>5</v>
      </c>
      <c r="Q353">
        <f>+DB!AB353</f>
        <v>0</v>
      </c>
      <c r="R353">
        <f>+DB!K353</f>
        <v>0</v>
      </c>
      <c r="S353">
        <f>+DB!F353</f>
        <v>0</v>
      </c>
      <c r="T353">
        <f>+IF(DB!F353="AAAC-35",1,3)</f>
        <v>3</v>
      </c>
      <c r="U353">
        <f>+DB!R353</f>
        <v>0</v>
      </c>
      <c r="V353">
        <f>+IF(DB!P353="1RI",1,0)+IF(DB!P353="2RI",2,0)</f>
        <v>0</v>
      </c>
      <c r="W353">
        <f>+IF(DB!P353="1RV",1,0)+IF(DB!P353="2RV",2,0)</f>
        <v>0</v>
      </c>
      <c r="X353">
        <f>+IF(DB!P353="RYI",1,0)</f>
        <v>0</v>
      </c>
      <c r="Y353">
        <f>+IF(DB!P353="RYV",1,0)</f>
        <v>0</v>
      </c>
      <c r="Z353">
        <f>+DB!U353</f>
        <v>0</v>
      </c>
      <c r="AA353">
        <f>+IF(DB!F353="AAAC-35",19.5,33)</f>
        <v>33</v>
      </c>
      <c r="AB353">
        <f>+DB!V353</f>
        <v>0</v>
      </c>
      <c r="AC353" t="str">
        <f t="shared" si="17"/>
        <v>56-4</v>
      </c>
      <c r="AD353" s="21" t="s">
        <v>72</v>
      </c>
      <c r="AE353">
        <f>+DB!X353</f>
        <v>0</v>
      </c>
      <c r="AF353" s="22">
        <f>+DB!Y353</f>
        <v>0</v>
      </c>
      <c r="AG353">
        <f>+DB!AK353</f>
        <v>0</v>
      </c>
    </row>
    <row r="354" spans="1:33" x14ac:dyDescent="0.2">
      <c r="A354">
        <f>+DB!C354</f>
        <v>0</v>
      </c>
      <c r="B354">
        <f>+DB!D354</f>
        <v>0</v>
      </c>
      <c r="C354">
        <f>+DB!E354</f>
        <v>0</v>
      </c>
      <c r="D354">
        <f t="shared" si="15"/>
        <v>0</v>
      </c>
      <c r="E354">
        <f>+DB!G354</f>
        <v>0</v>
      </c>
      <c r="F354">
        <f>+DB!H354</f>
        <v>0</v>
      </c>
      <c r="G354">
        <f>+DB!N354</f>
        <v>0</v>
      </c>
      <c r="H354">
        <f>+DB!O354</f>
        <v>0</v>
      </c>
      <c r="I354">
        <f>+DB!I354</f>
        <v>0</v>
      </c>
      <c r="J354">
        <f>+DB!J354</f>
        <v>0</v>
      </c>
      <c r="K354">
        <f>+DB!L354</f>
        <v>0</v>
      </c>
      <c r="L354" t="str">
        <f t="shared" si="16"/>
        <v/>
      </c>
      <c r="M354" t="str">
        <f>+IF(LEFT(DB!M354,3)="13/","CAC","MAD")</f>
        <v>MAD</v>
      </c>
      <c r="N354" t="str">
        <f>+RIGHT(DB!M354,6)</f>
        <v/>
      </c>
      <c r="O354">
        <v>95</v>
      </c>
      <c r="P354">
        <v>5</v>
      </c>
      <c r="Q354">
        <f>+DB!AB354</f>
        <v>0</v>
      </c>
      <c r="R354">
        <f>+DB!K354</f>
        <v>0</v>
      </c>
      <c r="S354">
        <f>+DB!F354</f>
        <v>0</v>
      </c>
      <c r="T354">
        <f>+IF(DB!F354="AAAC-35",1,3)</f>
        <v>3</v>
      </c>
      <c r="U354">
        <f>+DB!R354</f>
        <v>0</v>
      </c>
      <c r="V354">
        <f>+IF(DB!P354="1RI",1,0)+IF(DB!P354="2RI",2,0)</f>
        <v>0</v>
      </c>
      <c r="W354">
        <f>+IF(DB!P354="1RV",1,0)+IF(DB!P354="2RV",2,0)</f>
        <v>0</v>
      </c>
      <c r="X354">
        <f>+IF(DB!P354="RYI",1,0)</f>
        <v>0</v>
      </c>
      <c r="Y354">
        <f>+IF(DB!P354="RYV",1,0)</f>
        <v>0</v>
      </c>
      <c r="Z354">
        <f>+DB!U354</f>
        <v>0</v>
      </c>
      <c r="AA354">
        <f>+IF(DB!F354="AAAC-35",19.5,33)</f>
        <v>33</v>
      </c>
      <c r="AB354">
        <f>+DB!V354</f>
        <v>0</v>
      </c>
      <c r="AC354" t="str">
        <f t="shared" si="17"/>
        <v>56-4</v>
      </c>
      <c r="AD354" s="21" t="s">
        <v>72</v>
      </c>
      <c r="AE354">
        <f>+DB!X354</f>
        <v>0</v>
      </c>
      <c r="AF354" s="22">
        <f>+DB!Y354</f>
        <v>0</v>
      </c>
      <c r="AG354">
        <f>+DB!AK354</f>
        <v>0</v>
      </c>
    </row>
    <row r="355" spans="1:33" x14ac:dyDescent="0.2">
      <c r="A355">
        <f>+DB!C355</f>
        <v>0</v>
      </c>
      <c r="B355">
        <f>+DB!D355</f>
        <v>0</v>
      </c>
      <c r="C355">
        <f>+DB!E355</f>
        <v>0</v>
      </c>
      <c r="D355">
        <f t="shared" si="15"/>
        <v>0</v>
      </c>
      <c r="E355">
        <f>+DB!G355</f>
        <v>0</v>
      </c>
      <c r="F355">
        <f>+DB!H355</f>
        <v>0</v>
      </c>
      <c r="G355">
        <f>+DB!N355</f>
        <v>0</v>
      </c>
      <c r="H355">
        <f>+DB!O355</f>
        <v>0</v>
      </c>
      <c r="I355">
        <f>+DB!I355</f>
        <v>0</v>
      </c>
      <c r="J355">
        <f>+DB!J355</f>
        <v>0</v>
      </c>
      <c r="K355">
        <f>+DB!L355</f>
        <v>0</v>
      </c>
      <c r="L355" t="str">
        <f t="shared" si="16"/>
        <v/>
      </c>
      <c r="M355" t="str">
        <f>+IF(LEFT(DB!M355,3)="13/","CAC","MAD")</f>
        <v>MAD</v>
      </c>
      <c r="N355" t="str">
        <f>+RIGHT(DB!M355,6)</f>
        <v/>
      </c>
      <c r="O355">
        <v>95</v>
      </c>
      <c r="P355">
        <v>5</v>
      </c>
      <c r="Q355">
        <f>+DB!AB355</f>
        <v>0</v>
      </c>
      <c r="R355">
        <f>+DB!K355</f>
        <v>0</v>
      </c>
      <c r="S355">
        <f>+DB!F355</f>
        <v>0</v>
      </c>
      <c r="T355">
        <f>+IF(DB!F355="AAAC-35",1,3)</f>
        <v>3</v>
      </c>
      <c r="U355">
        <f>+DB!R355</f>
        <v>0</v>
      </c>
      <c r="V355">
        <f>+IF(DB!P355="1RI",1,0)+IF(DB!P355="2RI",2,0)</f>
        <v>0</v>
      </c>
      <c r="W355">
        <f>+IF(DB!P355="1RV",1,0)+IF(DB!P355="2RV",2,0)</f>
        <v>0</v>
      </c>
      <c r="X355">
        <f>+IF(DB!P355="RYI",1,0)</f>
        <v>0</v>
      </c>
      <c r="Y355">
        <f>+IF(DB!P355="RYV",1,0)</f>
        <v>0</v>
      </c>
      <c r="Z355">
        <f>+DB!U355</f>
        <v>0</v>
      </c>
      <c r="AA355">
        <f>+IF(DB!F355="AAAC-35",19.5,33)</f>
        <v>33</v>
      </c>
      <c r="AB355">
        <f>+DB!V355</f>
        <v>0</v>
      </c>
      <c r="AC355" t="str">
        <f t="shared" si="17"/>
        <v>56-4</v>
      </c>
      <c r="AD355" s="21" t="s">
        <v>72</v>
      </c>
      <c r="AE355">
        <f>+DB!X355</f>
        <v>0</v>
      </c>
      <c r="AF355" s="22">
        <f>+DB!Y355</f>
        <v>0</v>
      </c>
      <c r="AG355">
        <f>+DB!AK355</f>
        <v>0</v>
      </c>
    </row>
    <row r="356" spans="1:33" x14ac:dyDescent="0.2">
      <c r="A356">
        <f>+DB!C356</f>
        <v>0</v>
      </c>
      <c r="B356">
        <f>+DB!D356</f>
        <v>0</v>
      </c>
      <c r="C356">
        <f>+DB!E356</f>
        <v>0</v>
      </c>
      <c r="D356">
        <f t="shared" si="15"/>
        <v>0</v>
      </c>
      <c r="E356">
        <f>+DB!G356</f>
        <v>0</v>
      </c>
      <c r="F356">
        <f>+DB!H356</f>
        <v>0</v>
      </c>
      <c r="G356">
        <f>+DB!N356</f>
        <v>0</v>
      </c>
      <c r="H356">
        <f>+DB!O356</f>
        <v>0</v>
      </c>
      <c r="I356">
        <f>+DB!I356</f>
        <v>0</v>
      </c>
      <c r="J356">
        <f>+DB!J356</f>
        <v>0</v>
      </c>
      <c r="K356">
        <f>+DB!L356</f>
        <v>0</v>
      </c>
      <c r="L356" t="str">
        <f t="shared" si="16"/>
        <v/>
      </c>
      <c r="M356" t="str">
        <f>+IF(LEFT(DB!M356,3)="13/","CAC","MAD")</f>
        <v>MAD</v>
      </c>
      <c r="N356" t="str">
        <f>+RIGHT(DB!M356,6)</f>
        <v/>
      </c>
      <c r="O356">
        <v>95</v>
      </c>
      <c r="P356">
        <v>5</v>
      </c>
      <c r="Q356">
        <f>+DB!AB356</f>
        <v>0</v>
      </c>
      <c r="R356">
        <f>+DB!K356</f>
        <v>0</v>
      </c>
      <c r="S356">
        <f>+DB!F356</f>
        <v>0</v>
      </c>
      <c r="T356">
        <f>+IF(DB!F356="AAAC-35",1,3)</f>
        <v>3</v>
      </c>
      <c r="U356">
        <f>+DB!R356</f>
        <v>0</v>
      </c>
      <c r="V356">
        <f>+IF(DB!P356="1RI",1,0)+IF(DB!P356="2RI",2,0)</f>
        <v>0</v>
      </c>
      <c r="W356">
        <f>+IF(DB!P356="1RV",1,0)+IF(DB!P356="2RV",2,0)</f>
        <v>0</v>
      </c>
      <c r="X356">
        <f>+IF(DB!P356="RYI",1,0)</f>
        <v>0</v>
      </c>
      <c r="Y356">
        <f>+IF(DB!P356="RYV",1,0)</f>
        <v>0</v>
      </c>
      <c r="Z356">
        <f>+DB!U356</f>
        <v>0</v>
      </c>
      <c r="AA356">
        <f>+IF(DB!F356="AAAC-35",19.5,33)</f>
        <v>33</v>
      </c>
      <c r="AB356">
        <f>+DB!V356</f>
        <v>0</v>
      </c>
      <c r="AC356" t="str">
        <f t="shared" si="17"/>
        <v>56-4</v>
      </c>
      <c r="AD356" s="21" t="s">
        <v>72</v>
      </c>
      <c r="AE356">
        <f>+DB!X356</f>
        <v>0</v>
      </c>
      <c r="AF356" s="22">
        <f>+DB!Y356</f>
        <v>0</v>
      </c>
      <c r="AG356">
        <f>+DB!AK356</f>
        <v>0</v>
      </c>
    </row>
    <row r="357" spans="1:33" x14ac:dyDescent="0.2">
      <c r="A357">
        <f>+DB!C357</f>
        <v>0</v>
      </c>
      <c r="B357">
        <f>+DB!D357</f>
        <v>0</v>
      </c>
      <c r="C357">
        <f>+DB!E357</f>
        <v>0</v>
      </c>
      <c r="D357">
        <f t="shared" si="15"/>
        <v>0</v>
      </c>
      <c r="E357">
        <f>+DB!G357</f>
        <v>0</v>
      </c>
      <c r="F357">
        <f>+DB!H357</f>
        <v>0</v>
      </c>
      <c r="G357">
        <f>+DB!N357</f>
        <v>0</v>
      </c>
      <c r="H357">
        <f>+DB!O357</f>
        <v>0</v>
      </c>
      <c r="I357">
        <f>+DB!I357</f>
        <v>0</v>
      </c>
      <c r="J357">
        <f>+DB!J357</f>
        <v>0</v>
      </c>
      <c r="K357">
        <f>+DB!L357</f>
        <v>0</v>
      </c>
      <c r="L357" t="str">
        <f t="shared" si="16"/>
        <v/>
      </c>
      <c r="M357" t="str">
        <f>+IF(LEFT(DB!M357,3)="13/","CAC","MAD")</f>
        <v>MAD</v>
      </c>
      <c r="N357" t="str">
        <f>+RIGHT(DB!M357,6)</f>
        <v/>
      </c>
      <c r="O357">
        <v>95</v>
      </c>
      <c r="P357">
        <v>5</v>
      </c>
      <c r="Q357">
        <f>+DB!AB357</f>
        <v>0</v>
      </c>
      <c r="R357">
        <f>+DB!K357</f>
        <v>0</v>
      </c>
      <c r="S357">
        <f>+DB!F357</f>
        <v>0</v>
      </c>
      <c r="T357">
        <f>+IF(DB!F357="AAAC-35",1,3)</f>
        <v>3</v>
      </c>
      <c r="U357">
        <f>+DB!R357</f>
        <v>0</v>
      </c>
      <c r="V357">
        <f>+IF(DB!P357="1RI",1,0)+IF(DB!P357="2RI",2,0)</f>
        <v>0</v>
      </c>
      <c r="W357">
        <f>+IF(DB!P357="1RV",1,0)+IF(DB!P357="2RV",2,0)</f>
        <v>0</v>
      </c>
      <c r="X357">
        <f>+IF(DB!P357="RYI",1,0)</f>
        <v>0</v>
      </c>
      <c r="Y357">
        <f>+IF(DB!P357="RYV",1,0)</f>
        <v>0</v>
      </c>
      <c r="Z357">
        <f>+DB!U357</f>
        <v>0</v>
      </c>
      <c r="AA357">
        <f>+IF(DB!F357="AAAC-35",19.5,33)</f>
        <v>33</v>
      </c>
      <c r="AB357">
        <f>+DB!V357</f>
        <v>0</v>
      </c>
      <c r="AC357" t="str">
        <f t="shared" si="17"/>
        <v>56-4</v>
      </c>
      <c r="AD357" s="21" t="s">
        <v>72</v>
      </c>
      <c r="AE357">
        <f>+DB!X357</f>
        <v>0</v>
      </c>
      <c r="AF357" s="22">
        <f>+DB!Y357</f>
        <v>0</v>
      </c>
      <c r="AG357">
        <f>+DB!AK357</f>
        <v>0</v>
      </c>
    </row>
    <row r="358" spans="1:33" x14ac:dyDescent="0.2">
      <c r="A358">
        <f>+DB!C358</f>
        <v>0</v>
      </c>
      <c r="B358">
        <f>+DB!D358</f>
        <v>0</v>
      </c>
      <c r="C358">
        <f>+DB!E358</f>
        <v>0</v>
      </c>
      <c r="D358">
        <f t="shared" si="15"/>
        <v>0</v>
      </c>
      <c r="E358">
        <f>+DB!G358</f>
        <v>0</v>
      </c>
      <c r="F358">
        <f>+DB!H358</f>
        <v>0</v>
      </c>
      <c r="G358">
        <f>+DB!N358</f>
        <v>0</v>
      </c>
      <c r="H358">
        <f>+DB!O358</f>
        <v>0</v>
      </c>
      <c r="I358">
        <f>+DB!I358</f>
        <v>0</v>
      </c>
      <c r="J358">
        <f>+DB!J358</f>
        <v>0</v>
      </c>
      <c r="K358">
        <f>+DB!L358</f>
        <v>0</v>
      </c>
      <c r="L358" t="str">
        <f t="shared" si="16"/>
        <v/>
      </c>
      <c r="M358" t="str">
        <f>+IF(LEFT(DB!M358,3)="13/","CAC","MAD")</f>
        <v>MAD</v>
      </c>
      <c r="N358" t="str">
        <f>+RIGHT(DB!M358,6)</f>
        <v/>
      </c>
      <c r="O358">
        <v>95</v>
      </c>
      <c r="P358">
        <v>5</v>
      </c>
      <c r="Q358">
        <f>+DB!AB358</f>
        <v>0</v>
      </c>
      <c r="R358">
        <f>+DB!K358</f>
        <v>0</v>
      </c>
      <c r="S358">
        <f>+DB!F358</f>
        <v>0</v>
      </c>
      <c r="T358">
        <f>+IF(DB!F358="AAAC-35",1,3)</f>
        <v>3</v>
      </c>
      <c r="U358">
        <f>+DB!R358</f>
        <v>0</v>
      </c>
      <c r="V358">
        <f>+IF(DB!P358="1RI",1,0)+IF(DB!P358="2RI",2,0)</f>
        <v>0</v>
      </c>
      <c r="W358">
        <f>+IF(DB!P358="1RV",1,0)+IF(DB!P358="2RV",2,0)</f>
        <v>0</v>
      </c>
      <c r="X358">
        <f>+IF(DB!P358="RYI",1,0)</f>
        <v>0</v>
      </c>
      <c r="Y358">
        <f>+IF(DB!P358="RYV",1,0)</f>
        <v>0</v>
      </c>
      <c r="Z358">
        <f>+DB!U358</f>
        <v>0</v>
      </c>
      <c r="AA358">
        <f>+IF(DB!F358="AAAC-35",19.5,33)</f>
        <v>33</v>
      </c>
      <c r="AB358">
        <f>+DB!V358</f>
        <v>0</v>
      </c>
      <c r="AC358" t="str">
        <f t="shared" si="17"/>
        <v>56-4</v>
      </c>
      <c r="AD358" s="21" t="s">
        <v>72</v>
      </c>
      <c r="AE358">
        <f>+DB!X358</f>
        <v>0</v>
      </c>
      <c r="AF358" s="22">
        <f>+DB!Y358</f>
        <v>0</v>
      </c>
      <c r="AG358">
        <f>+DB!AK358</f>
        <v>0</v>
      </c>
    </row>
    <row r="359" spans="1:33" x14ac:dyDescent="0.2">
      <c r="A359">
        <f>+DB!C359</f>
        <v>0</v>
      </c>
      <c r="B359">
        <f>+DB!D359</f>
        <v>0</v>
      </c>
      <c r="C359">
        <f>+DB!E359</f>
        <v>0</v>
      </c>
      <c r="D359">
        <f t="shared" si="15"/>
        <v>0</v>
      </c>
      <c r="E359">
        <f>+DB!G359</f>
        <v>0</v>
      </c>
      <c r="F359">
        <f>+DB!H359</f>
        <v>0</v>
      </c>
      <c r="G359">
        <f>+DB!N359</f>
        <v>0</v>
      </c>
      <c r="H359">
        <f>+DB!O359</f>
        <v>0</v>
      </c>
      <c r="I359">
        <f>+DB!I359</f>
        <v>0</v>
      </c>
      <c r="J359">
        <f>+DB!J359</f>
        <v>0</v>
      </c>
      <c r="K359">
        <f>+DB!L359</f>
        <v>0</v>
      </c>
      <c r="L359" t="str">
        <f t="shared" si="16"/>
        <v/>
      </c>
      <c r="M359" t="str">
        <f>+IF(LEFT(DB!M359,3)="13/","CAC","MAD")</f>
        <v>MAD</v>
      </c>
      <c r="N359" t="str">
        <f>+RIGHT(DB!M359,6)</f>
        <v/>
      </c>
      <c r="O359">
        <v>95</v>
      </c>
      <c r="P359">
        <v>5</v>
      </c>
      <c r="Q359">
        <f>+DB!AB359</f>
        <v>0</v>
      </c>
      <c r="R359">
        <f>+DB!K359</f>
        <v>0</v>
      </c>
      <c r="S359">
        <f>+DB!F359</f>
        <v>0</v>
      </c>
      <c r="T359">
        <f>+IF(DB!F359="AAAC-35",1,3)</f>
        <v>3</v>
      </c>
      <c r="U359">
        <f>+DB!R359</f>
        <v>0</v>
      </c>
      <c r="V359">
        <f>+IF(DB!P359="1RI",1,0)+IF(DB!P359="2RI",2,0)</f>
        <v>0</v>
      </c>
      <c r="W359">
        <f>+IF(DB!P359="1RV",1,0)+IF(DB!P359="2RV",2,0)</f>
        <v>0</v>
      </c>
      <c r="X359">
        <f>+IF(DB!P359="RYI",1,0)</f>
        <v>0</v>
      </c>
      <c r="Y359">
        <f>+IF(DB!P359="RYV",1,0)</f>
        <v>0</v>
      </c>
      <c r="Z359">
        <f>+DB!U359</f>
        <v>0</v>
      </c>
      <c r="AA359">
        <f>+IF(DB!F359="AAAC-35",19.5,33)</f>
        <v>33</v>
      </c>
      <c r="AB359">
        <f>+DB!V359</f>
        <v>0</v>
      </c>
      <c r="AC359" t="str">
        <f t="shared" si="17"/>
        <v>56-4</v>
      </c>
      <c r="AD359" s="21" t="s">
        <v>72</v>
      </c>
      <c r="AE359">
        <f>+DB!X359</f>
        <v>0</v>
      </c>
      <c r="AF359" s="22">
        <f>+DB!Y359</f>
        <v>0</v>
      </c>
      <c r="AG359">
        <f>+DB!AK359</f>
        <v>0</v>
      </c>
    </row>
    <row r="360" spans="1:33" x14ac:dyDescent="0.2">
      <c r="A360">
        <f>+DB!C360</f>
        <v>0</v>
      </c>
      <c r="B360">
        <f>+DB!D360</f>
        <v>0</v>
      </c>
      <c r="C360">
        <f>+DB!E360</f>
        <v>0</v>
      </c>
      <c r="D360">
        <f t="shared" si="15"/>
        <v>0</v>
      </c>
      <c r="E360">
        <f>+DB!G360</f>
        <v>0</v>
      </c>
      <c r="F360">
        <f>+DB!H360</f>
        <v>0</v>
      </c>
      <c r="G360">
        <f>+DB!N360</f>
        <v>0</v>
      </c>
      <c r="H360">
        <f>+DB!O360</f>
        <v>0</v>
      </c>
      <c r="I360">
        <f>+DB!I360</f>
        <v>0</v>
      </c>
      <c r="J360">
        <f>+DB!J360</f>
        <v>0</v>
      </c>
      <c r="K360">
        <f>+DB!L360</f>
        <v>0</v>
      </c>
      <c r="L360" t="str">
        <f t="shared" si="16"/>
        <v/>
      </c>
      <c r="M360" t="str">
        <f>+IF(LEFT(DB!M360,3)="13/","CAC","MAD")</f>
        <v>MAD</v>
      </c>
      <c r="N360" t="str">
        <f>+RIGHT(DB!M360,6)</f>
        <v/>
      </c>
      <c r="O360">
        <v>95</v>
      </c>
      <c r="P360">
        <v>5</v>
      </c>
      <c r="Q360">
        <f>+DB!AB360</f>
        <v>0</v>
      </c>
      <c r="R360">
        <f>+DB!K360</f>
        <v>0</v>
      </c>
      <c r="S360">
        <f>+DB!F360</f>
        <v>0</v>
      </c>
      <c r="T360">
        <f>+IF(DB!F360="AAAC-35",1,3)</f>
        <v>3</v>
      </c>
      <c r="U360">
        <f>+DB!R360</f>
        <v>0</v>
      </c>
      <c r="V360">
        <f>+IF(DB!P360="1RI",1,0)+IF(DB!P360="2RI",2,0)</f>
        <v>0</v>
      </c>
      <c r="W360">
        <f>+IF(DB!P360="1RV",1,0)+IF(DB!P360="2RV",2,0)</f>
        <v>0</v>
      </c>
      <c r="X360">
        <f>+IF(DB!P360="RYI",1,0)</f>
        <v>0</v>
      </c>
      <c r="Y360">
        <f>+IF(DB!P360="RYV",1,0)</f>
        <v>0</v>
      </c>
      <c r="Z360">
        <f>+DB!U360</f>
        <v>0</v>
      </c>
      <c r="AA360">
        <f>+IF(DB!F360="AAAC-35",19.5,33)</f>
        <v>33</v>
      </c>
      <c r="AB360">
        <f>+DB!V360</f>
        <v>0</v>
      </c>
      <c r="AC360" t="str">
        <f t="shared" si="17"/>
        <v>56-4</v>
      </c>
      <c r="AD360" s="21" t="s">
        <v>72</v>
      </c>
      <c r="AE360">
        <f>+DB!X360</f>
        <v>0</v>
      </c>
      <c r="AF360" s="22">
        <f>+DB!Y360</f>
        <v>0</v>
      </c>
      <c r="AG360">
        <f>+DB!AK360</f>
        <v>0</v>
      </c>
    </row>
    <row r="361" spans="1:33" x14ac:dyDescent="0.2">
      <c r="A361">
        <f>+DB!C361</f>
        <v>0</v>
      </c>
      <c r="B361">
        <f>+DB!D361</f>
        <v>0</v>
      </c>
      <c r="C361">
        <f>+DB!E361</f>
        <v>0</v>
      </c>
      <c r="D361">
        <f t="shared" si="15"/>
        <v>0</v>
      </c>
      <c r="E361">
        <f>+DB!G361</f>
        <v>0</v>
      </c>
      <c r="F361">
        <f>+DB!H361</f>
        <v>0</v>
      </c>
      <c r="G361">
        <f>+DB!N361</f>
        <v>0</v>
      </c>
      <c r="H361">
        <f>+DB!O361</f>
        <v>0</v>
      </c>
      <c r="I361">
        <f>+DB!I361</f>
        <v>0</v>
      </c>
      <c r="J361">
        <f>+DB!J361</f>
        <v>0</v>
      </c>
      <c r="K361">
        <f>+DB!L361</f>
        <v>0</v>
      </c>
      <c r="L361" t="str">
        <f t="shared" si="16"/>
        <v/>
      </c>
      <c r="M361" t="str">
        <f>+IF(LEFT(DB!M361,3)="13/","CAC","MAD")</f>
        <v>MAD</v>
      </c>
      <c r="N361" t="str">
        <f>+RIGHT(DB!M361,6)</f>
        <v/>
      </c>
      <c r="O361">
        <v>95</v>
      </c>
      <c r="P361">
        <v>5</v>
      </c>
      <c r="Q361">
        <f>+DB!AB361</f>
        <v>0</v>
      </c>
      <c r="R361">
        <f>+DB!K361</f>
        <v>0</v>
      </c>
      <c r="S361">
        <f>+DB!F361</f>
        <v>0</v>
      </c>
      <c r="T361">
        <f>+IF(DB!F361="AAAC-35",1,3)</f>
        <v>3</v>
      </c>
      <c r="U361">
        <f>+DB!R361</f>
        <v>0</v>
      </c>
      <c r="V361">
        <f>+IF(DB!P361="1RI",1,0)+IF(DB!P361="2RI",2,0)</f>
        <v>0</v>
      </c>
      <c r="W361">
        <f>+IF(DB!P361="1RV",1,0)+IF(DB!P361="2RV",2,0)</f>
        <v>0</v>
      </c>
      <c r="X361">
        <f>+IF(DB!P361="RYI",1,0)</f>
        <v>0</v>
      </c>
      <c r="Y361">
        <f>+IF(DB!P361="RYV",1,0)</f>
        <v>0</v>
      </c>
      <c r="Z361">
        <f>+DB!U361</f>
        <v>0</v>
      </c>
      <c r="AA361">
        <f>+IF(DB!F361="AAAC-35",19.5,33)</f>
        <v>33</v>
      </c>
      <c r="AB361">
        <f>+DB!V361</f>
        <v>0</v>
      </c>
      <c r="AC361" t="str">
        <f t="shared" si="17"/>
        <v>56-4</v>
      </c>
      <c r="AD361" s="21" t="s">
        <v>72</v>
      </c>
      <c r="AE361">
        <f>+DB!X361</f>
        <v>0</v>
      </c>
      <c r="AF361" s="22">
        <f>+DB!Y361</f>
        <v>0</v>
      </c>
      <c r="AG361">
        <f>+DB!AK361</f>
        <v>0</v>
      </c>
    </row>
    <row r="362" spans="1:33" x14ac:dyDescent="0.2">
      <c r="A362">
        <f>+DB!C362</f>
        <v>0</v>
      </c>
      <c r="B362">
        <f>+DB!D362</f>
        <v>0</v>
      </c>
      <c r="C362">
        <f>+DB!E362</f>
        <v>0</v>
      </c>
      <c r="D362">
        <f t="shared" si="15"/>
        <v>0</v>
      </c>
      <c r="E362">
        <f>+DB!G362</f>
        <v>0</v>
      </c>
      <c r="F362">
        <f>+DB!H362</f>
        <v>0</v>
      </c>
      <c r="G362">
        <f>+DB!N362</f>
        <v>0</v>
      </c>
      <c r="H362">
        <f>+DB!O362</f>
        <v>0</v>
      </c>
      <c r="I362">
        <f>+DB!I362</f>
        <v>0</v>
      </c>
      <c r="J362">
        <f>+DB!J362</f>
        <v>0</v>
      </c>
      <c r="K362">
        <f>+DB!L362</f>
        <v>0</v>
      </c>
      <c r="L362" t="str">
        <f t="shared" si="16"/>
        <v/>
      </c>
      <c r="M362" t="str">
        <f>+IF(LEFT(DB!M362,3)="13/","CAC","MAD")</f>
        <v>MAD</v>
      </c>
      <c r="N362" t="str">
        <f>+RIGHT(DB!M362,6)</f>
        <v/>
      </c>
      <c r="O362">
        <v>95</v>
      </c>
      <c r="P362">
        <v>5</v>
      </c>
      <c r="Q362">
        <f>+DB!AB362</f>
        <v>0</v>
      </c>
      <c r="R362">
        <f>+DB!K362</f>
        <v>0</v>
      </c>
      <c r="S362">
        <f>+DB!F362</f>
        <v>0</v>
      </c>
      <c r="T362">
        <f>+IF(DB!F362="AAAC-35",1,3)</f>
        <v>3</v>
      </c>
      <c r="U362">
        <f>+DB!R362</f>
        <v>0</v>
      </c>
      <c r="V362">
        <f>+IF(DB!P362="1RI",1,0)+IF(DB!P362="2RI",2,0)</f>
        <v>0</v>
      </c>
      <c r="W362">
        <f>+IF(DB!P362="1RV",1,0)+IF(DB!P362="2RV",2,0)</f>
        <v>0</v>
      </c>
      <c r="X362">
        <f>+IF(DB!P362="RYI",1,0)</f>
        <v>0</v>
      </c>
      <c r="Y362">
        <f>+IF(DB!P362="RYV",1,0)</f>
        <v>0</v>
      </c>
      <c r="Z362">
        <f>+DB!U362</f>
        <v>0</v>
      </c>
      <c r="AA362">
        <f>+IF(DB!F362="AAAC-35",19.5,33)</f>
        <v>33</v>
      </c>
      <c r="AB362">
        <f>+DB!V362</f>
        <v>0</v>
      </c>
      <c r="AC362" t="str">
        <f t="shared" si="17"/>
        <v>56-4</v>
      </c>
      <c r="AD362" s="21" t="s">
        <v>72</v>
      </c>
      <c r="AE362">
        <f>+DB!X362</f>
        <v>0</v>
      </c>
      <c r="AF362" s="22">
        <f>+DB!Y362</f>
        <v>0</v>
      </c>
      <c r="AG362">
        <f>+DB!AK362</f>
        <v>0</v>
      </c>
    </row>
    <row r="363" spans="1:33" x14ac:dyDescent="0.2">
      <c r="A363">
        <f>+DB!C363</f>
        <v>0</v>
      </c>
      <c r="B363">
        <f>+DB!D363</f>
        <v>0</v>
      </c>
      <c r="C363">
        <f>+DB!E363</f>
        <v>0</v>
      </c>
      <c r="D363">
        <f t="shared" si="15"/>
        <v>0</v>
      </c>
      <c r="E363">
        <f>+DB!G363</f>
        <v>0</v>
      </c>
      <c r="F363">
        <f>+DB!H363</f>
        <v>0</v>
      </c>
      <c r="G363">
        <f>+DB!N363</f>
        <v>0</v>
      </c>
      <c r="H363">
        <f>+DB!O363</f>
        <v>0</v>
      </c>
      <c r="I363">
        <f>+DB!I363</f>
        <v>0</v>
      </c>
      <c r="J363">
        <f>+DB!J363</f>
        <v>0</v>
      </c>
      <c r="K363">
        <f>+DB!L363</f>
        <v>0</v>
      </c>
      <c r="L363" t="str">
        <f t="shared" si="16"/>
        <v/>
      </c>
      <c r="M363" t="str">
        <f>+IF(LEFT(DB!M363,3)="13/","CAC","MAD")</f>
        <v>MAD</v>
      </c>
      <c r="N363" t="str">
        <f>+RIGHT(DB!M363,6)</f>
        <v/>
      </c>
      <c r="O363">
        <v>95</v>
      </c>
      <c r="P363">
        <v>5</v>
      </c>
      <c r="Q363">
        <f>+DB!AB363</f>
        <v>0</v>
      </c>
      <c r="R363">
        <f>+DB!K363</f>
        <v>0</v>
      </c>
      <c r="S363">
        <f>+DB!F363</f>
        <v>0</v>
      </c>
      <c r="T363">
        <f>+IF(DB!F363="AAAC-35",1,3)</f>
        <v>3</v>
      </c>
      <c r="U363">
        <f>+DB!R363</f>
        <v>0</v>
      </c>
      <c r="V363">
        <f>+IF(DB!P363="1RI",1,0)+IF(DB!P363="2RI",2,0)</f>
        <v>0</v>
      </c>
      <c r="W363">
        <f>+IF(DB!P363="1RV",1,0)+IF(DB!P363="2RV",2,0)</f>
        <v>0</v>
      </c>
      <c r="X363">
        <f>+IF(DB!P363="RYI",1,0)</f>
        <v>0</v>
      </c>
      <c r="Y363">
        <f>+IF(DB!P363="RYV",1,0)</f>
        <v>0</v>
      </c>
      <c r="Z363">
        <f>+DB!U363</f>
        <v>0</v>
      </c>
      <c r="AA363">
        <f>+IF(DB!F363="AAAC-35",19.5,33)</f>
        <v>33</v>
      </c>
      <c r="AB363">
        <f>+DB!V363</f>
        <v>0</v>
      </c>
      <c r="AC363" t="str">
        <f t="shared" si="17"/>
        <v>56-4</v>
      </c>
      <c r="AD363" s="21" t="s">
        <v>72</v>
      </c>
      <c r="AE363">
        <f>+DB!X363</f>
        <v>0</v>
      </c>
      <c r="AF363" s="22">
        <f>+DB!Y363</f>
        <v>0</v>
      </c>
      <c r="AG363">
        <f>+DB!AK363</f>
        <v>0</v>
      </c>
    </row>
    <row r="364" spans="1:33" x14ac:dyDescent="0.2">
      <c r="A364">
        <f>+DB!C364</f>
        <v>0</v>
      </c>
      <c r="B364">
        <f>+DB!D364</f>
        <v>0</v>
      </c>
      <c r="C364">
        <f>+DB!E364</f>
        <v>0</v>
      </c>
      <c r="D364">
        <f t="shared" si="15"/>
        <v>0</v>
      </c>
      <c r="E364">
        <f>+DB!G364</f>
        <v>0</v>
      </c>
      <c r="F364">
        <f>+DB!H364</f>
        <v>0</v>
      </c>
      <c r="G364">
        <f>+DB!N364</f>
        <v>0</v>
      </c>
      <c r="H364">
        <f>+DB!O364</f>
        <v>0</v>
      </c>
      <c r="I364">
        <f>+DB!I364</f>
        <v>0</v>
      </c>
      <c r="J364">
        <f>+DB!J364</f>
        <v>0</v>
      </c>
      <c r="K364">
        <f>+DB!L364</f>
        <v>0</v>
      </c>
      <c r="L364" t="str">
        <f t="shared" si="16"/>
        <v/>
      </c>
      <c r="M364" t="str">
        <f>+IF(LEFT(DB!M364,3)="13/","CAC","MAD")</f>
        <v>MAD</v>
      </c>
      <c r="N364" t="str">
        <f>+RIGHT(DB!M364,6)</f>
        <v/>
      </c>
      <c r="O364">
        <v>95</v>
      </c>
      <c r="P364">
        <v>5</v>
      </c>
      <c r="Q364">
        <f>+DB!AB364</f>
        <v>0</v>
      </c>
      <c r="R364">
        <f>+DB!K364</f>
        <v>0</v>
      </c>
      <c r="S364">
        <f>+DB!F364</f>
        <v>0</v>
      </c>
      <c r="T364">
        <f>+IF(DB!F364="AAAC-35",1,3)</f>
        <v>3</v>
      </c>
      <c r="U364">
        <f>+DB!R364</f>
        <v>0</v>
      </c>
      <c r="V364">
        <f>+IF(DB!P364="1RI",1,0)+IF(DB!P364="2RI",2,0)</f>
        <v>0</v>
      </c>
      <c r="W364">
        <f>+IF(DB!P364="1RV",1,0)+IF(DB!P364="2RV",2,0)</f>
        <v>0</v>
      </c>
      <c r="X364">
        <f>+IF(DB!P364="RYI",1,0)</f>
        <v>0</v>
      </c>
      <c r="Y364">
        <f>+IF(DB!P364="RYV",1,0)</f>
        <v>0</v>
      </c>
      <c r="Z364">
        <f>+DB!U364</f>
        <v>0</v>
      </c>
      <c r="AA364">
        <f>+IF(DB!F364="AAAC-35",19.5,33)</f>
        <v>33</v>
      </c>
      <c r="AB364">
        <f>+DB!V364</f>
        <v>0</v>
      </c>
      <c r="AC364" t="str">
        <f t="shared" si="17"/>
        <v>56-4</v>
      </c>
      <c r="AD364" s="21" t="s">
        <v>72</v>
      </c>
      <c r="AE364">
        <f>+DB!X364</f>
        <v>0</v>
      </c>
      <c r="AF364" s="22">
        <f>+DB!Y364</f>
        <v>0</v>
      </c>
      <c r="AG364">
        <f>+DB!AK364</f>
        <v>0</v>
      </c>
    </row>
    <row r="365" spans="1:33" x14ac:dyDescent="0.2">
      <c r="A365">
        <f>+DB!C365</f>
        <v>0</v>
      </c>
      <c r="B365">
        <f>+DB!D365</f>
        <v>0</v>
      </c>
      <c r="C365">
        <f>+DB!E365</f>
        <v>0</v>
      </c>
      <c r="D365">
        <f t="shared" si="15"/>
        <v>0</v>
      </c>
      <c r="E365">
        <f>+DB!G365</f>
        <v>0</v>
      </c>
      <c r="F365">
        <f>+DB!H365</f>
        <v>0</v>
      </c>
      <c r="G365">
        <f>+DB!N365</f>
        <v>0</v>
      </c>
      <c r="H365">
        <f>+DB!O365</f>
        <v>0</v>
      </c>
      <c r="I365">
        <f>+DB!I365</f>
        <v>0</v>
      </c>
      <c r="J365">
        <f>+DB!J365</f>
        <v>0</v>
      </c>
      <c r="K365">
        <f>+DB!L365</f>
        <v>0</v>
      </c>
      <c r="L365" t="str">
        <f t="shared" si="16"/>
        <v/>
      </c>
      <c r="M365" t="str">
        <f>+IF(LEFT(DB!M365,3)="13/","CAC","MAD")</f>
        <v>MAD</v>
      </c>
      <c r="N365" t="str">
        <f>+RIGHT(DB!M365,6)</f>
        <v/>
      </c>
      <c r="O365">
        <v>95</v>
      </c>
      <c r="P365">
        <v>5</v>
      </c>
      <c r="Q365">
        <f>+DB!AB365</f>
        <v>0</v>
      </c>
      <c r="R365">
        <f>+DB!K365</f>
        <v>0</v>
      </c>
      <c r="S365">
        <f>+DB!F365</f>
        <v>0</v>
      </c>
      <c r="T365">
        <f>+IF(DB!F365="AAAC-35",1,3)</f>
        <v>3</v>
      </c>
      <c r="U365">
        <f>+DB!R365</f>
        <v>0</v>
      </c>
      <c r="V365">
        <f>+IF(DB!P365="1RI",1,0)+IF(DB!P365="2RI",2,0)</f>
        <v>0</v>
      </c>
      <c r="W365">
        <f>+IF(DB!P365="1RV",1,0)+IF(DB!P365="2RV",2,0)</f>
        <v>0</v>
      </c>
      <c r="X365">
        <f>+IF(DB!P365="RYI",1,0)</f>
        <v>0</v>
      </c>
      <c r="Y365">
        <f>+IF(DB!P365="RYV",1,0)</f>
        <v>0</v>
      </c>
      <c r="Z365">
        <f>+DB!U365</f>
        <v>0</v>
      </c>
      <c r="AA365">
        <f>+IF(DB!F365="AAAC-35",19.5,33)</f>
        <v>33</v>
      </c>
      <c r="AB365">
        <f>+DB!V365</f>
        <v>0</v>
      </c>
      <c r="AC365" t="str">
        <f t="shared" si="17"/>
        <v>56-4</v>
      </c>
      <c r="AD365" s="21" t="s">
        <v>72</v>
      </c>
      <c r="AE365">
        <f>+DB!X365</f>
        <v>0</v>
      </c>
      <c r="AF365" s="22">
        <f>+DB!Y365</f>
        <v>0</v>
      </c>
      <c r="AG365">
        <f>+DB!AK365</f>
        <v>0</v>
      </c>
    </row>
    <row r="366" spans="1:33" x14ac:dyDescent="0.2">
      <c r="A366">
        <f>+DB!C366</f>
        <v>0</v>
      </c>
      <c r="B366">
        <f>+DB!D366</f>
        <v>0</v>
      </c>
      <c r="C366">
        <f>+DB!E366</f>
        <v>0</v>
      </c>
      <c r="D366">
        <f t="shared" si="15"/>
        <v>0</v>
      </c>
      <c r="E366">
        <f>+DB!G366</f>
        <v>0</v>
      </c>
      <c r="F366">
        <f>+DB!H366</f>
        <v>0</v>
      </c>
      <c r="G366">
        <f>+DB!N366</f>
        <v>0</v>
      </c>
      <c r="H366">
        <f>+DB!O366</f>
        <v>0</v>
      </c>
      <c r="I366">
        <f>+DB!I366</f>
        <v>0</v>
      </c>
      <c r="J366">
        <f>+DB!J366</f>
        <v>0</v>
      </c>
      <c r="K366">
        <f>+DB!L366</f>
        <v>0</v>
      </c>
      <c r="L366" t="str">
        <f t="shared" si="16"/>
        <v/>
      </c>
      <c r="M366" t="str">
        <f>+IF(LEFT(DB!M366,3)="13/","CAC","MAD")</f>
        <v>MAD</v>
      </c>
      <c r="N366" t="str">
        <f>+RIGHT(DB!M366,6)</f>
        <v/>
      </c>
      <c r="O366">
        <v>95</v>
      </c>
      <c r="P366">
        <v>5</v>
      </c>
      <c r="Q366">
        <f>+DB!AB366</f>
        <v>0</v>
      </c>
      <c r="R366">
        <f>+DB!K366</f>
        <v>0</v>
      </c>
      <c r="S366">
        <f>+DB!F366</f>
        <v>0</v>
      </c>
      <c r="T366">
        <f>+IF(DB!F366="AAAC-35",1,3)</f>
        <v>3</v>
      </c>
      <c r="U366">
        <f>+DB!R366</f>
        <v>0</v>
      </c>
      <c r="V366">
        <f>+IF(DB!P366="1RI",1,0)+IF(DB!P366="2RI",2,0)</f>
        <v>0</v>
      </c>
      <c r="W366">
        <f>+IF(DB!P366="1RV",1,0)+IF(DB!P366="2RV",2,0)</f>
        <v>0</v>
      </c>
      <c r="X366">
        <f>+IF(DB!P366="RYI",1,0)</f>
        <v>0</v>
      </c>
      <c r="Y366">
        <f>+IF(DB!P366="RYV",1,0)</f>
        <v>0</v>
      </c>
      <c r="Z366">
        <f>+DB!U366</f>
        <v>0</v>
      </c>
      <c r="AA366">
        <f>+IF(DB!F366="AAAC-35",19.5,33)</f>
        <v>33</v>
      </c>
      <c r="AB366">
        <f>+DB!V366</f>
        <v>0</v>
      </c>
      <c r="AC366" t="str">
        <f t="shared" si="17"/>
        <v>56-4</v>
      </c>
      <c r="AD366" s="21" t="s">
        <v>72</v>
      </c>
      <c r="AE366">
        <f>+DB!X366</f>
        <v>0</v>
      </c>
      <c r="AF366" s="22">
        <f>+DB!Y366</f>
        <v>0</v>
      </c>
      <c r="AG366">
        <f>+DB!AK366</f>
        <v>0</v>
      </c>
    </row>
    <row r="367" spans="1:33" x14ac:dyDescent="0.2">
      <c r="A367">
        <f>+DB!C367</f>
        <v>0</v>
      </c>
      <c r="B367">
        <f>+DB!D367</f>
        <v>0</v>
      </c>
      <c r="C367">
        <f>+DB!E367</f>
        <v>0</v>
      </c>
      <c r="D367">
        <f t="shared" si="15"/>
        <v>0</v>
      </c>
      <c r="E367">
        <f>+DB!G367</f>
        <v>0</v>
      </c>
      <c r="F367">
        <f>+DB!H367</f>
        <v>0</v>
      </c>
      <c r="G367">
        <f>+DB!N367</f>
        <v>0</v>
      </c>
      <c r="H367">
        <f>+DB!O367</f>
        <v>0</v>
      </c>
      <c r="I367">
        <f>+DB!I367</f>
        <v>0</v>
      </c>
      <c r="J367">
        <f>+DB!J367</f>
        <v>0</v>
      </c>
      <c r="K367">
        <f>+DB!L367</f>
        <v>0</v>
      </c>
      <c r="L367" t="str">
        <f t="shared" si="16"/>
        <v/>
      </c>
      <c r="M367" t="str">
        <f>+IF(LEFT(DB!M367,3)="13/","CAC","MAD")</f>
        <v>MAD</v>
      </c>
      <c r="N367" t="str">
        <f>+RIGHT(DB!M367,6)</f>
        <v/>
      </c>
      <c r="O367">
        <v>95</v>
      </c>
      <c r="P367">
        <v>5</v>
      </c>
      <c r="Q367">
        <f>+DB!AB367</f>
        <v>0</v>
      </c>
      <c r="R367">
        <f>+DB!K367</f>
        <v>0</v>
      </c>
      <c r="S367">
        <f>+DB!F367</f>
        <v>0</v>
      </c>
      <c r="T367">
        <f>+IF(DB!F367="AAAC-35",1,3)</f>
        <v>3</v>
      </c>
      <c r="U367">
        <f>+DB!R367</f>
        <v>0</v>
      </c>
      <c r="V367">
        <f>+IF(DB!P367="1RI",1,0)+IF(DB!P367="2RI",2,0)</f>
        <v>0</v>
      </c>
      <c r="W367">
        <f>+IF(DB!P367="1RV",1,0)+IF(DB!P367="2RV",2,0)</f>
        <v>0</v>
      </c>
      <c r="X367">
        <f>+IF(DB!P367="RYI",1,0)</f>
        <v>0</v>
      </c>
      <c r="Y367">
        <f>+IF(DB!P367="RYV",1,0)</f>
        <v>0</v>
      </c>
      <c r="Z367">
        <f>+DB!U367</f>
        <v>0</v>
      </c>
      <c r="AA367">
        <f>+IF(DB!F367="AAAC-35",19.5,33)</f>
        <v>33</v>
      </c>
      <c r="AB367">
        <f>+DB!V367</f>
        <v>0</v>
      </c>
      <c r="AC367" t="str">
        <f t="shared" si="17"/>
        <v>56-4</v>
      </c>
      <c r="AD367" s="21" t="s">
        <v>72</v>
      </c>
      <c r="AE367">
        <f>+DB!X367</f>
        <v>0</v>
      </c>
      <c r="AF367" s="22">
        <f>+DB!Y367</f>
        <v>0</v>
      </c>
      <c r="AG367">
        <f>+DB!AK367</f>
        <v>0</v>
      </c>
    </row>
    <row r="368" spans="1:33" x14ac:dyDescent="0.2">
      <c r="A368">
        <f>+DB!C368</f>
        <v>0</v>
      </c>
      <c r="B368">
        <f>+DB!D368</f>
        <v>0</v>
      </c>
      <c r="C368">
        <f>+DB!E368</f>
        <v>0</v>
      </c>
      <c r="D368">
        <f t="shared" si="15"/>
        <v>0</v>
      </c>
      <c r="E368">
        <f>+DB!G368</f>
        <v>0</v>
      </c>
      <c r="F368">
        <f>+DB!H368</f>
        <v>0</v>
      </c>
      <c r="G368">
        <f>+DB!N368</f>
        <v>0</v>
      </c>
      <c r="H368">
        <f>+DB!O368</f>
        <v>0</v>
      </c>
      <c r="I368">
        <f>+DB!I368</f>
        <v>0</v>
      </c>
      <c r="J368">
        <f>+DB!J368</f>
        <v>0</v>
      </c>
      <c r="K368">
        <f>+DB!L368</f>
        <v>0</v>
      </c>
      <c r="L368" t="str">
        <f t="shared" si="16"/>
        <v/>
      </c>
      <c r="M368" t="str">
        <f>+IF(LEFT(DB!M368,3)="13/","CAC","MAD")</f>
        <v>MAD</v>
      </c>
      <c r="N368" t="str">
        <f>+RIGHT(DB!M368,6)</f>
        <v/>
      </c>
      <c r="O368">
        <v>95</v>
      </c>
      <c r="P368">
        <v>5</v>
      </c>
      <c r="Q368">
        <f>+DB!AB368</f>
        <v>0</v>
      </c>
      <c r="R368">
        <f>+DB!K368</f>
        <v>0</v>
      </c>
      <c r="S368">
        <f>+DB!F368</f>
        <v>0</v>
      </c>
      <c r="T368">
        <f>+IF(DB!F368="AAAC-35",1,3)</f>
        <v>3</v>
      </c>
      <c r="U368">
        <f>+DB!R368</f>
        <v>0</v>
      </c>
      <c r="V368">
        <f>+IF(DB!P368="1RI",1,0)+IF(DB!P368="2RI",2,0)</f>
        <v>0</v>
      </c>
      <c r="W368">
        <f>+IF(DB!P368="1RV",1,0)+IF(DB!P368="2RV",2,0)</f>
        <v>0</v>
      </c>
      <c r="X368">
        <f>+IF(DB!P368="RYI",1,0)</f>
        <v>0</v>
      </c>
      <c r="Y368">
        <f>+IF(DB!P368="RYV",1,0)</f>
        <v>0</v>
      </c>
      <c r="Z368">
        <f>+DB!U368</f>
        <v>0</v>
      </c>
      <c r="AA368">
        <f>+IF(DB!F368="AAAC-35",19.5,33)</f>
        <v>33</v>
      </c>
      <c r="AB368">
        <f>+DB!V368</f>
        <v>0</v>
      </c>
      <c r="AC368" t="str">
        <f t="shared" si="17"/>
        <v>56-4</v>
      </c>
      <c r="AD368" s="21" t="s">
        <v>72</v>
      </c>
      <c r="AE368">
        <f>+DB!X368</f>
        <v>0</v>
      </c>
      <c r="AF368" s="22">
        <f>+DB!Y368</f>
        <v>0</v>
      </c>
      <c r="AG368">
        <f>+DB!AK368</f>
        <v>0</v>
      </c>
    </row>
    <row r="369" spans="1:33" x14ac:dyDescent="0.2">
      <c r="A369">
        <f>+DB!C369</f>
        <v>0</v>
      </c>
      <c r="B369">
        <f>+DB!D369</f>
        <v>0</v>
      </c>
      <c r="C369">
        <f>+DB!E369</f>
        <v>0</v>
      </c>
      <c r="D369">
        <f t="shared" si="15"/>
        <v>0</v>
      </c>
      <c r="E369">
        <f>+DB!G369</f>
        <v>0</v>
      </c>
      <c r="F369">
        <f>+DB!H369</f>
        <v>0</v>
      </c>
      <c r="G369">
        <f>+DB!N369</f>
        <v>0</v>
      </c>
      <c r="H369">
        <f>+DB!O369</f>
        <v>0</v>
      </c>
      <c r="I369">
        <f>+DB!I369</f>
        <v>0</v>
      </c>
      <c r="J369">
        <f>+DB!J369</f>
        <v>0</v>
      </c>
      <c r="K369">
        <f>+DB!L369</f>
        <v>0</v>
      </c>
      <c r="L369" t="str">
        <f t="shared" si="16"/>
        <v/>
      </c>
      <c r="M369" t="str">
        <f>+IF(LEFT(DB!M369,3)="13/","CAC","MAD")</f>
        <v>MAD</v>
      </c>
      <c r="N369" t="str">
        <f>+RIGHT(DB!M369,6)</f>
        <v/>
      </c>
      <c r="O369">
        <v>95</v>
      </c>
      <c r="P369">
        <v>5</v>
      </c>
      <c r="Q369">
        <f>+DB!AB369</f>
        <v>0</v>
      </c>
      <c r="R369">
        <f>+DB!K369</f>
        <v>0</v>
      </c>
      <c r="S369">
        <f>+DB!F369</f>
        <v>0</v>
      </c>
      <c r="T369">
        <f>+IF(DB!F369="AAAC-35",1,3)</f>
        <v>3</v>
      </c>
      <c r="U369">
        <f>+DB!R369</f>
        <v>0</v>
      </c>
      <c r="V369">
        <f>+IF(DB!P369="1RI",1,0)+IF(DB!P369="2RI",2,0)</f>
        <v>0</v>
      </c>
      <c r="W369">
        <f>+IF(DB!P369="1RV",1,0)+IF(DB!P369="2RV",2,0)</f>
        <v>0</v>
      </c>
      <c r="X369">
        <f>+IF(DB!P369="RYI",1,0)</f>
        <v>0</v>
      </c>
      <c r="Y369">
        <f>+IF(DB!P369="RYV",1,0)</f>
        <v>0</v>
      </c>
      <c r="Z369">
        <f>+DB!U369</f>
        <v>0</v>
      </c>
      <c r="AA369">
        <f>+IF(DB!F369="AAAC-35",19.5,33)</f>
        <v>33</v>
      </c>
      <c r="AB369">
        <f>+DB!V369</f>
        <v>0</v>
      </c>
      <c r="AC369" t="str">
        <f t="shared" si="17"/>
        <v>56-4</v>
      </c>
      <c r="AD369" s="21" t="s">
        <v>72</v>
      </c>
      <c r="AE369">
        <f>+DB!X369</f>
        <v>0</v>
      </c>
      <c r="AF369" s="22">
        <f>+DB!Y369</f>
        <v>0</v>
      </c>
      <c r="AG369">
        <f>+DB!AK369</f>
        <v>0</v>
      </c>
    </row>
    <row r="370" spans="1:33" x14ac:dyDescent="0.2">
      <c r="A370">
        <f>+DB!C370</f>
        <v>0</v>
      </c>
      <c r="B370">
        <f>+DB!D370</f>
        <v>0</v>
      </c>
      <c r="C370">
        <f>+DB!E370</f>
        <v>0</v>
      </c>
      <c r="D370">
        <f t="shared" si="15"/>
        <v>0</v>
      </c>
      <c r="E370">
        <f>+DB!G370</f>
        <v>0</v>
      </c>
      <c r="F370">
        <f>+DB!H370</f>
        <v>0</v>
      </c>
      <c r="G370">
        <f>+DB!N370</f>
        <v>0</v>
      </c>
      <c r="H370">
        <f>+DB!O370</f>
        <v>0</v>
      </c>
      <c r="I370">
        <f>+DB!I370</f>
        <v>0</v>
      </c>
      <c r="J370">
        <f>+DB!J370</f>
        <v>0</v>
      </c>
      <c r="K370">
        <f>+DB!L370</f>
        <v>0</v>
      </c>
      <c r="L370" t="str">
        <f t="shared" si="16"/>
        <v/>
      </c>
      <c r="M370" t="str">
        <f>+IF(LEFT(DB!M370,3)="13/","CAC","MAD")</f>
        <v>MAD</v>
      </c>
      <c r="N370" t="str">
        <f>+RIGHT(DB!M370,6)</f>
        <v/>
      </c>
      <c r="O370">
        <v>95</v>
      </c>
      <c r="P370">
        <v>5</v>
      </c>
      <c r="Q370">
        <f>+DB!AB370</f>
        <v>0</v>
      </c>
      <c r="R370">
        <f>+DB!K370</f>
        <v>0</v>
      </c>
      <c r="S370">
        <f>+DB!F370</f>
        <v>0</v>
      </c>
      <c r="T370">
        <f>+IF(DB!F370="AAAC-35",1,3)</f>
        <v>3</v>
      </c>
      <c r="U370">
        <f>+DB!R370</f>
        <v>0</v>
      </c>
      <c r="V370">
        <f>+IF(DB!P370="1RI",1,0)+IF(DB!P370="2RI",2,0)</f>
        <v>0</v>
      </c>
      <c r="W370">
        <f>+IF(DB!P370="1RV",1,0)+IF(DB!P370="2RV",2,0)</f>
        <v>0</v>
      </c>
      <c r="X370">
        <f>+IF(DB!P370="RYI",1,0)</f>
        <v>0</v>
      </c>
      <c r="Y370">
        <f>+IF(DB!P370="RYV",1,0)</f>
        <v>0</v>
      </c>
      <c r="Z370">
        <f>+DB!U370</f>
        <v>0</v>
      </c>
      <c r="AA370">
        <f>+IF(DB!F370="AAAC-35",19.5,33)</f>
        <v>33</v>
      </c>
      <c r="AB370">
        <f>+DB!V370</f>
        <v>0</v>
      </c>
      <c r="AC370" t="str">
        <f t="shared" si="17"/>
        <v>56-4</v>
      </c>
      <c r="AD370" s="21" t="s">
        <v>72</v>
      </c>
      <c r="AE370">
        <f>+DB!X370</f>
        <v>0</v>
      </c>
      <c r="AF370" s="22">
        <f>+DB!Y370</f>
        <v>0</v>
      </c>
      <c r="AG370">
        <f>+DB!AK370</f>
        <v>0</v>
      </c>
    </row>
    <row r="371" spans="1:33" x14ac:dyDescent="0.2">
      <c r="A371">
        <f>+DB!C371</f>
        <v>0</v>
      </c>
      <c r="B371">
        <f>+DB!D371</f>
        <v>0</v>
      </c>
      <c r="C371">
        <f>+DB!E371</f>
        <v>0</v>
      </c>
      <c r="D371">
        <f t="shared" si="15"/>
        <v>0</v>
      </c>
      <c r="E371">
        <f>+DB!G371</f>
        <v>0</v>
      </c>
      <c r="F371">
        <f>+DB!H371</f>
        <v>0</v>
      </c>
      <c r="G371">
        <f>+DB!N371</f>
        <v>0</v>
      </c>
      <c r="H371">
        <f>+DB!O371</f>
        <v>0</v>
      </c>
      <c r="I371">
        <f>+DB!I371</f>
        <v>0</v>
      </c>
      <c r="J371">
        <f>+DB!J371</f>
        <v>0</v>
      </c>
      <c r="K371">
        <f>+DB!L371</f>
        <v>0</v>
      </c>
      <c r="L371" t="str">
        <f t="shared" si="16"/>
        <v/>
      </c>
      <c r="M371" t="str">
        <f>+IF(LEFT(DB!M371,3)="13/","CAC","MAD")</f>
        <v>MAD</v>
      </c>
      <c r="N371" t="str">
        <f>+RIGHT(DB!M371,6)</f>
        <v/>
      </c>
      <c r="O371">
        <v>95</v>
      </c>
      <c r="P371">
        <v>5</v>
      </c>
      <c r="Q371">
        <f>+DB!AB371</f>
        <v>0</v>
      </c>
      <c r="R371">
        <f>+DB!K371</f>
        <v>0</v>
      </c>
      <c r="S371">
        <f>+DB!F371</f>
        <v>0</v>
      </c>
      <c r="T371">
        <f>+IF(DB!F371="AAAC-35",1,3)</f>
        <v>3</v>
      </c>
      <c r="U371">
        <f>+DB!R371</f>
        <v>0</v>
      </c>
      <c r="V371">
        <f>+IF(DB!P371="1RI",1,0)+IF(DB!P371="2RI",2,0)</f>
        <v>0</v>
      </c>
      <c r="W371">
        <f>+IF(DB!P371="1RV",1,0)+IF(DB!P371="2RV",2,0)</f>
        <v>0</v>
      </c>
      <c r="X371">
        <f>+IF(DB!P371="RYI",1,0)</f>
        <v>0</v>
      </c>
      <c r="Y371">
        <f>+IF(DB!P371="RYV",1,0)</f>
        <v>0</v>
      </c>
      <c r="Z371">
        <f>+DB!U371</f>
        <v>0</v>
      </c>
      <c r="AA371">
        <f>+IF(DB!F371="AAAC-35",19.5,33)</f>
        <v>33</v>
      </c>
      <c r="AB371">
        <f>+DB!V371</f>
        <v>0</v>
      </c>
      <c r="AC371" t="str">
        <f t="shared" si="17"/>
        <v>56-4</v>
      </c>
      <c r="AD371" s="21" t="s">
        <v>72</v>
      </c>
      <c r="AE371">
        <f>+DB!X371</f>
        <v>0</v>
      </c>
      <c r="AF371" s="22">
        <f>+DB!Y371</f>
        <v>0</v>
      </c>
      <c r="AG371">
        <f>+DB!AK371</f>
        <v>0</v>
      </c>
    </row>
    <row r="372" spans="1:33" x14ac:dyDescent="0.2">
      <c r="A372">
        <f>+DB!C372</f>
        <v>0</v>
      </c>
      <c r="B372">
        <f>+DB!D372</f>
        <v>0</v>
      </c>
      <c r="C372">
        <f>+DB!E372</f>
        <v>0</v>
      </c>
      <c r="D372">
        <f t="shared" si="15"/>
        <v>0</v>
      </c>
      <c r="E372">
        <f>+DB!G372</f>
        <v>0</v>
      </c>
      <c r="F372">
        <f>+DB!H372</f>
        <v>0</v>
      </c>
      <c r="G372">
        <f>+DB!N372</f>
        <v>0</v>
      </c>
      <c r="H372">
        <f>+DB!O372</f>
        <v>0</v>
      </c>
      <c r="I372">
        <f>+DB!I372</f>
        <v>0</v>
      </c>
      <c r="J372">
        <f>+DB!J372</f>
        <v>0</v>
      </c>
      <c r="K372">
        <f>+DB!L372</f>
        <v>0</v>
      </c>
      <c r="L372" t="str">
        <f t="shared" si="16"/>
        <v/>
      </c>
      <c r="M372" t="str">
        <f>+IF(LEFT(DB!M372,3)="13/","CAC","MAD")</f>
        <v>MAD</v>
      </c>
      <c r="N372" t="str">
        <f>+RIGHT(DB!M372,6)</f>
        <v/>
      </c>
      <c r="O372">
        <v>95</v>
      </c>
      <c r="P372">
        <v>5</v>
      </c>
      <c r="Q372">
        <f>+DB!AB372</f>
        <v>0</v>
      </c>
      <c r="R372">
        <f>+DB!K372</f>
        <v>0</v>
      </c>
      <c r="S372">
        <f>+DB!F372</f>
        <v>0</v>
      </c>
      <c r="T372">
        <f>+IF(DB!F372="AAAC-35",1,3)</f>
        <v>3</v>
      </c>
      <c r="U372">
        <f>+DB!R372</f>
        <v>0</v>
      </c>
      <c r="V372">
        <f>+IF(DB!P372="1RI",1,0)+IF(DB!P372="2RI",2,0)</f>
        <v>0</v>
      </c>
      <c r="W372">
        <f>+IF(DB!P372="1RV",1,0)+IF(DB!P372="2RV",2,0)</f>
        <v>0</v>
      </c>
      <c r="X372">
        <f>+IF(DB!P372="RYI",1,0)</f>
        <v>0</v>
      </c>
      <c r="Y372">
        <f>+IF(DB!P372="RYV",1,0)</f>
        <v>0</v>
      </c>
      <c r="Z372">
        <f>+DB!U372</f>
        <v>0</v>
      </c>
      <c r="AA372">
        <f>+IF(DB!F372="AAAC-35",19.5,33)</f>
        <v>33</v>
      </c>
      <c r="AB372">
        <f>+DB!V372</f>
        <v>0</v>
      </c>
      <c r="AC372" t="str">
        <f t="shared" si="17"/>
        <v>56-4</v>
      </c>
      <c r="AD372" s="21" t="s">
        <v>72</v>
      </c>
      <c r="AE372">
        <f>+DB!X372</f>
        <v>0</v>
      </c>
      <c r="AF372" s="22">
        <f>+DB!Y372</f>
        <v>0</v>
      </c>
      <c r="AG372">
        <f>+DB!AK372</f>
        <v>0</v>
      </c>
    </row>
    <row r="373" spans="1:33" x14ac:dyDescent="0.2">
      <c r="A373">
        <f>+DB!C373</f>
        <v>0</v>
      </c>
      <c r="B373">
        <f>+DB!D373</f>
        <v>0</v>
      </c>
      <c r="C373">
        <f>+DB!E373</f>
        <v>0</v>
      </c>
      <c r="D373">
        <f t="shared" si="15"/>
        <v>0</v>
      </c>
      <c r="E373">
        <f>+DB!G373</f>
        <v>0</v>
      </c>
      <c r="F373">
        <f>+DB!H373</f>
        <v>0</v>
      </c>
      <c r="G373">
        <f>+DB!N373</f>
        <v>0</v>
      </c>
      <c r="H373">
        <f>+DB!O373</f>
        <v>0</v>
      </c>
      <c r="I373">
        <f>+DB!I373</f>
        <v>0</v>
      </c>
      <c r="J373">
        <f>+DB!J373</f>
        <v>0</v>
      </c>
      <c r="K373">
        <f>+DB!L373</f>
        <v>0</v>
      </c>
      <c r="L373" t="str">
        <f t="shared" si="16"/>
        <v/>
      </c>
      <c r="M373" t="str">
        <f>+IF(LEFT(DB!M373,3)="13/","CAC","MAD")</f>
        <v>MAD</v>
      </c>
      <c r="N373" t="str">
        <f>+RIGHT(DB!M373,6)</f>
        <v/>
      </c>
      <c r="O373">
        <v>95</v>
      </c>
      <c r="P373">
        <v>5</v>
      </c>
      <c r="Q373">
        <f>+DB!AB373</f>
        <v>0</v>
      </c>
      <c r="R373">
        <f>+DB!K373</f>
        <v>0</v>
      </c>
      <c r="S373">
        <f>+DB!F373</f>
        <v>0</v>
      </c>
      <c r="T373">
        <f>+IF(DB!F373="AAAC-35",1,3)</f>
        <v>3</v>
      </c>
      <c r="U373">
        <f>+DB!R373</f>
        <v>0</v>
      </c>
      <c r="V373">
        <f>+IF(DB!P373="1RI",1,0)+IF(DB!P373="2RI",2,0)</f>
        <v>0</v>
      </c>
      <c r="W373">
        <f>+IF(DB!P373="1RV",1,0)+IF(DB!P373="2RV",2,0)</f>
        <v>0</v>
      </c>
      <c r="X373">
        <f>+IF(DB!P373="RYI",1,0)</f>
        <v>0</v>
      </c>
      <c r="Y373">
        <f>+IF(DB!P373="RYV",1,0)</f>
        <v>0</v>
      </c>
      <c r="Z373">
        <f>+DB!U373</f>
        <v>0</v>
      </c>
      <c r="AA373">
        <f>+IF(DB!F373="AAAC-35",19.5,33)</f>
        <v>33</v>
      </c>
      <c r="AB373">
        <f>+DB!V373</f>
        <v>0</v>
      </c>
      <c r="AC373" t="str">
        <f t="shared" si="17"/>
        <v>56-4</v>
      </c>
      <c r="AD373" s="21" t="s">
        <v>72</v>
      </c>
      <c r="AE373">
        <f>+DB!X373</f>
        <v>0</v>
      </c>
      <c r="AF373" s="22">
        <f>+DB!Y373</f>
        <v>0</v>
      </c>
      <c r="AG373">
        <f>+DB!AK373</f>
        <v>0</v>
      </c>
    </row>
    <row r="374" spans="1:33" x14ac:dyDescent="0.2">
      <c r="A374">
        <f>+DB!C374</f>
        <v>0</v>
      </c>
      <c r="B374">
        <f>+DB!D374</f>
        <v>0</v>
      </c>
      <c r="C374">
        <f>+DB!E374</f>
        <v>0</v>
      </c>
      <c r="D374">
        <f t="shared" si="15"/>
        <v>0</v>
      </c>
      <c r="E374">
        <f>+DB!G374</f>
        <v>0</v>
      </c>
      <c r="F374">
        <f>+DB!H374</f>
        <v>0</v>
      </c>
      <c r="G374">
        <f>+DB!N374</f>
        <v>0</v>
      </c>
      <c r="H374">
        <f>+DB!O374</f>
        <v>0</v>
      </c>
      <c r="I374">
        <f>+DB!I374</f>
        <v>0</v>
      </c>
      <c r="J374">
        <f>+DB!J374</f>
        <v>0</v>
      </c>
      <c r="K374">
        <f>+DB!L374</f>
        <v>0</v>
      </c>
      <c r="L374" t="str">
        <f t="shared" si="16"/>
        <v/>
      </c>
      <c r="M374" t="str">
        <f>+IF(LEFT(DB!M374,3)="13/","CAC","MAD")</f>
        <v>MAD</v>
      </c>
      <c r="N374" t="str">
        <f>+RIGHT(DB!M374,6)</f>
        <v/>
      </c>
      <c r="O374">
        <v>95</v>
      </c>
      <c r="P374">
        <v>5</v>
      </c>
      <c r="Q374">
        <f>+DB!AB374</f>
        <v>0</v>
      </c>
      <c r="R374">
        <f>+DB!K374</f>
        <v>0</v>
      </c>
      <c r="S374">
        <f>+DB!F374</f>
        <v>0</v>
      </c>
      <c r="T374">
        <f>+IF(DB!F374="AAAC-35",1,3)</f>
        <v>3</v>
      </c>
      <c r="U374">
        <f>+DB!R374</f>
        <v>0</v>
      </c>
      <c r="V374">
        <f>+IF(DB!P374="1RI",1,0)+IF(DB!P374="2RI",2,0)</f>
        <v>0</v>
      </c>
      <c r="W374">
        <f>+IF(DB!P374="1RV",1,0)+IF(DB!P374="2RV",2,0)</f>
        <v>0</v>
      </c>
      <c r="X374">
        <f>+IF(DB!P374="RYI",1,0)</f>
        <v>0</v>
      </c>
      <c r="Y374">
        <f>+IF(DB!P374="RYV",1,0)</f>
        <v>0</v>
      </c>
      <c r="Z374">
        <f>+DB!U374</f>
        <v>0</v>
      </c>
      <c r="AA374">
        <f>+IF(DB!F374="AAAC-35",19.5,33)</f>
        <v>33</v>
      </c>
      <c r="AB374">
        <f>+DB!V374</f>
        <v>0</v>
      </c>
      <c r="AC374" t="str">
        <f t="shared" si="17"/>
        <v>56-4</v>
      </c>
      <c r="AD374" s="21" t="s">
        <v>72</v>
      </c>
      <c r="AE374">
        <f>+DB!X374</f>
        <v>0</v>
      </c>
      <c r="AF374" s="22">
        <f>+DB!Y374</f>
        <v>0</v>
      </c>
      <c r="AG374">
        <f>+DB!AK374</f>
        <v>0</v>
      </c>
    </row>
    <row r="375" spans="1:33" x14ac:dyDescent="0.2">
      <c r="A375">
        <f>+DB!C375</f>
        <v>0</v>
      </c>
      <c r="B375">
        <f>+DB!D375</f>
        <v>0</v>
      </c>
      <c r="C375">
        <f>+DB!E375</f>
        <v>0</v>
      </c>
      <c r="D375">
        <f t="shared" si="15"/>
        <v>0</v>
      </c>
      <c r="E375">
        <f>+DB!G375</f>
        <v>0</v>
      </c>
      <c r="F375">
        <f>+DB!H375</f>
        <v>0</v>
      </c>
      <c r="G375">
        <f>+DB!N375</f>
        <v>0</v>
      </c>
      <c r="H375">
        <f>+DB!O375</f>
        <v>0</v>
      </c>
      <c r="I375">
        <f>+DB!I375</f>
        <v>0</v>
      </c>
      <c r="J375">
        <f>+DB!J375</f>
        <v>0</v>
      </c>
      <c r="K375">
        <f>+DB!L375</f>
        <v>0</v>
      </c>
      <c r="L375" t="str">
        <f t="shared" si="16"/>
        <v/>
      </c>
      <c r="M375" t="str">
        <f>+IF(LEFT(DB!M375,3)="13/","CAC","MAD")</f>
        <v>MAD</v>
      </c>
      <c r="N375" t="str">
        <f>+RIGHT(DB!M375,6)</f>
        <v/>
      </c>
      <c r="O375">
        <v>95</v>
      </c>
      <c r="P375">
        <v>5</v>
      </c>
      <c r="Q375">
        <f>+DB!AB375</f>
        <v>0</v>
      </c>
      <c r="R375">
        <f>+DB!K375</f>
        <v>0</v>
      </c>
      <c r="S375">
        <f>+DB!F375</f>
        <v>0</v>
      </c>
      <c r="T375">
        <f>+IF(DB!F375="AAAC-35",1,3)</f>
        <v>3</v>
      </c>
      <c r="U375">
        <f>+DB!R375</f>
        <v>0</v>
      </c>
      <c r="V375">
        <f>+IF(DB!P375="1RI",1,0)+IF(DB!P375="2RI",2,0)</f>
        <v>0</v>
      </c>
      <c r="W375">
        <f>+IF(DB!P375="1RV",1,0)+IF(DB!P375="2RV",2,0)</f>
        <v>0</v>
      </c>
      <c r="X375">
        <f>+IF(DB!P375="RYI",1,0)</f>
        <v>0</v>
      </c>
      <c r="Y375">
        <f>+IF(DB!P375="RYV",1,0)</f>
        <v>0</v>
      </c>
      <c r="Z375">
        <f>+DB!U375</f>
        <v>0</v>
      </c>
      <c r="AA375">
        <f>+IF(DB!F375="AAAC-35",19.5,33)</f>
        <v>33</v>
      </c>
      <c r="AB375">
        <f>+DB!V375</f>
        <v>0</v>
      </c>
      <c r="AC375" t="str">
        <f t="shared" si="17"/>
        <v>56-4</v>
      </c>
      <c r="AD375" s="21" t="s">
        <v>72</v>
      </c>
      <c r="AE375">
        <f>+DB!X375</f>
        <v>0</v>
      </c>
      <c r="AF375" s="22">
        <f>+DB!Y375</f>
        <v>0</v>
      </c>
      <c r="AG375">
        <f>+DB!AK375</f>
        <v>0</v>
      </c>
    </row>
    <row r="376" spans="1:33" x14ac:dyDescent="0.2">
      <c r="A376">
        <f>+DB!C376</f>
        <v>0</v>
      </c>
      <c r="B376">
        <f>+DB!D376</f>
        <v>0</v>
      </c>
      <c r="C376">
        <f>+DB!E376</f>
        <v>0</v>
      </c>
      <c r="D376">
        <f t="shared" si="15"/>
        <v>0</v>
      </c>
      <c r="E376">
        <f>+DB!G376</f>
        <v>0</v>
      </c>
      <c r="F376">
        <f>+DB!H376</f>
        <v>0</v>
      </c>
      <c r="G376">
        <f>+DB!N376</f>
        <v>0</v>
      </c>
      <c r="H376">
        <f>+DB!O376</f>
        <v>0</v>
      </c>
      <c r="I376">
        <f>+DB!I376</f>
        <v>0</v>
      </c>
      <c r="J376">
        <f>+DB!J376</f>
        <v>0</v>
      </c>
      <c r="K376">
        <f>+DB!L376</f>
        <v>0</v>
      </c>
      <c r="L376" t="str">
        <f t="shared" si="16"/>
        <v/>
      </c>
      <c r="M376" t="str">
        <f>+IF(LEFT(DB!M376,3)="13/","CAC","MAD")</f>
        <v>MAD</v>
      </c>
      <c r="N376" t="str">
        <f>+RIGHT(DB!M376,6)</f>
        <v/>
      </c>
      <c r="O376">
        <v>95</v>
      </c>
      <c r="P376">
        <v>5</v>
      </c>
      <c r="Q376">
        <f>+DB!AB376</f>
        <v>0</v>
      </c>
      <c r="R376">
        <f>+DB!K376</f>
        <v>0</v>
      </c>
      <c r="S376">
        <f>+DB!F376</f>
        <v>0</v>
      </c>
      <c r="T376">
        <f>+IF(DB!F376="AAAC-35",1,3)</f>
        <v>3</v>
      </c>
      <c r="U376">
        <f>+DB!R376</f>
        <v>0</v>
      </c>
      <c r="V376">
        <f>+IF(DB!P376="1RI",1,0)+IF(DB!P376="2RI",2,0)</f>
        <v>0</v>
      </c>
      <c r="W376">
        <f>+IF(DB!P376="1RV",1,0)+IF(DB!P376="2RV",2,0)</f>
        <v>0</v>
      </c>
      <c r="X376">
        <f>+IF(DB!P376="RYI",1,0)</f>
        <v>0</v>
      </c>
      <c r="Y376">
        <f>+IF(DB!P376="RYV",1,0)</f>
        <v>0</v>
      </c>
      <c r="Z376">
        <f>+DB!U376</f>
        <v>0</v>
      </c>
      <c r="AA376">
        <f>+IF(DB!F376="AAAC-35",19.5,33)</f>
        <v>33</v>
      </c>
      <c r="AB376">
        <f>+DB!V376</f>
        <v>0</v>
      </c>
      <c r="AC376" t="str">
        <f t="shared" si="17"/>
        <v>56-4</v>
      </c>
      <c r="AD376" s="21" t="s">
        <v>72</v>
      </c>
      <c r="AE376">
        <f>+DB!X376</f>
        <v>0</v>
      </c>
      <c r="AF376" s="22">
        <f>+DB!Y376</f>
        <v>0</v>
      </c>
      <c r="AG376">
        <f>+DB!AK376</f>
        <v>0</v>
      </c>
    </row>
    <row r="377" spans="1:33" x14ac:dyDescent="0.2">
      <c r="A377">
        <f>+DB!C377</f>
        <v>0</v>
      </c>
      <c r="B377">
        <f>+DB!D377</f>
        <v>0</v>
      </c>
      <c r="C377">
        <f>+DB!E377</f>
        <v>0</v>
      </c>
      <c r="D377">
        <f t="shared" si="15"/>
        <v>0</v>
      </c>
      <c r="E377">
        <f>+DB!G377</f>
        <v>0</v>
      </c>
      <c r="F377">
        <f>+DB!H377</f>
        <v>0</v>
      </c>
      <c r="G377">
        <f>+DB!N377</f>
        <v>0</v>
      </c>
      <c r="H377">
        <f>+DB!O377</f>
        <v>0</v>
      </c>
      <c r="I377">
        <f>+DB!I377</f>
        <v>0</v>
      </c>
      <c r="J377">
        <f>+DB!J377</f>
        <v>0</v>
      </c>
      <c r="K377">
        <f>+DB!L377</f>
        <v>0</v>
      </c>
      <c r="L377" t="str">
        <f t="shared" si="16"/>
        <v/>
      </c>
      <c r="M377" t="str">
        <f>+IF(LEFT(DB!M377,3)="13/","CAC","MAD")</f>
        <v>MAD</v>
      </c>
      <c r="N377" t="str">
        <f>+RIGHT(DB!M377,6)</f>
        <v/>
      </c>
      <c r="O377">
        <v>95</v>
      </c>
      <c r="P377">
        <v>5</v>
      </c>
      <c r="Q377">
        <f>+DB!AB377</f>
        <v>0</v>
      </c>
      <c r="R377">
        <f>+DB!K377</f>
        <v>0</v>
      </c>
      <c r="S377">
        <f>+DB!F377</f>
        <v>0</v>
      </c>
      <c r="T377">
        <f>+IF(DB!F377="AAAC-35",1,3)</f>
        <v>3</v>
      </c>
      <c r="U377">
        <f>+DB!R377</f>
        <v>0</v>
      </c>
      <c r="V377">
        <f>+IF(DB!P377="1RI",1,0)+IF(DB!P377="2RI",2,0)</f>
        <v>0</v>
      </c>
      <c r="W377">
        <f>+IF(DB!P377="1RV",1,0)+IF(DB!P377="2RV",2,0)</f>
        <v>0</v>
      </c>
      <c r="X377">
        <f>+IF(DB!P377="RYI",1,0)</f>
        <v>0</v>
      </c>
      <c r="Y377">
        <f>+IF(DB!P377="RYV",1,0)</f>
        <v>0</v>
      </c>
      <c r="Z377">
        <f>+DB!U377</f>
        <v>0</v>
      </c>
      <c r="AA377">
        <f>+IF(DB!F377="AAAC-35",19.5,33)</f>
        <v>33</v>
      </c>
      <c r="AB377">
        <f>+DB!V377</f>
        <v>0</v>
      </c>
      <c r="AC377" t="str">
        <f t="shared" si="17"/>
        <v>56-4</v>
      </c>
      <c r="AD377" s="21" t="s">
        <v>72</v>
      </c>
      <c r="AE377">
        <f>+DB!X377</f>
        <v>0</v>
      </c>
      <c r="AF377" s="22">
        <f>+DB!Y377</f>
        <v>0</v>
      </c>
      <c r="AG377">
        <f>+DB!AK377</f>
        <v>0</v>
      </c>
    </row>
    <row r="378" spans="1:33" x14ac:dyDescent="0.2">
      <c r="A378">
        <f>+DB!C378</f>
        <v>0</v>
      </c>
      <c r="B378">
        <f>+DB!D378</f>
        <v>0</v>
      </c>
      <c r="C378">
        <f>+DB!E378</f>
        <v>0</v>
      </c>
      <c r="D378">
        <f t="shared" si="15"/>
        <v>0</v>
      </c>
      <c r="E378">
        <f>+DB!G378</f>
        <v>0</v>
      </c>
      <c r="F378">
        <f>+DB!H378</f>
        <v>0</v>
      </c>
      <c r="G378">
        <f>+DB!N378</f>
        <v>0</v>
      </c>
      <c r="H378">
        <f>+DB!O378</f>
        <v>0</v>
      </c>
      <c r="I378">
        <f>+DB!I378</f>
        <v>0</v>
      </c>
      <c r="J378">
        <f>+DB!J378</f>
        <v>0</v>
      </c>
      <c r="K378">
        <f>+DB!L378</f>
        <v>0</v>
      </c>
      <c r="L378" t="str">
        <f t="shared" si="16"/>
        <v/>
      </c>
      <c r="M378" t="str">
        <f>+IF(LEFT(DB!M378,3)="13/","CAC","MAD")</f>
        <v>MAD</v>
      </c>
      <c r="N378" t="str">
        <f>+RIGHT(DB!M378,6)</f>
        <v/>
      </c>
      <c r="O378">
        <v>95</v>
      </c>
      <c r="P378">
        <v>5</v>
      </c>
      <c r="Q378">
        <f>+DB!AB378</f>
        <v>0</v>
      </c>
      <c r="R378">
        <f>+DB!K378</f>
        <v>0</v>
      </c>
      <c r="S378">
        <f>+DB!F378</f>
        <v>0</v>
      </c>
      <c r="T378">
        <f>+IF(DB!F378="AAAC-35",1,3)</f>
        <v>3</v>
      </c>
      <c r="U378">
        <f>+DB!R378</f>
        <v>0</v>
      </c>
      <c r="V378">
        <f>+IF(DB!P378="1RI",1,0)+IF(DB!P378="2RI",2,0)</f>
        <v>0</v>
      </c>
      <c r="W378">
        <f>+IF(DB!P378="1RV",1,0)+IF(DB!P378="2RV",2,0)</f>
        <v>0</v>
      </c>
      <c r="X378">
        <f>+IF(DB!P378="RYI",1,0)</f>
        <v>0</v>
      </c>
      <c r="Y378">
        <f>+IF(DB!P378="RYV",1,0)</f>
        <v>0</v>
      </c>
      <c r="Z378">
        <f>+DB!U378</f>
        <v>0</v>
      </c>
      <c r="AA378">
        <f>+IF(DB!F378="AAAC-35",19.5,33)</f>
        <v>33</v>
      </c>
      <c r="AB378">
        <f>+DB!V378</f>
        <v>0</v>
      </c>
      <c r="AC378" t="str">
        <f t="shared" si="17"/>
        <v>56-4</v>
      </c>
      <c r="AD378" s="21" t="s">
        <v>72</v>
      </c>
      <c r="AE378">
        <f>+DB!X378</f>
        <v>0</v>
      </c>
      <c r="AF378" s="22">
        <f>+DB!Y378</f>
        <v>0</v>
      </c>
      <c r="AG378">
        <f>+DB!AK378</f>
        <v>0</v>
      </c>
    </row>
    <row r="379" spans="1:33" x14ac:dyDescent="0.2">
      <c r="A379">
        <f>+DB!C379</f>
        <v>0</v>
      </c>
      <c r="B379">
        <f>+DB!D379</f>
        <v>0</v>
      </c>
      <c r="C379">
        <f>+DB!E379</f>
        <v>0</v>
      </c>
      <c r="D379">
        <f t="shared" si="15"/>
        <v>0</v>
      </c>
      <c r="E379">
        <f>+DB!G379</f>
        <v>0</v>
      </c>
      <c r="F379">
        <f>+DB!H379</f>
        <v>0</v>
      </c>
      <c r="G379">
        <f>+DB!N379</f>
        <v>0</v>
      </c>
      <c r="H379">
        <f>+DB!O379</f>
        <v>0</v>
      </c>
      <c r="I379">
        <f>+DB!I379</f>
        <v>0</v>
      </c>
      <c r="J379">
        <f>+DB!J379</f>
        <v>0</v>
      </c>
      <c r="K379">
        <f>+DB!L379</f>
        <v>0</v>
      </c>
      <c r="L379" t="str">
        <f t="shared" si="16"/>
        <v/>
      </c>
      <c r="M379" t="str">
        <f>+IF(LEFT(DB!M379,3)="13/","CAC","MAD")</f>
        <v>MAD</v>
      </c>
      <c r="N379" t="str">
        <f>+RIGHT(DB!M379,6)</f>
        <v/>
      </c>
      <c r="O379">
        <v>95</v>
      </c>
      <c r="P379">
        <v>5</v>
      </c>
      <c r="Q379">
        <f>+DB!AB379</f>
        <v>0</v>
      </c>
      <c r="R379">
        <f>+DB!K379</f>
        <v>0</v>
      </c>
      <c r="S379">
        <f>+DB!F379</f>
        <v>0</v>
      </c>
      <c r="T379">
        <f>+IF(DB!F379="AAAC-35",1,3)</f>
        <v>3</v>
      </c>
      <c r="U379">
        <f>+DB!R379</f>
        <v>0</v>
      </c>
      <c r="V379">
        <f>+IF(DB!P379="1RI",1,0)+IF(DB!P379="2RI",2,0)</f>
        <v>0</v>
      </c>
      <c r="W379">
        <f>+IF(DB!P379="1RV",1,0)+IF(DB!P379="2RV",2,0)</f>
        <v>0</v>
      </c>
      <c r="X379">
        <f>+IF(DB!P379="RYI",1,0)</f>
        <v>0</v>
      </c>
      <c r="Y379">
        <f>+IF(DB!P379="RYV",1,0)</f>
        <v>0</v>
      </c>
      <c r="Z379">
        <f>+DB!U379</f>
        <v>0</v>
      </c>
      <c r="AA379">
        <f>+IF(DB!F379="AAAC-35",19.5,33)</f>
        <v>33</v>
      </c>
      <c r="AB379">
        <f>+DB!V379</f>
        <v>0</v>
      </c>
      <c r="AC379" t="str">
        <f t="shared" si="17"/>
        <v>56-4</v>
      </c>
      <c r="AD379" s="21" t="s">
        <v>72</v>
      </c>
      <c r="AE379">
        <f>+DB!X379</f>
        <v>0</v>
      </c>
      <c r="AF379" s="22">
        <f>+DB!Y379</f>
        <v>0</v>
      </c>
      <c r="AG379">
        <f>+DB!AK379</f>
        <v>0</v>
      </c>
    </row>
    <row r="380" spans="1:33" x14ac:dyDescent="0.2">
      <c r="A380">
        <f>+DB!C380</f>
        <v>0</v>
      </c>
      <c r="B380">
        <f>+DB!D380</f>
        <v>0</v>
      </c>
      <c r="C380">
        <f>+DB!E380</f>
        <v>0</v>
      </c>
      <c r="D380">
        <f t="shared" si="15"/>
        <v>0</v>
      </c>
      <c r="E380">
        <f>+DB!G380</f>
        <v>0</v>
      </c>
      <c r="F380">
        <f>+DB!H380</f>
        <v>0</v>
      </c>
      <c r="G380">
        <f>+DB!N380</f>
        <v>0</v>
      </c>
      <c r="H380">
        <f>+DB!O380</f>
        <v>0</v>
      </c>
      <c r="I380">
        <f>+DB!I380</f>
        <v>0</v>
      </c>
      <c r="J380">
        <f>+DB!J380</f>
        <v>0</v>
      </c>
      <c r="K380">
        <f>+DB!L380</f>
        <v>0</v>
      </c>
      <c r="L380" t="str">
        <f t="shared" si="16"/>
        <v/>
      </c>
      <c r="M380" t="str">
        <f>+IF(LEFT(DB!M380,3)="13/","CAC","MAD")</f>
        <v>MAD</v>
      </c>
      <c r="N380" t="str">
        <f>+RIGHT(DB!M380,6)</f>
        <v/>
      </c>
      <c r="O380">
        <v>95</v>
      </c>
      <c r="P380">
        <v>5</v>
      </c>
      <c r="Q380">
        <f>+DB!AB380</f>
        <v>0</v>
      </c>
      <c r="R380">
        <f>+DB!K380</f>
        <v>0</v>
      </c>
      <c r="S380">
        <f>+DB!F380</f>
        <v>0</v>
      </c>
      <c r="T380">
        <f>+IF(DB!F380="AAAC-35",1,3)</f>
        <v>3</v>
      </c>
      <c r="U380">
        <f>+DB!R380</f>
        <v>0</v>
      </c>
      <c r="V380">
        <f>+IF(DB!P380="1RI",1,0)+IF(DB!P380="2RI",2,0)</f>
        <v>0</v>
      </c>
      <c r="W380">
        <f>+IF(DB!P380="1RV",1,0)+IF(DB!P380="2RV",2,0)</f>
        <v>0</v>
      </c>
      <c r="X380">
        <f>+IF(DB!P380="RYI",1,0)</f>
        <v>0</v>
      </c>
      <c r="Y380">
        <f>+IF(DB!P380="RYV",1,0)</f>
        <v>0</v>
      </c>
      <c r="Z380">
        <f>+DB!U380</f>
        <v>0</v>
      </c>
      <c r="AA380">
        <f>+IF(DB!F380="AAAC-35",19.5,33)</f>
        <v>33</v>
      </c>
      <c r="AB380">
        <f>+DB!V380</f>
        <v>0</v>
      </c>
      <c r="AC380" t="str">
        <f t="shared" si="17"/>
        <v>56-4</v>
      </c>
      <c r="AD380" s="21" t="s">
        <v>72</v>
      </c>
      <c r="AE380">
        <f>+DB!X380</f>
        <v>0</v>
      </c>
      <c r="AF380" s="22">
        <f>+DB!Y380</f>
        <v>0</v>
      </c>
      <c r="AG380">
        <f>+DB!AK380</f>
        <v>0</v>
      </c>
    </row>
    <row r="381" spans="1:33" x14ac:dyDescent="0.2">
      <c r="A381">
        <f>+DB!C381</f>
        <v>0</v>
      </c>
      <c r="B381">
        <f>+DB!D381</f>
        <v>0</v>
      </c>
      <c r="C381">
        <f>+DB!E381</f>
        <v>0</v>
      </c>
      <c r="D381">
        <f t="shared" si="15"/>
        <v>0</v>
      </c>
      <c r="E381">
        <f>+DB!G381</f>
        <v>0</v>
      </c>
      <c r="F381">
        <f>+DB!H381</f>
        <v>0</v>
      </c>
      <c r="G381">
        <f>+DB!N381</f>
        <v>0</v>
      </c>
      <c r="H381">
        <f>+DB!O381</f>
        <v>0</v>
      </c>
      <c r="I381">
        <f>+DB!I381</f>
        <v>0</v>
      </c>
      <c r="J381">
        <f>+DB!J381</f>
        <v>0</v>
      </c>
      <c r="K381">
        <f>+DB!L381</f>
        <v>0</v>
      </c>
      <c r="L381" t="str">
        <f t="shared" si="16"/>
        <v/>
      </c>
      <c r="M381" t="str">
        <f>+IF(LEFT(DB!M381,3)="13/","CAC","MAD")</f>
        <v>MAD</v>
      </c>
      <c r="N381" t="str">
        <f>+RIGHT(DB!M381,6)</f>
        <v/>
      </c>
      <c r="O381">
        <v>95</v>
      </c>
      <c r="P381">
        <v>5</v>
      </c>
      <c r="Q381">
        <f>+DB!AB381</f>
        <v>0</v>
      </c>
      <c r="R381">
        <f>+DB!K381</f>
        <v>0</v>
      </c>
      <c r="S381">
        <f>+DB!F381</f>
        <v>0</v>
      </c>
      <c r="T381">
        <f>+IF(DB!F381="AAAC-35",1,3)</f>
        <v>3</v>
      </c>
      <c r="U381">
        <f>+DB!R381</f>
        <v>0</v>
      </c>
      <c r="V381">
        <f>+IF(DB!P381="1RI",1,0)+IF(DB!P381="2RI",2,0)</f>
        <v>0</v>
      </c>
      <c r="W381">
        <f>+IF(DB!P381="1RV",1,0)+IF(DB!P381="2RV",2,0)</f>
        <v>0</v>
      </c>
      <c r="X381">
        <f>+IF(DB!P381="RYI",1,0)</f>
        <v>0</v>
      </c>
      <c r="Y381">
        <f>+IF(DB!P381="RYV",1,0)</f>
        <v>0</v>
      </c>
      <c r="Z381">
        <f>+DB!U381</f>
        <v>0</v>
      </c>
      <c r="AA381">
        <f>+IF(DB!F381="AAAC-35",19.5,33)</f>
        <v>33</v>
      </c>
      <c r="AB381">
        <f>+DB!V381</f>
        <v>0</v>
      </c>
      <c r="AC381" t="str">
        <f t="shared" si="17"/>
        <v>56-4</v>
      </c>
      <c r="AD381" s="21" t="s">
        <v>72</v>
      </c>
      <c r="AE381">
        <f>+DB!X381</f>
        <v>0</v>
      </c>
      <c r="AF381" s="22">
        <f>+DB!Y381</f>
        <v>0</v>
      </c>
      <c r="AG381">
        <f>+DB!AK381</f>
        <v>0</v>
      </c>
    </row>
    <row r="382" spans="1:33" x14ac:dyDescent="0.2">
      <c r="A382">
        <f>+DB!C382</f>
        <v>0</v>
      </c>
      <c r="B382">
        <f>+DB!D382</f>
        <v>0</v>
      </c>
      <c r="C382">
        <f>+DB!E382</f>
        <v>0</v>
      </c>
      <c r="D382">
        <f t="shared" si="15"/>
        <v>0</v>
      </c>
      <c r="E382">
        <f>+DB!G382</f>
        <v>0</v>
      </c>
      <c r="F382">
        <f>+DB!H382</f>
        <v>0</v>
      </c>
      <c r="G382">
        <f>+DB!N382</f>
        <v>0</v>
      </c>
      <c r="H382">
        <f>+DB!O382</f>
        <v>0</v>
      </c>
      <c r="I382">
        <f>+DB!I382</f>
        <v>0</v>
      </c>
      <c r="J382">
        <f>+DB!J382</f>
        <v>0</v>
      </c>
      <c r="K382">
        <f>+DB!L382</f>
        <v>0</v>
      </c>
      <c r="L382" t="str">
        <f t="shared" si="16"/>
        <v/>
      </c>
      <c r="M382" t="str">
        <f>+IF(LEFT(DB!M382,3)="13/","CAC","MAD")</f>
        <v>MAD</v>
      </c>
      <c r="N382" t="str">
        <f>+RIGHT(DB!M382,6)</f>
        <v/>
      </c>
      <c r="O382">
        <v>95</v>
      </c>
      <c r="P382">
        <v>5</v>
      </c>
      <c r="Q382">
        <f>+DB!AB382</f>
        <v>0</v>
      </c>
      <c r="R382">
        <f>+DB!K382</f>
        <v>0</v>
      </c>
      <c r="S382">
        <f>+DB!F382</f>
        <v>0</v>
      </c>
      <c r="T382">
        <f>+IF(DB!F382="AAAC-35",1,3)</f>
        <v>3</v>
      </c>
      <c r="U382">
        <f>+DB!R382</f>
        <v>0</v>
      </c>
      <c r="V382">
        <f>+IF(DB!P382="1RI",1,0)+IF(DB!P382="2RI",2,0)</f>
        <v>0</v>
      </c>
      <c r="W382">
        <f>+IF(DB!P382="1RV",1,0)+IF(DB!P382="2RV",2,0)</f>
        <v>0</v>
      </c>
      <c r="X382">
        <f>+IF(DB!P382="RYI",1,0)</f>
        <v>0</v>
      </c>
      <c r="Y382">
        <f>+IF(DB!P382="RYV",1,0)</f>
        <v>0</v>
      </c>
      <c r="Z382">
        <f>+DB!U382</f>
        <v>0</v>
      </c>
      <c r="AA382">
        <f>+IF(DB!F382="AAAC-35",19.5,33)</f>
        <v>33</v>
      </c>
      <c r="AB382">
        <f>+DB!V382</f>
        <v>0</v>
      </c>
      <c r="AC382" t="str">
        <f t="shared" si="17"/>
        <v>56-4</v>
      </c>
      <c r="AD382" s="21" t="s">
        <v>72</v>
      </c>
      <c r="AE382">
        <f>+DB!X382</f>
        <v>0</v>
      </c>
      <c r="AF382" s="22">
        <f>+DB!Y382</f>
        <v>0</v>
      </c>
      <c r="AG382">
        <f>+DB!AK382</f>
        <v>0</v>
      </c>
    </row>
    <row r="383" spans="1:33" x14ac:dyDescent="0.2">
      <c r="A383">
        <f>+DB!C383</f>
        <v>0</v>
      </c>
      <c r="B383">
        <f>+DB!D383</f>
        <v>0</v>
      </c>
      <c r="C383">
        <f>+DB!E383</f>
        <v>0</v>
      </c>
      <c r="D383">
        <f t="shared" si="15"/>
        <v>0</v>
      </c>
      <c r="E383">
        <f>+DB!G383</f>
        <v>0</v>
      </c>
      <c r="F383">
        <f>+DB!H383</f>
        <v>0</v>
      </c>
      <c r="G383">
        <f>+DB!N383</f>
        <v>0</v>
      </c>
      <c r="H383">
        <f>+DB!O383</f>
        <v>0</v>
      </c>
      <c r="I383">
        <f>+DB!I383</f>
        <v>0</v>
      </c>
      <c r="J383">
        <f>+DB!J383</f>
        <v>0</v>
      </c>
      <c r="K383">
        <f>+DB!L383</f>
        <v>0</v>
      </c>
      <c r="L383" t="str">
        <f t="shared" si="16"/>
        <v/>
      </c>
      <c r="M383" t="str">
        <f>+IF(LEFT(DB!M383,3)="13/","CAC","MAD")</f>
        <v>MAD</v>
      </c>
      <c r="N383" t="str">
        <f>+RIGHT(DB!M383,6)</f>
        <v/>
      </c>
      <c r="O383">
        <v>95</v>
      </c>
      <c r="P383">
        <v>5</v>
      </c>
      <c r="Q383">
        <f>+DB!AB383</f>
        <v>0</v>
      </c>
      <c r="R383">
        <f>+DB!K383</f>
        <v>0</v>
      </c>
      <c r="S383">
        <f>+DB!F383</f>
        <v>0</v>
      </c>
      <c r="T383">
        <f>+IF(DB!F383="AAAC-35",1,3)</f>
        <v>3</v>
      </c>
      <c r="U383">
        <f>+DB!R383</f>
        <v>0</v>
      </c>
      <c r="V383">
        <f>+IF(DB!P383="1RI",1,0)+IF(DB!P383="2RI",2,0)</f>
        <v>0</v>
      </c>
      <c r="W383">
        <f>+IF(DB!P383="1RV",1,0)+IF(DB!P383="2RV",2,0)</f>
        <v>0</v>
      </c>
      <c r="X383">
        <f>+IF(DB!P383="RYI",1,0)</f>
        <v>0</v>
      </c>
      <c r="Y383">
        <f>+IF(DB!P383="RYV",1,0)</f>
        <v>0</v>
      </c>
      <c r="Z383">
        <f>+DB!U383</f>
        <v>0</v>
      </c>
      <c r="AA383">
        <f>+IF(DB!F383="AAAC-35",19.5,33)</f>
        <v>33</v>
      </c>
      <c r="AB383">
        <f>+DB!V383</f>
        <v>0</v>
      </c>
      <c r="AC383" t="str">
        <f t="shared" si="17"/>
        <v>56-4</v>
      </c>
      <c r="AD383" s="21" t="s">
        <v>72</v>
      </c>
      <c r="AE383">
        <f>+DB!X383</f>
        <v>0</v>
      </c>
      <c r="AF383" s="22">
        <f>+DB!Y383</f>
        <v>0</v>
      </c>
      <c r="AG383">
        <f>+DB!AK383</f>
        <v>0</v>
      </c>
    </row>
    <row r="384" spans="1:33" x14ac:dyDescent="0.2">
      <c r="A384">
        <f>+DB!C384</f>
        <v>0</v>
      </c>
      <c r="B384">
        <f>+DB!D384</f>
        <v>0</v>
      </c>
      <c r="C384">
        <f>+DB!E384</f>
        <v>0</v>
      </c>
      <c r="D384">
        <f t="shared" si="15"/>
        <v>0</v>
      </c>
      <c r="E384">
        <f>+DB!G384</f>
        <v>0</v>
      </c>
      <c r="F384">
        <f>+DB!H384</f>
        <v>0</v>
      </c>
      <c r="G384">
        <f>+DB!N384</f>
        <v>0</v>
      </c>
      <c r="H384">
        <f>+DB!O384</f>
        <v>0</v>
      </c>
      <c r="I384">
        <f>+DB!I384</f>
        <v>0</v>
      </c>
      <c r="J384">
        <f>+DB!J384</f>
        <v>0</v>
      </c>
      <c r="K384">
        <f>+DB!L384</f>
        <v>0</v>
      </c>
      <c r="L384" t="str">
        <f t="shared" si="16"/>
        <v/>
      </c>
      <c r="M384" t="str">
        <f>+IF(LEFT(DB!M384,3)="13/","CAC","MAD")</f>
        <v>MAD</v>
      </c>
      <c r="N384" t="str">
        <f>+RIGHT(DB!M384,6)</f>
        <v/>
      </c>
      <c r="O384">
        <v>95</v>
      </c>
      <c r="P384">
        <v>5</v>
      </c>
      <c r="Q384">
        <f>+DB!AB384</f>
        <v>0</v>
      </c>
      <c r="R384">
        <f>+DB!K384</f>
        <v>0</v>
      </c>
      <c r="S384">
        <f>+DB!F384</f>
        <v>0</v>
      </c>
      <c r="T384">
        <f>+IF(DB!F384="AAAC-35",1,3)</f>
        <v>3</v>
      </c>
      <c r="U384">
        <f>+DB!R384</f>
        <v>0</v>
      </c>
      <c r="V384">
        <f>+IF(DB!P384="1RI",1,0)+IF(DB!P384="2RI",2,0)</f>
        <v>0</v>
      </c>
      <c r="W384">
        <f>+IF(DB!P384="1RV",1,0)+IF(DB!P384="2RV",2,0)</f>
        <v>0</v>
      </c>
      <c r="X384">
        <f>+IF(DB!P384="RYI",1,0)</f>
        <v>0</v>
      </c>
      <c r="Y384">
        <f>+IF(DB!P384="RYV",1,0)</f>
        <v>0</v>
      </c>
      <c r="Z384">
        <f>+DB!U384</f>
        <v>0</v>
      </c>
      <c r="AA384">
        <f>+IF(DB!F384="AAAC-35",19.5,33)</f>
        <v>33</v>
      </c>
      <c r="AB384">
        <f>+DB!V384</f>
        <v>0</v>
      </c>
      <c r="AC384" t="str">
        <f t="shared" si="17"/>
        <v>56-4</v>
      </c>
      <c r="AD384" s="21" t="s">
        <v>72</v>
      </c>
      <c r="AE384">
        <f>+DB!X384</f>
        <v>0</v>
      </c>
      <c r="AF384" s="22">
        <f>+DB!Y384</f>
        <v>0</v>
      </c>
      <c r="AG384">
        <f>+DB!AK384</f>
        <v>0</v>
      </c>
    </row>
    <row r="385" spans="1:33" x14ac:dyDescent="0.2">
      <c r="A385">
        <f>+DB!C385</f>
        <v>0</v>
      </c>
      <c r="B385">
        <f>+DB!D385</f>
        <v>0</v>
      </c>
      <c r="C385">
        <f>+DB!E385</f>
        <v>0</v>
      </c>
      <c r="D385">
        <f t="shared" si="15"/>
        <v>0</v>
      </c>
      <c r="E385">
        <f>+DB!G385</f>
        <v>0</v>
      </c>
      <c r="F385">
        <f>+DB!H385</f>
        <v>0</v>
      </c>
      <c r="G385">
        <f>+DB!N385</f>
        <v>0</v>
      </c>
      <c r="H385">
        <f>+DB!O385</f>
        <v>0</v>
      </c>
      <c r="I385">
        <f>+DB!I385</f>
        <v>0</v>
      </c>
      <c r="J385">
        <f>+DB!J385</f>
        <v>0</v>
      </c>
      <c r="K385">
        <f>+DB!L385</f>
        <v>0</v>
      </c>
      <c r="L385" t="str">
        <f t="shared" si="16"/>
        <v/>
      </c>
      <c r="M385" t="str">
        <f>+IF(LEFT(DB!M385,3)="13/","CAC","MAD")</f>
        <v>MAD</v>
      </c>
      <c r="N385" t="str">
        <f>+RIGHT(DB!M385,6)</f>
        <v/>
      </c>
      <c r="O385">
        <v>95</v>
      </c>
      <c r="P385">
        <v>5</v>
      </c>
      <c r="Q385">
        <f>+DB!AB385</f>
        <v>0</v>
      </c>
      <c r="R385">
        <f>+DB!K385</f>
        <v>0</v>
      </c>
      <c r="S385">
        <f>+DB!F385</f>
        <v>0</v>
      </c>
      <c r="T385">
        <f>+IF(DB!F385="AAAC-35",1,3)</f>
        <v>3</v>
      </c>
      <c r="U385">
        <f>+DB!R385</f>
        <v>0</v>
      </c>
      <c r="V385">
        <f>+IF(DB!P385="1RI",1,0)+IF(DB!P385="2RI",2,0)</f>
        <v>0</v>
      </c>
      <c r="W385">
        <f>+IF(DB!P385="1RV",1,0)+IF(DB!P385="2RV",2,0)</f>
        <v>0</v>
      </c>
      <c r="X385">
        <f>+IF(DB!P385="RYI",1,0)</f>
        <v>0</v>
      </c>
      <c r="Y385">
        <f>+IF(DB!P385="RYV",1,0)</f>
        <v>0</v>
      </c>
      <c r="Z385">
        <f>+DB!U385</f>
        <v>0</v>
      </c>
      <c r="AA385">
        <f>+IF(DB!F385="AAAC-35",19.5,33)</f>
        <v>33</v>
      </c>
      <c r="AB385">
        <f>+DB!V385</f>
        <v>0</v>
      </c>
      <c r="AC385" t="str">
        <f t="shared" si="17"/>
        <v>56-4</v>
      </c>
      <c r="AD385" s="21" t="s">
        <v>72</v>
      </c>
      <c r="AE385">
        <f>+DB!X385</f>
        <v>0</v>
      </c>
      <c r="AF385" s="22">
        <f>+DB!Y385</f>
        <v>0</v>
      </c>
      <c r="AG385">
        <f>+DB!AK385</f>
        <v>0</v>
      </c>
    </row>
    <row r="386" spans="1:33" x14ac:dyDescent="0.2">
      <c r="A386">
        <f>+DB!C386</f>
        <v>0</v>
      </c>
      <c r="B386">
        <f>+DB!D386</f>
        <v>0</v>
      </c>
      <c r="C386">
        <f>+DB!E386</f>
        <v>0</v>
      </c>
      <c r="D386">
        <f t="shared" si="15"/>
        <v>0</v>
      </c>
      <c r="E386">
        <f>+DB!G386</f>
        <v>0</v>
      </c>
      <c r="F386">
        <f>+DB!H386</f>
        <v>0</v>
      </c>
      <c r="G386">
        <f>+DB!N386</f>
        <v>0</v>
      </c>
      <c r="H386">
        <f>+DB!O386</f>
        <v>0</v>
      </c>
      <c r="I386">
        <f>+DB!I386</f>
        <v>0</v>
      </c>
      <c r="J386">
        <f>+DB!J386</f>
        <v>0</v>
      </c>
      <c r="K386">
        <f>+DB!L386</f>
        <v>0</v>
      </c>
      <c r="L386" t="str">
        <f t="shared" si="16"/>
        <v/>
      </c>
      <c r="M386" t="str">
        <f>+IF(LEFT(DB!M386,3)="13/","CAC","MAD")</f>
        <v>MAD</v>
      </c>
      <c r="N386" t="str">
        <f>+RIGHT(DB!M386,6)</f>
        <v/>
      </c>
      <c r="O386">
        <v>95</v>
      </c>
      <c r="P386">
        <v>5</v>
      </c>
      <c r="Q386">
        <f>+DB!AB386</f>
        <v>0</v>
      </c>
      <c r="R386">
        <f>+DB!K386</f>
        <v>0</v>
      </c>
      <c r="S386">
        <f>+DB!F386</f>
        <v>0</v>
      </c>
      <c r="T386">
        <f>+IF(DB!F386="AAAC-35",1,3)</f>
        <v>3</v>
      </c>
      <c r="U386">
        <f>+DB!R386</f>
        <v>0</v>
      </c>
      <c r="V386">
        <f>+IF(DB!P386="1RI",1,0)+IF(DB!P386="2RI",2,0)</f>
        <v>0</v>
      </c>
      <c r="W386">
        <f>+IF(DB!P386="1RV",1,0)+IF(DB!P386="2RV",2,0)</f>
        <v>0</v>
      </c>
      <c r="X386">
        <f>+IF(DB!P386="RYI",1,0)</f>
        <v>0</v>
      </c>
      <c r="Y386">
        <f>+IF(DB!P386="RYV",1,0)</f>
        <v>0</v>
      </c>
      <c r="Z386">
        <f>+DB!U386</f>
        <v>0</v>
      </c>
      <c r="AA386">
        <f>+IF(DB!F386="AAAC-35",19.5,33)</f>
        <v>33</v>
      </c>
      <c r="AB386">
        <f>+DB!V386</f>
        <v>0</v>
      </c>
      <c r="AC386" t="str">
        <f t="shared" si="17"/>
        <v>56-4</v>
      </c>
      <c r="AD386" s="21" t="s">
        <v>72</v>
      </c>
      <c r="AE386">
        <f>+DB!X386</f>
        <v>0</v>
      </c>
      <c r="AF386" s="22">
        <f>+DB!Y386</f>
        <v>0</v>
      </c>
      <c r="AG386">
        <f>+DB!AK386</f>
        <v>0</v>
      </c>
    </row>
    <row r="387" spans="1:33" x14ac:dyDescent="0.2">
      <c r="A387">
        <f>+DB!C387</f>
        <v>0</v>
      </c>
      <c r="B387">
        <f>+DB!D387</f>
        <v>0</v>
      </c>
      <c r="C387">
        <f>+DB!E387</f>
        <v>0</v>
      </c>
      <c r="D387">
        <f t="shared" ref="D387:D450" si="18">+IF(B387="PSEC-0PA","K",0)</f>
        <v>0</v>
      </c>
      <c r="E387">
        <f>+DB!G387</f>
        <v>0</v>
      </c>
      <c r="F387">
        <f>+DB!H387</f>
        <v>0</v>
      </c>
      <c r="G387">
        <f>+DB!N387</f>
        <v>0</v>
      </c>
      <c r="H387">
        <f>+DB!O387</f>
        <v>0</v>
      </c>
      <c r="I387">
        <f>+DB!I387</f>
        <v>0</v>
      </c>
      <c r="J387">
        <f>+DB!J387</f>
        <v>0</v>
      </c>
      <c r="K387">
        <f>+DB!L387</f>
        <v>0</v>
      </c>
      <c r="L387" t="str">
        <f t="shared" ref="L387:L450" si="19">+LEFT(N387,2)</f>
        <v/>
      </c>
      <c r="M387" t="str">
        <f>+IF(LEFT(DB!M387,3)="13/","CAC","MAD")</f>
        <v>MAD</v>
      </c>
      <c r="N387" t="str">
        <f>+RIGHT(DB!M387,6)</f>
        <v/>
      </c>
      <c r="O387">
        <v>95</v>
      </c>
      <c r="P387">
        <v>5</v>
      </c>
      <c r="Q387">
        <f>+DB!AB387</f>
        <v>0</v>
      </c>
      <c r="R387">
        <f>+DB!K387</f>
        <v>0</v>
      </c>
      <c r="S387">
        <f>+DB!F387</f>
        <v>0</v>
      </c>
      <c r="T387">
        <f>+IF(DB!F387="AAAC-35",1,3)</f>
        <v>3</v>
      </c>
      <c r="U387">
        <f>+DB!R387</f>
        <v>0</v>
      </c>
      <c r="V387">
        <f>+IF(DB!P387="1RI",1,0)+IF(DB!P387="2RI",2,0)</f>
        <v>0</v>
      </c>
      <c r="W387">
        <f>+IF(DB!P387="1RV",1,0)+IF(DB!P387="2RV",2,0)</f>
        <v>0</v>
      </c>
      <c r="X387">
        <f>+IF(DB!P387="RYI",1,0)</f>
        <v>0</v>
      </c>
      <c r="Y387">
        <f>+IF(DB!P387="RYV",1,0)</f>
        <v>0</v>
      </c>
      <c r="Z387">
        <f>+DB!U387</f>
        <v>0</v>
      </c>
      <c r="AA387">
        <f>+IF(DB!F387="AAAC-35",19.5,33)</f>
        <v>33</v>
      </c>
      <c r="AB387">
        <f>+DB!V387</f>
        <v>0</v>
      </c>
      <c r="AC387" t="str">
        <f t="shared" ref="AC387:AC450" si="20">+IF(F387&gt;1675,"56-5","56-4")</f>
        <v>56-4</v>
      </c>
      <c r="AD387" s="21" t="s">
        <v>72</v>
      </c>
      <c r="AE387">
        <f>+DB!X387</f>
        <v>0</v>
      </c>
      <c r="AF387" s="22">
        <f>+DB!Y387</f>
        <v>0</v>
      </c>
      <c r="AG387">
        <f>+DB!AK387</f>
        <v>0</v>
      </c>
    </row>
    <row r="388" spans="1:33" x14ac:dyDescent="0.2">
      <c r="A388">
        <f>+DB!C388</f>
        <v>0</v>
      </c>
      <c r="B388">
        <f>+DB!D388</f>
        <v>0</v>
      </c>
      <c r="C388">
        <f>+DB!E388</f>
        <v>0</v>
      </c>
      <c r="D388">
        <f t="shared" si="18"/>
        <v>0</v>
      </c>
      <c r="E388">
        <f>+DB!G388</f>
        <v>0</v>
      </c>
      <c r="F388">
        <f>+DB!H388</f>
        <v>0</v>
      </c>
      <c r="G388">
        <f>+DB!N388</f>
        <v>0</v>
      </c>
      <c r="H388">
        <f>+DB!O388</f>
        <v>0</v>
      </c>
      <c r="I388">
        <f>+DB!I388</f>
        <v>0</v>
      </c>
      <c r="J388">
        <f>+DB!J388</f>
        <v>0</v>
      </c>
      <c r="K388">
        <f>+DB!L388</f>
        <v>0</v>
      </c>
      <c r="L388" t="str">
        <f t="shared" si="19"/>
        <v/>
      </c>
      <c r="M388" t="str">
        <f>+IF(LEFT(DB!M388,3)="13/","CAC","MAD")</f>
        <v>MAD</v>
      </c>
      <c r="N388" t="str">
        <f>+RIGHT(DB!M388,6)</f>
        <v/>
      </c>
      <c r="O388">
        <v>95</v>
      </c>
      <c r="P388">
        <v>5</v>
      </c>
      <c r="Q388">
        <f>+DB!AB388</f>
        <v>0</v>
      </c>
      <c r="R388">
        <f>+DB!K388</f>
        <v>0</v>
      </c>
      <c r="S388">
        <f>+DB!F388</f>
        <v>0</v>
      </c>
      <c r="T388">
        <f>+IF(DB!F388="AAAC-35",1,3)</f>
        <v>3</v>
      </c>
      <c r="U388">
        <f>+DB!R388</f>
        <v>0</v>
      </c>
      <c r="V388">
        <f>+IF(DB!P388="1RI",1,0)+IF(DB!P388="2RI",2,0)</f>
        <v>0</v>
      </c>
      <c r="W388">
        <f>+IF(DB!P388="1RV",1,0)+IF(DB!P388="2RV",2,0)</f>
        <v>0</v>
      </c>
      <c r="X388">
        <f>+IF(DB!P388="RYI",1,0)</f>
        <v>0</v>
      </c>
      <c r="Y388">
        <f>+IF(DB!P388="RYV",1,0)</f>
        <v>0</v>
      </c>
      <c r="Z388">
        <f>+DB!U388</f>
        <v>0</v>
      </c>
      <c r="AA388">
        <f>+IF(DB!F388="AAAC-35",19.5,33)</f>
        <v>33</v>
      </c>
      <c r="AB388">
        <f>+DB!V388</f>
        <v>0</v>
      </c>
      <c r="AC388" t="str">
        <f t="shared" si="20"/>
        <v>56-4</v>
      </c>
      <c r="AD388" s="21" t="s">
        <v>72</v>
      </c>
      <c r="AE388">
        <f>+DB!X388</f>
        <v>0</v>
      </c>
      <c r="AF388" s="22">
        <f>+DB!Y388</f>
        <v>0</v>
      </c>
      <c r="AG388">
        <f>+DB!AK388</f>
        <v>0</v>
      </c>
    </row>
    <row r="389" spans="1:33" x14ac:dyDescent="0.2">
      <c r="A389">
        <f>+DB!C389</f>
        <v>0</v>
      </c>
      <c r="B389">
        <f>+DB!D389</f>
        <v>0</v>
      </c>
      <c r="C389">
        <f>+DB!E389</f>
        <v>0</v>
      </c>
      <c r="D389">
        <f t="shared" si="18"/>
        <v>0</v>
      </c>
      <c r="E389">
        <f>+DB!G389</f>
        <v>0</v>
      </c>
      <c r="F389">
        <f>+DB!H389</f>
        <v>0</v>
      </c>
      <c r="G389">
        <f>+DB!N389</f>
        <v>0</v>
      </c>
      <c r="H389">
        <f>+DB!O389</f>
        <v>0</v>
      </c>
      <c r="I389">
        <f>+DB!I389</f>
        <v>0</v>
      </c>
      <c r="J389">
        <f>+DB!J389</f>
        <v>0</v>
      </c>
      <c r="K389">
        <f>+DB!L389</f>
        <v>0</v>
      </c>
      <c r="L389" t="str">
        <f t="shared" si="19"/>
        <v/>
      </c>
      <c r="M389" t="str">
        <f>+IF(LEFT(DB!M389,3)="13/","CAC","MAD")</f>
        <v>MAD</v>
      </c>
      <c r="N389" t="str">
        <f>+RIGHT(DB!M389,6)</f>
        <v/>
      </c>
      <c r="O389">
        <v>95</v>
      </c>
      <c r="P389">
        <v>5</v>
      </c>
      <c r="Q389">
        <f>+DB!AB389</f>
        <v>0</v>
      </c>
      <c r="R389">
        <f>+DB!K389</f>
        <v>0</v>
      </c>
      <c r="S389">
        <f>+DB!F389</f>
        <v>0</v>
      </c>
      <c r="T389">
        <f>+IF(DB!F389="AAAC-35",1,3)</f>
        <v>3</v>
      </c>
      <c r="U389">
        <f>+DB!R389</f>
        <v>0</v>
      </c>
      <c r="V389">
        <f>+IF(DB!P389="1RI",1,0)+IF(DB!P389="2RI",2,0)</f>
        <v>0</v>
      </c>
      <c r="W389">
        <f>+IF(DB!P389="1RV",1,0)+IF(DB!P389="2RV",2,0)</f>
        <v>0</v>
      </c>
      <c r="X389">
        <f>+IF(DB!P389="RYI",1,0)</f>
        <v>0</v>
      </c>
      <c r="Y389">
        <f>+IF(DB!P389="RYV",1,0)</f>
        <v>0</v>
      </c>
      <c r="Z389">
        <f>+DB!U389</f>
        <v>0</v>
      </c>
      <c r="AA389">
        <f>+IF(DB!F389="AAAC-35",19.5,33)</f>
        <v>33</v>
      </c>
      <c r="AB389">
        <f>+DB!V389</f>
        <v>0</v>
      </c>
      <c r="AC389" t="str">
        <f t="shared" si="20"/>
        <v>56-4</v>
      </c>
      <c r="AD389" s="21" t="s">
        <v>72</v>
      </c>
      <c r="AE389">
        <f>+DB!X389</f>
        <v>0</v>
      </c>
      <c r="AF389" s="22">
        <f>+DB!Y389</f>
        <v>0</v>
      </c>
      <c r="AG389">
        <f>+DB!AK389</f>
        <v>0</v>
      </c>
    </row>
    <row r="390" spans="1:33" x14ac:dyDescent="0.2">
      <c r="A390">
        <f>+DB!C390</f>
        <v>0</v>
      </c>
      <c r="B390">
        <f>+DB!D390</f>
        <v>0</v>
      </c>
      <c r="C390">
        <f>+DB!E390</f>
        <v>0</v>
      </c>
      <c r="D390">
        <f t="shared" si="18"/>
        <v>0</v>
      </c>
      <c r="E390">
        <f>+DB!G390</f>
        <v>0</v>
      </c>
      <c r="F390">
        <f>+DB!H390</f>
        <v>0</v>
      </c>
      <c r="G390">
        <f>+DB!N390</f>
        <v>0</v>
      </c>
      <c r="H390">
        <f>+DB!O390</f>
        <v>0</v>
      </c>
      <c r="I390">
        <f>+DB!I390</f>
        <v>0</v>
      </c>
      <c r="J390">
        <f>+DB!J390</f>
        <v>0</v>
      </c>
      <c r="K390">
        <f>+DB!L390</f>
        <v>0</v>
      </c>
      <c r="L390" t="str">
        <f t="shared" si="19"/>
        <v/>
      </c>
      <c r="M390" t="str">
        <f>+IF(LEFT(DB!M390,3)="13/","CAC","MAD")</f>
        <v>MAD</v>
      </c>
      <c r="N390" t="str">
        <f>+RIGHT(DB!M390,6)</f>
        <v/>
      </c>
      <c r="O390">
        <v>95</v>
      </c>
      <c r="P390">
        <v>5</v>
      </c>
      <c r="Q390">
        <f>+DB!AB390</f>
        <v>0</v>
      </c>
      <c r="R390">
        <f>+DB!K390</f>
        <v>0</v>
      </c>
      <c r="S390">
        <f>+DB!F390</f>
        <v>0</v>
      </c>
      <c r="T390">
        <f>+IF(DB!F390="AAAC-35",1,3)</f>
        <v>3</v>
      </c>
      <c r="U390">
        <f>+DB!R390</f>
        <v>0</v>
      </c>
      <c r="V390">
        <f>+IF(DB!P390="1RI",1,0)+IF(DB!P390="2RI",2,0)</f>
        <v>0</v>
      </c>
      <c r="W390">
        <f>+IF(DB!P390="1RV",1,0)+IF(DB!P390="2RV",2,0)</f>
        <v>0</v>
      </c>
      <c r="X390">
        <f>+IF(DB!P390="RYI",1,0)</f>
        <v>0</v>
      </c>
      <c r="Y390">
        <f>+IF(DB!P390="RYV",1,0)</f>
        <v>0</v>
      </c>
      <c r="Z390">
        <f>+DB!U390</f>
        <v>0</v>
      </c>
      <c r="AA390">
        <f>+IF(DB!F390="AAAC-35",19.5,33)</f>
        <v>33</v>
      </c>
      <c r="AB390">
        <f>+DB!V390</f>
        <v>0</v>
      </c>
      <c r="AC390" t="str">
        <f t="shared" si="20"/>
        <v>56-4</v>
      </c>
      <c r="AD390" s="21" t="s">
        <v>72</v>
      </c>
      <c r="AE390">
        <f>+DB!X390</f>
        <v>0</v>
      </c>
      <c r="AF390" s="22">
        <f>+DB!Y390</f>
        <v>0</v>
      </c>
      <c r="AG390">
        <f>+DB!AK390</f>
        <v>0</v>
      </c>
    </row>
    <row r="391" spans="1:33" x14ac:dyDescent="0.2">
      <c r="A391">
        <f>+DB!C391</f>
        <v>0</v>
      </c>
      <c r="B391">
        <f>+DB!D391</f>
        <v>0</v>
      </c>
      <c r="C391">
        <f>+DB!E391</f>
        <v>0</v>
      </c>
      <c r="D391">
        <f t="shared" si="18"/>
        <v>0</v>
      </c>
      <c r="E391">
        <f>+DB!G391</f>
        <v>0</v>
      </c>
      <c r="F391">
        <f>+DB!H391</f>
        <v>0</v>
      </c>
      <c r="G391">
        <f>+DB!N391</f>
        <v>0</v>
      </c>
      <c r="H391">
        <f>+DB!O391</f>
        <v>0</v>
      </c>
      <c r="I391">
        <f>+DB!I391</f>
        <v>0</v>
      </c>
      <c r="J391">
        <f>+DB!J391</f>
        <v>0</v>
      </c>
      <c r="K391">
        <f>+DB!L391</f>
        <v>0</v>
      </c>
      <c r="L391" t="str">
        <f t="shared" si="19"/>
        <v/>
      </c>
      <c r="M391" t="str">
        <f>+IF(LEFT(DB!M391,3)="13/","CAC","MAD")</f>
        <v>MAD</v>
      </c>
      <c r="N391" t="str">
        <f>+RIGHT(DB!M391,6)</f>
        <v/>
      </c>
      <c r="O391">
        <v>95</v>
      </c>
      <c r="P391">
        <v>5</v>
      </c>
      <c r="Q391">
        <f>+DB!AB391</f>
        <v>0</v>
      </c>
      <c r="R391">
        <f>+DB!K391</f>
        <v>0</v>
      </c>
      <c r="S391">
        <f>+DB!F391</f>
        <v>0</v>
      </c>
      <c r="T391">
        <f>+IF(DB!F391="AAAC-35",1,3)</f>
        <v>3</v>
      </c>
      <c r="U391">
        <f>+DB!R391</f>
        <v>0</v>
      </c>
      <c r="V391">
        <f>+IF(DB!P391="1RI",1,0)+IF(DB!P391="2RI",2,0)</f>
        <v>0</v>
      </c>
      <c r="W391">
        <f>+IF(DB!P391="1RV",1,0)+IF(DB!P391="2RV",2,0)</f>
        <v>0</v>
      </c>
      <c r="X391">
        <f>+IF(DB!P391="RYI",1,0)</f>
        <v>0</v>
      </c>
      <c r="Y391">
        <f>+IF(DB!P391="RYV",1,0)</f>
        <v>0</v>
      </c>
      <c r="Z391">
        <f>+DB!U391</f>
        <v>0</v>
      </c>
      <c r="AA391">
        <f>+IF(DB!F391="AAAC-35",19.5,33)</f>
        <v>33</v>
      </c>
      <c r="AB391">
        <f>+DB!V391</f>
        <v>0</v>
      </c>
      <c r="AC391" t="str">
        <f t="shared" si="20"/>
        <v>56-4</v>
      </c>
      <c r="AD391" s="21" t="s">
        <v>72</v>
      </c>
      <c r="AE391">
        <f>+DB!X391</f>
        <v>0</v>
      </c>
      <c r="AF391" s="22">
        <f>+DB!Y391</f>
        <v>0</v>
      </c>
      <c r="AG391">
        <f>+DB!AK391</f>
        <v>0</v>
      </c>
    </row>
    <row r="392" spans="1:33" x14ac:dyDescent="0.2">
      <c r="A392">
        <f>+DB!C392</f>
        <v>0</v>
      </c>
      <c r="B392">
        <f>+DB!D392</f>
        <v>0</v>
      </c>
      <c r="C392">
        <f>+DB!E392</f>
        <v>0</v>
      </c>
      <c r="D392">
        <f t="shared" si="18"/>
        <v>0</v>
      </c>
      <c r="E392">
        <f>+DB!G392</f>
        <v>0</v>
      </c>
      <c r="F392">
        <f>+DB!H392</f>
        <v>0</v>
      </c>
      <c r="G392">
        <f>+DB!N392</f>
        <v>0</v>
      </c>
      <c r="H392">
        <f>+DB!O392</f>
        <v>0</v>
      </c>
      <c r="I392">
        <f>+DB!I392</f>
        <v>0</v>
      </c>
      <c r="J392">
        <f>+DB!J392</f>
        <v>0</v>
      </c>
      <c r="K392">
        <f>+DB!L392</f>
        <v>0</v>
      </c>
      <c r="L392" t="str">
        <f t="shared" si="19"/>
        <v/>
      </c>
      <c r="M392" t="str">
        <f>+IF(LEFT(DB!M392,3)="13/","CAC","MAD")</f>
        <v>MAD</v>
      </c>
      <c r="N392" t="str">
        <f>+RIGHT(DB!M392,6)</f>
        <v/>
      </c>
      <c r="O392">
        <v>95</v>
      </c>
      <c r="P392">
        <v>5</v>
      </c>
      <c r="Q392">
        <f>+DB!AB392</f>
        <v>0</v>
      </c>
      <c r="R392">
        <f>+DB!K392</f>
        <v>0</v>
      </c>
      <c r="S392">
        <f>+DB!F392</f>
        <v>0</v>
      </c>
      <c r="T392">
        <f>+IF(DB!F392="AAAC-35",1,3)</f>
        <v>3</v>
      </c>
      <c r="U392">
        <f>+DB!R392</f>
        <v>0</v>
      </c>
      <c r="V392">
        <f>+IF(DB!P392="1RI",1,0)+IF(DB!P392="2RI",2,0)</f>
        <v>0</v>
      </c>
      <c r="W392">
        <f>+IF(DB!P392="1RV",1,0)+IF(DB!P392="2RV",2,0)</f>
        <v>0</v>
      </c>
      <c r="X392">
        <f>+IF(DB!P392="RYI",1,0)</f>
        <v>0</v>
      </c>
      <c r="Y392">
        <f>+IF(DB!P392="RYV",1,0)</f>
        <v>0</v>
      </c>
      <c r="Z392">
        <f>+DB!U392</f>
        <v>0</v>
      </c>
      <c r="AA392">
        <f>+IF(DB!F392="AAAC-35",19.5,33)</f>
        <v>33</v>
      </c>
      <c r="AB392">
        <f>+DB!V392</f>
        <v>0</v>
      </c>
      <c r="AC392" t="str">
        <f t="shared" si="20"/>
        <v>56-4</v>
      </c>
      <c r="AD392" s="21" t="s">
        <v>72</v>
      </c>
      <c r="AE392">
        <f>+DB!X392</f>
        <v>0</v>
      </c>
      <c r="AF392" s="22">
        <f>+DB!Y392</f>
        <v>0</v>
      </c>
      <c r="AG392">
        <f>+DB!AK392</f>
        <v>0</v>
      </c>
    </row>
    <row r="393" spans="1:33" x14ac:dyDescent="0.2">
      <c r="A393">
        <f>+DB!C393</f>
        <v>0</v>
      </c>
      <c r="B393">
        <f>+DB!D393</f>
        <v>0</v>
      </c>
      <c r="C393">
        <f>+DB!E393</f>
        <v>0</v>
      </c>
      <c r="D393">
        <f t="shared" si="18"/>
        <v>0</v>
      </c>
      <c r="E393">
        <f>+DB!G393</f>
        <v>0</v>
      </c>
      <c r="F393">
        <f>+DB!H393</f>
        <v>0</v>
      </c>
      <c r="G393">
        <f>+DB!N393</f>
        <v>0</v>
      </c>
      <c r="H393">
        <f>+DB!O393</f>
        <v>0</v>
      </c>
      <c r="I393">
        <f>+DB!I393</f>
        <v>0</v>
      </c>
      <c r="J393">
        <f>+DB!J393</f>
        <v>0</v>
      </c>
      <c r="K393">
        <f>+DB!L393</f>
        <v>0</v>
      </c>
      <c r="L393" t="str">
        <f t="shared" si="19"/>
        <v/>
      </c>
      <c r="M393" t="str">
        <f>+IF(LEFT(DB!M393,3)="13/","CAC","MAD")</f>
        <v>MAD</v>
      </c>
      <c r="N393" t="str">
        <f>+RIGHT(DB!M393,6)</f>
        <v/>
      </c>
      <c r="O393">
        <v>95</v>
      </c>
      <c r="P393">
        <v>5</v>
      </c>
      <c r="Q393">
        <f>+DB!AB393</f>
        <v>0</v>
      </c>
      <c r="R393">
        <f>+DB!K393</f>
        <v>0</v>
      </c>
      <c r="S393">
        <f>+DB!F393</f>
        <v>0</v>
      </c>
      <c r="T393">
        <f>+IF(DB!F393="AAAC-35",1,3)</f>
        <v>3</v>
      </c>
      <c r="U393">
        <f>+DB!R393</f>
        <v>0</v>
      </c>
      <c r="V393">
        <f>+IF(DB!P393="1RI",1,0)+IF(DB!P393="2RI",2,0)</f>
        <v>0</v>
      </c>
      <c r="W393">
        <f>+IF(DB!P393="1RV",1,0)+IF(DB!P393="2RV",2,0)</f>
        <v>0</v>
      </c>
      <c r="X393">
        <f>+IF(DB!P393="RYI",1,0)</f>
        <v>0</v>
      </c>
      <c r="Y393">
        <f>+IF(DB!P393="RYV",1,0)</f>
        <v>0</v>
      </c>
      <c r="Z393">
        <f>+DB!U393</f>
        <v>0</v>
      </c>
      <c r="AA393">
        <f>+IF(DB!F393="AAAC-35",19.5,33)</f>
        <v>33</v>
      </c>
      <c r="AB393">
        <f>+DB!V393</f>
        <v>0</v>
      </c>
      <c r="AC393" t="str">
        <f t="shared" si="20"/>
        <v>56-4</v>
      </c>
      <c r="AD393" s="21" t="s">
        <v>72</v>
      </c>
      <c r="AE393">
        <f>+DB!X393</f>
        <v>0</v>
      </c>
      <c r="AF393" s="22">
        <f>+DB!Y393</f>
        <v>0</v>
      </c>
      <c r="AG393">
        <f>+DB!AK393</f>
        <v>0</v>
      </c>
    </row>
    <row r="394" spans="1:33" x14ac:dyDescent="0.2">
      <c r="A394">
        <f>+DB!C394</f>
        <v>0</v>
      </c>
      <c r="B394">
        <f>+DB!D394</f>
        <v>0</v>
      </c>
      <c r="C394">
        <f>+DB!E394</f>
        <v>0</v>
      </c>
      <c r="D394">
        <f t="shared" si="18"/>
        <v>0</v>
      </c>
      <c r="E394">
        <f>+DB!G394</f>
        <v>0</v>
      </c>
      <c r="F394">
        <f>+DB!H394</f>
        <v>0</v>
      </c>
      <c r="G394">
        <f>+DB!N394</f>
        <v>0</v>
      </c>
      <c r="H394">
        <f>+DB!O394</f>
        <v>0</v>
      </c>
      <c r="I394">
        <f>+DB!I394</f>
        <v>0</v>
      </c>
      <c r="J394">
        <f>+DB!J394</f>
        <v>0</v>
      </c>
      <c r="K394">
        <f>+DB!L394</f>
        <v>0</v>
      </c>
      <c r="L394" t="str">
        <f t="shared" si="19"/>
        <v/>
      </c>
      <c r="M394" t="str">
        <f>+IF(LEFT(DB!M394,3)="13/","CAC","MAD")</f>
        <v>MAD</v>
      </c>
      <c r="N394" t="str">
        <f>+RIGHT(DB!M394,6)</f>
        <v/>
      </c>
      <c r="O394">
        <v>95</v>
      </c>
      <c r="P394">
        <v>5</v>
      </c>
      <c r="Q394">
        <f>+DB!AB394</f>
        <v>0</v>
      </c>
      <c r="R394">
        <f>+DB!K394</f>
        <v>0</v>
      </c>
      <c r="S394">
        <f>+DB!F394</f>
        <v>0</v>
      </c>
      <c r="T394">
        <f>+IF(DB!F394="AAAC-35",1,3)</f>
        <v>3</v>
      </c>
      <c r="U394">
        <f>+DB!R394</f>
        <v>0</v>
      </c>
      <c r="V394">
        <f>+IF(DB!P394="1RI",1,0)+IF(DB!P394="2RI",2,0)</f>
        <v>0</v>
      </c>
      <c r="W394">
        <f>+IF(DB!P394="1RV",1,0)+IF(DB!P394="2RV",2,0)</f>
        <v>0</v>
      </c>
      <c r="X394">
        <f>+IF(DB!P394="RYI",1,0)</f>
        <v>0</v>
      </c>
      <c r="Y394">
        <f>+IF(DB!P394="RYV",1,0)</f>
        <v>0</v>
      </c>
      <c r="Z394">
        <f>+DB!U394</f>
        <v>0</v>
      </c>
      <c r="AA394">
        <f>+IF(DB!F394="AAAC-35",19.5,33)</f>
        <v>33</v>
      </c>
      <c r="AB394">
        <f>+DB!V394</f>
        <v>0</v>
      </c>
      <c r="AC394" t="str">
        <f t="shared" si="20"/>
        <v>56-4</v>
      </c>
      <c r="AD394" s="21" t="s">
        <v>72</v>
      </c>
      <c r="AE394">
        <f>+DB!X394</f>
        <v>0</v>
      </c>
      <c r="AF394" s="22">
        <f>+DB!Y394</f>
        <v>0</v>
      </c>
      <c r="AG394">
        <f>+DB!AK394</f>
        <v>0</v>
      </c>
    </row>
    <row r="395" spans="1:33" x14ac:dyDescent="0.2">
      <c r="A395">
        <f>+DB!C395</f>
        <v>0</v>
      </c>
      <c r="B395">
        <f>+DB!D395</f>
        <v>0</v>
      </c>
      <c r="C395">
        <f>+DB!E395</f>
        <v>0</v>
      </c>
      <c r="D395">
        <f t="shared" si="18"/>
        <v>0</v>
      </c>
      <c r="E395">
        <f>+DB!G395</f>
        <v>0</v>
      </c>
      <c r="F395">
        <f>+DB!H395</f>
        <v>0</v>
      </c>
      <c r="G395">
        <f>+DB!N395</f>
        <v>0</v>
      </c>
      <c r="H395">
        <f>+DB!O395</f>
        <v>0</v>
      </c>
      <c r="I395">
        <f>+DB!I395</f>
        <v>0</v>
      </c>
      <c r="J395">
        <f>+DB!J395</f>
        <v>0</v>
      </c>
      <c r="K395">
        <f>+DB!L395</f>
        <v>0</v>
      </c>
      <c r="L395" t="str">
        <f t="shared" si="19"/>
        <v/>
      </c>
      <c r="M395" t="str">
        <f>+IF(LEFT(DB!M395,3)="13/","CAC","MAD")</f>
        <v>MAD</v>
      </c>
      <c r="N395" t="str">
        <f>+RIGHT(DB!M395,6)</f>
        <v/>
      </c>
      <c r="O395">
        <v>95</v>
      </c>
      <c r="P395">
        <v>5</v>
      </c>
      <c r="Q395">
        <f>+DB!AB395</f>
        <v>0</v>
      </c>
      <c r="R395">
        <f>+DB!K395</f>
        <v>0</v>
      </c>
      <c r="S395">
        <f>+DB!F395</f>
        <v>0</v>
      </c>
      <c r="T395">
        <f>+IF(DB!F395="AAAC-35",1,3)</f>
        <v>3</v>
      </c>
      <c r="U395">
        <f>+DB!R395</f>
        <v>0</v>
      </c>
      <c r="V395">
        <f>+IF(DB!P395="1RI",1,0)+IF(DB!P395="2RI",2,0)</f>
        <v>0</v>
      </c>
      <c r="W395">
        <f>+IF(DB!P395="1RV",1,0)+IF(DB!P395="2RV",2,0)</f>
        <v>0</v>
      </c>
      <c r="X395">
        <f>+IF(DB!P395="RYI",1,0)</f>
        <v>0</v>
      </c>
      <c r="Y395">
        <f>+IF(DB!P395="RYV",1,0)</f>
        <v>0</v>
      </c>
      <c r="Z395">
        <f>+DB!U395</f>
        <v>0</v>
      </c>
      <c r="AA395">
        <f>+IF(DB!F395="AAAC-35",19.5,33)</f>
        <v>33</v>
      </c>
      <c r="AB395">
        <f>+DB!V395</f>
        <v>0</v>
      </c>
      <c r="AC395" t="str">
        <f t="shared" si="20"/>
        <v>56-4</v>
      </c>
      <c r="AD395" s="21" t="s">
        <v>72</v>
      </c>
      <c r="AE395">
        <f>+DB!X395</f>
        <v>0</v>
      </c>
      <c r="AF395" s="22">
        <f>+DB!Y395</f>
        <v>0</v>
      </c>
      <c r="AG395">
        <f>+DB!AK395</f>
        <v>0</v>
      </c>
    </row>
    <row r="396" spans="1:33" x14ac:dyDescent="0.2">
      <c r="A396">
        <f>+DB!C396</f>
        <v>0</v>
      </c>
      <c r="B396">
        <f>+DB!D396</f>
        <v>0</v>
      </c>
      <c r="C396">
        <f>+DB!E396</f>
        <v>0</v>
      </c>
      <c r="D396">
        <f t="shared" si="18"/>
        <v>0</v>
      </c>
      <c r="E396">
        <f>+DB!G396</f>
        <v>0</v>
      </c>
      <c r="F396">
        <f>+DB!H396</f>
        <v>0</v>
      </c>
      <c r="G396">
        <f>+DB!N396</f>
        <v>0</v>
      </c>
      <c r="H396">
        <f>+DB!O396</f>
        <v>0</v>
      </c>
      <c r="I396">
        <f>+DB!I396</f>
        <v>0</v>
      </c>
      <c r="J396">
        <f>+DB!J396</f>
        <v>0</v>
      </c>
      <c r="K396">
        <f>+DB!L396</f>
        <v>0</v>
      </c>
      <c r="L396" t="str">
        <f t="shared" si="19"/>
        <v/>
      </c>
      <c r="M396" t="str">
        <f>+IF(LEFT(DB!M396,3)="13/","CAC","MAD")</f>
        <v>MAD</v>
      </c>
      <c r="N396" t="str">
        <f>+RIGHT(DB!M396,6)</f>
        <v/>
      </c>
      <c r="O396">
        <v>95</v>
      </c>
      <c r="P396">
        <v>5</v>
      </c>
      <c r="Q396">
        <f>+DB!AB396</f>
        <v>0</v>
      </c>
      <c r="R396">
        <f>+DB!K396</f>
        <v>0</v>
      </c>
      <c r="S396">
        <f>+DB!F396</f>
        <v>0</v>
      </c>
      <c r="T396">
        <f>+IF(DB!F396="AAAC-35",1,3)</f>
        <v>3</v>
      </c>
      <c r="U396">
        <f>+DB!R396</f>
        <v>0</v>
      </c>
      <c r="V396">
        <f>+IF(DB!P396="1RI",1,0)+IF(DB!P396="2RI",2,0)</f>
        <v>0</v>
      </c>
      <c r="W396">
        <f>+IF(DB!P396="1RV",1,0)+IF(DB!P396="2RV",2,0)</f>
        <v>0</v>
      </c>
      <c r="X396">
        <f>+IF(DB!P396="RYI",1,0)</f>
        <v>0</v>
      </c>
      <c r="Y396">
        <f>+IF(DB!P396="RYV",1,0)</f>
        <v>0</v>
      </c>
      <c r="Z396">
        <f>+DB!U396</f>
        <v>0</v>
      </c>
      <c r="AA396">
        <f>+IF(DB!F396="AAAC-35",19.5,33)</f>
        <v>33</v>
      </c>
      <c r="AB396">
        <f>+DB!V396</f>
        <v>0</v>
      </c>
      <c r="AC396" t="str">
        <f t="shared" si="20"/>
        <v>56-4</v>
      </c>
      <c r="AD396" s="21" t="s">
        <v>72</v>
      </c>
      <c r="AE396">
        <f>+DB!X396</f>
        <v>0</v>
      </c>
      <c r="AF396" s="22">
        <f>+DB!Y396</f>
        <v>0</v>
      </c>
      <c r="AG396">
        <f>+DB!AK396</f>
        <v>0</v>
      </c>
    </row>
    <row r="397" spans="1:33" x14ac:dyDescent="0.2">
      <c r="A397">
        <f>+DB!C397</f>
        <v>0</v>
      </c>
      <c r="B397">
        <f>+DB!D397</f>
        <v>0</v>
      </c>
      <c r="C397">
        <f>+DB!E397</f>
        <v>0</v>
      </c>
      <c r="D397">
        <f t="shared" si="18"/>
        <v>0</v>
      </c>
      <c r="E397">
        <f>+DB!G397</f>
        <v>0</v>
      </c>
      <c r="F397">
        <f>+DB!H397</f>
        <v>0</v>
      </c>
      <c r="G397">
        <f>+DB!N397</f>
        <v>0</v>
      </c>
      <c r="H397">
        <f>+DB!O397</f>
        <v>0</v>
      </c>
      <c r="I397">
        <f>+DB!I397</f>
        <v>0</v>
      </c>
      <c r="J397">
        <f>+DB!J397</f>
        <v>0</v>
      </c>
      <c r="K397">
        <f>+DB!L397</f>
        <v>0</v>
      </c>
      <c r="L397" t="str">
        <f t="shared" si="19"/>
        <v/>
      </c>
      <c r="M397" t="str">
        <f>+IF(LEFT(DB!M397,3)="13/","CAC","MAD")</f>
        <v>MAD</v>
      </c>
      <c r="N397" t="str">
        <f>+RIGHT(DB!M397,6)</f>
        <v/>
      </c>
      <c r="O397">
        <v>95</v>
      </c>
      <c r="P397">
        <v>5</v>
      </c>
      <c r="Q397">
        <f>+DB!AB397</f>
        <v>0</v>
      </c>
      <c r="R397">
        <f>+DB!K397</f>
        <v>0</v>
      </c>
      <c r="S397">
        <f>+DB!F397</f>
        <v>0</v>
      </c>
      <c r="T397">
        <f>+IF(DB!F397="AAAC-35",1,3)</f>
        <v>3</v>
      </c>
      <c r="U397">
        <f>+DB!R397</f>
        <v>0</v>
      </c>
      <c r="V397">
        <f>+IF(DB!P397="1RI",1,0)+IF(DB!P397="2RI",2,0)</f>
        <v>0</v>
      </c>
      <c r="W397">
        <f>+IF(DB!P397="1RV",1,0)+IF(DB!P397="2RV",2,0)</f>
        <v>0</v>
      </c>
      <c r="X397">
        <f>+IF(DB!P397="RYI",1,0)</f>
        <v>0</v>
      </c>
      <c r="Y397">
        <f>+IF(DB!P397="RYV",1,0)</f>
        <v>0</v>
      </c>
      <c r="Z397">
        <f>+DB!U397</f>
        <v>0</v>
      </c>
      <c r="AA397">
        <f>+IF(DB!F397="AAAC-35",19.5,33)</f>
        <v>33</v>
      </c>
      <c r="AB397">
        <f>+DB!V397</f>
        <v>0</v>
      </c>
      <c r="AC397" t="str">
        <f t="shared" si="20"/>
        <v>56-4</v>
      </c>
      <c r="AD397" s="21" t="s">
        <v>72</v>
      </c>
      <c r="AE397">
        <f>+DB!X397</f>
        <v>0</v>
      </c>
      <c r="AF397" s="22">
        <f>+DB!Y397</f>
        <v>0</v>
      </c>
      <c r="AG397">
        <f>+DB!AK397</f>
        <v>0</v>
      </c>
    </row>
    <row r="398" spans="1:33" x14ac:dyDescent="0.2">
      <c r="A398">
        <f>+DB!C398</f>
        <v>0</v>
      </c>
      <c r="B398">
        <f>+DB!D398</f>
        <v>0</v>
      </c>
      <c r="C398">
        <f>+DB!E398</f>
        <v>0</v>
      </c>
      <c r="D398">
        <f t="shared" si="18"/>
        <v>0</v>
      </c>
      <c r="E398">
        <f>+DB!G398</f>
        <v>0</v>
      </c>
      <c r="F398">
        <f>+DB!H398</f>
        <v>0</v>
      </c>
      <c r="G398">
        <f>+DB!N398</f>
        <v>0</v>
      </c>
      <c r="H398">
        <f>+DB!O398</f>
        <v>0</v>
      </c>
      <c r="I398">
        <f>+DB!I398</f>
        <v>0</v>
      </c>
      <c r="J398">
        <f>+DB!J398</f>
        <v>0</v>
      </c>
      <c r="K398">
        <f>+DB!L398</f>
        <v>0</v>
      </c>
      <c r="L398" t="str">
        <f t="shared" si="19"/>
        <v/>
      </c>
      <c r="M398" t="str">
        <f>+IF(LEFT(DB!M398,3)="13/","CAC","MAD")</f>
        <v>MAD</v>
      </c>
      <c r="N398" t="str">
        <f>+RIGHT(DB!M398,6)</f>
        <v/>
      </c>
      <c r="O398">
        <v>95</v>
      </c>
      <c r="P398">
        <v>5</v>
      </c>
      <c r="Q398">
        <f>+DB!AB398</f>
        <v>0</v>
      </c>
      <c r="R398">
        <f>+DB!K398</f>
        <v>0</v>
      </c>
      <c r="S398">
        <f>+DB!F398</f>
        <v>0</v>
      </c>
      <c r="T398">
        <f>+IF(DB!F398="AAAC-35",1,3)</f>
        <v>3</v>
      </c>
      <c r="U398">
        <f>+DB!R398</f>
        <v>0</v>
      </c>
      <c r="V398">
        <f>+IF(DB!P398="1RI",1,0)+IF(DB!P398="2RI",2,0)</f>
        <v>0</v>
      </c>
      <c r="W398">
        <f>+IF(DB!P398="1RV",1,0)+IF(DB!P398="2RV",2,0)</f>
        <v>0</v>
      </c>
      <c r="X398">
        <f>+IF(DB!P398="RYI",1,0)</f>
        <v>0</v>
      </c>
      <c r="Y398">
        <f>+IF(DB!P398="RYV",1,0)</f>
        <v>0</v>
      </c>
      <c r="Z398">
        <f>+DB!U398</f>
        <v>0</v>
      </c>
      <c r="AA398">
        <f>+IF(DB!F398="AAAC-35",19.5,33)</f>
        <v>33</v>
      </c>
      <c r="AB398">
        <f>+DB!V398</f>
        <v>0</v>
      </c>
      <c r="AC398" t="str">
        <f t="shared" si="20"/>
        <v>56-4</v>
      </c>
      <c r="AD398" s="21" t="s">
        <v>72</v>
      </c>
      <c r="AE398">
        <f>+DB!X398</f>
        <v>0</v>
      </c>
      <c r="AF398" s="22">
        <f>+DB!Y398</f>
        <v>0</v>
      </c>
      <c r="AG398">
        <f>+DB!AK398</f>
        <v>0</v>
      </c>
    </row>
    <row r="399" spans="1:33" x14ac:dyDescent="0.2">
      <c r="A399">
        <f>+DB!C399</f>
        <v>0</v>
      </c>
      <c r="B399">
        <f>+DB!D399</f>
        <v>0</v>
      </c>
      <c r="C399">
        <f>+DB!E399</f>
        <v>0</v>
      </c>
      <c r="D399">
        <f t="shared" si="18"/>
        <v>0</v>
      </c>
      <c r="E399">
        <f>+DB!G399</f>
        <v>0</v>
      </c>
      <c r="F399">
        <f>+DB!H399</f>
        <v>0</v>
      </c>
      <c r="G399">
        <f>+DB!N399</f>
        <v>0</v>
      </c>
      <c r="H399">
        <f>+DB!O399</f>
        <v>0</v>
      </c>
      <c r="I399">
        <f>+DB!I399</f>
        <v>0</v>
      </c>
      <c r="J399">
        <f>+DB!J399</f>
        <v>0</v>
      </c>
      <c r="K399">
        <f>+DB!L399</f>
        <v>0</v>
      </c>
      <c r="L399" t="str">
        <f t="shared" si="19"/>
        <v/>
      </c>
      <c r="M399" t="str">
        <f>+IF(LEFT(DB!M399,3)="13/","CAC","MAD")</f>
        <v>MAD</v>
      </c>
      <c r="N399" t="str">
        <f>+RIGHT(DB!M399,6)</f>
        <v/>
      </c>
      <c r="O399">
        <v>95</v>
      </c>
      <c r="P399">
        <v>5</v>
      </c>
      <c r="Q399">
        <f>+DB!AB399</f>
        <v>0</v>
      </c>
      <c r="R399">
        <f>+DB!K399</f>
        <v>0</v>
      </c>
      <c r="S399">
        <f>+DB!F399</f>
        <v>0</v>
      </c>
      <c r="T399">
        <f>+IF(DB!F399="AAAC-35",1,3)</f>
        <v>3</v>
      </c>
      <c r="U399">
        <f>+DB!R399</f>
        <v>0</v>
      </c>
      <c r="V399">
        <f>+IF(DB!P399="1RI",1,0)+IF(DB!P399="2RI",2,0)</f>
        <v>0</v>
      </c>
      <c r="W399">
        <f>+IF(DB!P399="1RV",1,0)+IF(DB!P399="2RV",2,0)</f>
        <v>0</v>
      </c>
      <c r="X399">
        <f>+IF(DB!P399="RYI",1,0)</f>
        <v>0</v>
      </c>
      <c r="Y399">
        <f>+IF(DB!P399="RYV",1,0)</f>
        <v>0</v>
      </c>
      <c r="Z399">
        <f>+DB!U399</f>
        <v>0</v>
      </c>
      <c r="AA399">
        <f>+IF(DB!F399="AAAC-35",19.5,33)</f>
        <v>33</v>
      </c>
      <c r="AB399">
        <f>+DB!V399</f>
        <v>0</v>
      </c>
      <c r="AC399" t="str">
        <f t="shared" si="20"/>
        <v>56-4</v>
      </c>
      <c r="AD399" s="21" t="s">
        <v>72</v>
      </c>
      <c r="AE399">
        <f>+DB!X399</f>
        <v>0</v>
      </c>
      <c r="AF399" s="22">
        <f>+DB!Y399</f>
        <v>0</v>
      </c>
      <c r="AG399">
        <f>+DB!AK399</f>
        <v>0</v>
      </c>
    </row>
    <row r="400" spans="1:33" x14ac:dyDescent="0.2">
      <c r="A400">
        <f>+DB!C400</f>
        <v>0</v>
      </c>
      <c r="B400">
        <f>+DB!D400</f>
        <v>0</v>
      </c>
      <c r="C400">
        <f>+DB!E400</f>
        <v>0</v>
      </c>
      <c r="D400">
        <f t="shared" si="18"/>
        <v>0</v>
      </c>
      <c r="E400">
        <f>+DB!G400</f>
        <v>0</v>
      </c>
      <c r="F400">
        <f>+DB!H400</f>
        <v>0</v>
      </c>
      <c r="G400">
        <f>+DB!N400</f>
        <v>0</v>
      </c>
      <c r="H400">
        <f>+DB!O400</f>
        <v>0</v>
      </c>
      <c r="I400">
        <f>+DB!I400</f>
        <v>0</v>
      </c>
      <c r="J400">
        <f>+DB!J400</f>
        <v>0</v>
      </c>
      <c r="K400">
        <f>+DB!L400</f>
        <v>0</v>
      </c>
      <c r="L400" t="str">
        <f t="shared" si="19"/>
        <v/>
      </c>
      <c r="M400" t="str">
        <f>+IF(LEFT(DB!M400,3)="13/","CAC","MAD")</f>
        <v>MAD</v>
      </c>
      <c r="N400" t="str">
        <f>+RIGHT(DB!M400,6)</f>
        <v/>
      </c>
      <c r="O400">
        <v>95</v>
      </c>
      <c r="P400">
        <v>5</v>
      </c>
      <c r="Q400">
        <f>+DB!AB400</f>
        <v>0</v>
      </c>
      <c r="R400">
        <f>+DB!K400</f>
        <v>0</v>
      </c>
      <c r="S400">
        <f>+DB!F400</f>
        <v>0</v>
      </c>
      <c r="T400">
        <f>+IF(DB!F400="AAAC-35",1,3)</f>
        <v>3</v>
      </c>
      <c r="U400">
        <f>+DB!R400</f>
        <v>0</v>
      </c>
      <c r="V400">
        <f>+IF(DB!P400="1RI",1,0)+IF(DB!P400="2RI",2,0)</f>
        <v>0</v>
      </c>
      <c r="W400">
        <f>+IF(DB!P400="1RV",1,0)+IF(DB!P400="2RV",2,0)</f>
        <v>0</v>
      </c>
      <c r="X400">
        <f>+IF(DB!P400="RYI",1,0)</f>
        <v>0</v>
      </c>
      <c r="Y400">
        <f>+IF(DB!P400="RYV",1,0)</f>
        <v>0</v>
      </c>
      <c r="Z400">
        <f>+DB!U400</f>
        <v>0</v>
      </c>
      <c r="AA400">
        <f>+IF(DB!F400="AAAC-35",19.5,33)</f>
        <v>33</v>
      </c>
      <c r="AB400">
        <f>+DB!V400</f>
        <v>0</v>
      </c>
      <c r="AC400" t="str">
        <f t="shared" si="20"/>
        <v>56-4</v>
      </c>
      <c r="AD400" s="21" t="s">
        <v>72</v>
      </c>
      <c r="AE400">
        <f>+DB!X400</f>
        <v>0</v>
      </c>
      <c r="AF400" s="22">
        <f>+DB!Y400</f>
        <v>0</v>
      </c>
      <c r="AG400">
        <f>+DB!AK400</f>
        <v>0</v>
      </c>
    </row>
    <row r="401" spans="1:33" x14ac:dyDescent="0.2">
      <c r="A401">
        <f>+DB!C401</f>
        <v>0</v>
      </c>
      <c r="B401">
        <f>+DB!D401</f>
        <v>0</v>
      </c>
      <c r="C401">
        <f>+DB!E401</f>
        <v>0</v>
      </c>
      <c r="D401">
        <f t="shared" si="18"/>
        <v>0</v>
      </c>
      <c r="E401">
        <f>+DB!G401</f>
        <v>0</v>
      </c>
      <c r="F401">
        <f>+DB!H401</f>
        <v>0</v>
      </c>
      <c r="G401">
        <f>+DB!N401</f>
        <v>0</v>
      </c>
      <c r="H401">
        <f>+DB!O401</f>
        <v>0</v>
      </c>
      <c r="I401">
        <f>+DB!I401</f>
        <v>0</v>
      </c>
      <c r="J401">
        <f>+DB!J401</f>
        <v>0</v>
      </c>
      <c r="K401">
        <f>+DB!L401</f>
        <v>0</v>
      </c>
      <c r="L401" t="str">
        <f t="shared" si="19"/>
        <v/>
      </c>
      <c r="M401" t="str">
        <f>+IF(LEFT(DB!M401,3)="13/","CAC","MAD")</f>
        <v>MAD</v>
      </c>
      <c r="N401" t="str">
        <f>+RIGHT(DB!M401,6)</f>
        <v/>
      </c>
      <c r="O401">
        <v>95</v>
      </c>
      <c r="P401">
        <v>5</v>
      </c>
      <c r="Q401">
        <f>+DB!AB401</f>
        <v>0</v>
      </c>
      <c r="R401">
        <f>+DB!K401</f>
        <v>0</v>
      </c>
      <c r="S401">
        <f>+DB!F401</f>
        <v>0</v>
      </c>
      <c r="T401">
        <f>+IF(DB!F401="AAAC-35",1,3)</f>
        <v>3</v>
      </c>
      <c r="U401">
        <f>+DB!R401</f>
        <v>0</v>
      </c>
      <c r="V401">
        <f>+IF(DB!P401="1RI",1,0)+IF(DB!P401="2RI",2,0)</f>
        <v>0</v>
      </c>
      <c r="W401">
        <f>+IF(DB!P401="1RV",1,0)+IF(DB!P401="2RV",2,0)</f>
        <v>0</v>
      </c>
      <c r="X401">
        <f>+IF(DB!P401="RYI",1,0)</f>
        <v>0</v>
      </c>
      <c r="Y401">
        <f>+IF(DB!P401="RYV",1,0)</f>
        <v>0</v>
      </c>
      <c r="Z401">
        <f>+DB!U401</f>
        <v>0</v>
      </c>
      <c r="AA401">
        <f>+IF(DB!F401="AAAC-35",19.5,33)</f>
        <v>33</v>
      </c>
      <c r="AB401">
        <f>+DB!V401</f>
        <v>0</v>
      </c>
      <c r="AC401" t="str">
        <f t="shared" si="20"/>
        <v>56-4</v>
      </c>
      <c r="AD401" s="21" t="s">
        <v>72</v>
      </c>
      <c r="AE401">
        <f>+DB!X401</f>
        <v>0</v>
      </c>
      <c r="AF401" s="22">
        <f>+DB!Y401</f>
        <v>0</v>
      </c>
      <c r="AG401">
        <f>+DB!AK401</f>
        <v>0</v>
      </c>
    </row>
    <row r="402" spans="1:33" x14ac:dyDescent="0.2">
      <c r="A402">
        <f>+DB!C402</f>
        <v>0</v>
      </c>
      <c r="B402">
        <f>+DB!D402</f>
        <v>0</v>
      </c>
      <c r="C402">
        <f>+DB!E402</f>
        <v>0</v>
      </c>
      <c r="D402">
        <f t="shared" si="18"/>
        <v>0</v>
      </c>
      <c r="E402">
        <f>+DB!G402</f>
        <v>0</v>
      </c>
      <c r="F402">
        <f>+DB!H402</f>
        <v>0</v>
      </c>
      <c r="G402">
        <f>+DB!N402</f>
        <v>0</v>
      </c>
      <c r="H402">
        <f>+DB!O402</f>
        <v>0</v>
      </c>
      <c r="I402">
        <f>+DB!I402</f>
        <v>0</v>
      </c>
      <c r="J402">
        <f>+DB!J402</f>
        <v>0</v>
      </c>
      <c r="K402">
        <f>+DB!L402</f>
        <v>0</v>
      </c>
      <c r="L402" t="str">
        <f t="shared" si="19"/>
        <v/>
      </c>
      <c r="M402" t="str">
        <f>+IF(LEFT(DB!M402,3)="13/","CAC","MAD")</f>
        <v>MAD</v>
      </c>
      <c r="N402" t="str">
        <f>+RIGHT(DB!M402,6)</f>
        <v/>
      </c>
      <c r="O402">
        <v>95</v>
      </c>
      <c r="P402">
        <v>5</v>
      </c>
      <c r="Q402">
        <f>+DB!AB402</f>
        <v>0</v>
      </c>
      <c r="R402">
        <f>+DB!K402</f>
        <v>0</v>
      </c>
      <c r="S402">
        <f>+DB!F402</f>
        <v>0</v>
      </c>
      <c r="T402">
        <f>+IF(DB!F402="AAAC-35",1,3)</f>
        <v>3</v>
      </c>
      <c r="U402">
        <f>+DB!R402</f>
        <v>0</v>
      </c>
      <c r="V402">
        <f>+IF(DB!P402="1RI",1,0)+IF(DB!P402="2RI",2,0)</f>
        <v>0</v>
      </c>
      <c r="W402">
        <f>+IF(DB!P402="1RV",1,0)+IF(DB!P402="2RV",2,0)</f>
        <v>0</v>
      </c>
      <c r="X402">
        <f>+IF(DB!P402="RYI",1,0)</f>
        <v>0</v>
      </c>
      <c r="Y402">
        <f>+IF(DB!P402="RYV",1,0)</f>
        <v>0</v>
      </c>
      <c r="Z402">
        <f>+DB!U402</f>
        <v>0</v>
      </c>
      <c r="AA402">
        <f>+IF(DB!F402="AAAC-35",19.5,33)</f>
        <v>33</v>
      </c>
      <c r="AB402">
        <f>+DB!V402</f>
        <v>0</v>
      </c>
      <c r="AC402" t="str">
        <f t="shared" si="20"/>
        <v>56-4</v>
      </c>
      <c r="AD402" s="21" t="s">
        <v>72</v>
      </c>
      <c r="AE402">
        <f>+DB!X402</f>
        <v>0</v>
      </c>
      <c r="AF402" s="22">
        <f>+DB!Y402</f>
        <v>0</v>
      </c>
      <c r="AG402">
        <f>+DB!AK402</f>
        <v>0</v>
      </c>
    </row>
    <row r="403" spans="1:33" x14ac:dyDescent="0.2">
      <c r="A403">
        <f>+DB!C403</f>
        <v>0</v>
      </c>
      <c r="B403">
        <f>+DB!D403</f>
        <v>0</v>
      </c>
      <c r="C403">
        <f>+DB!E403</f>
        <v>0</v>
      </c>
      <c r="D403">
        <f t="shared" si="18"/>
        <v>0</v>
      </c>
      <c r="E403">
        <f>+DB!G403</f>
        <v>0</v>
      </c>
      <c r="F403">
        <f>+DB!H403</f>
        <v>0</v>
      </c>
      <c r="G403">
        <f>+DB!N403</f>
        <v>0</v>
      </c>
      <c r="H403">
        <f>+DB!O403</f>
        <v>0</v>
      </c>
      <c r="I403">
        <f>+DB!I403</f>
        <v>0</v>
      </c>
      <c r="J403">
        <f>+DB!J403</f>
        <v>0</v>
      </c>
      <c r="K403">
        <f>+DB!L403</f>
        <v>0</v>
      </c>
      <c r="L403" t="str">
        <f t="shared" si="19"/>
        <v/>
      </c>
      <c r="M403" t="str">
        <f>+IF(LEFT(DB!M403,3)="13/","CAC","MAD")</f>
        <v>MAD</v>
      </c>
      <c r="N403" t="str">
        <f>+RIGHT(DB!M403,6)</f>
        <v/>
      </c>
      <c r="O403">
        <v>95</v>
      </c>
      <c r="P403">
        <v>5</v>
      </c>
      <c r="Q403">
        <f>+DB!AB403</f>
        <v>0</v>
      </c>
      <c r="R403">
        <f>+DB!K403</f>
        <v>0</v>
      </c>
      <c r="S403">
        <f>+DB!F403</f>
        <v>0</v>
      </c>
      <c r="T403">
        <f>+IF(DB!F403="AAAC-35",1,3)</f>
        <v>3</v>
      </c>
      <c r="U403">
        <f>+DB!R403</f>
        <v>0</v>
      </c>
      <c r="V403">
        <f>+IF(DB!P403="1RI",1,0)+IF(DB!P403="2RI",2,0)</f>
        <v>0</v>
      </c>
      <c r="W403">
        <f>+IF(DB!P403="1RV",1,0)+IF(DB!P403="2RV",2,0)</f>
        <v>0</v>
      </c>
      <c r="X403">
        <f>+IF(DB!P403="RYI",1,0)</f>
        <v>0</v>
      </c>
      <c r="Y403">
        <f>+IF(DB!P403="RYV",1,0)</f>
        <v>0</v>
      </c>
      <c r="Z403">
        <f>+DB!U403</f>
        <v>0</v>
      </c>
      <c r="AA403">
        <f>+IF(DB!F403="AAAC-35",19.5,33)</f>
        <v>33</v>
      </c>
      <c r="AB403">
        <f>+DB!V403</f>
        <v>0</v>
      </c>
      <c r="AC403" t="str">
        <f t="shared" si="20"/>
        <v>56-4</v>
      </c>
      <c r="AD403" s="21" t="s">
        <v>72</v>
      </c>
      <c r="AE403">
        <f>+DB!X403</f>
        <v>0</v>
      </c>
      <c r="AF403" s="22">
        <f>+DB!Y403</f>
        <v>0</v>
      </c>
      <c r="AG403">
        <f>+DB!AK403</f>
        <v>0</v>
      </c>
    </row>
    <row r="404" spans="1:33" x14ac:dyDescent="0.2">
      <c r="A404">
        <f>+DB!C404</f>
        <v>0</v>
      </c>
      <c r="B404">
        <f>+DB!D404</f>
        <v>0</v>
      </c>
      <c r="C404">
        <f>+DB!E404</f>
        <v>0</v>
      </c>
      <c r="D404">
        <f t="shared" si="18"/>
        <v>0</v>
      </c>
      <c r="E404">
        <f>+DB!G404</f>
        <v>0</v>
      </c>
      <c r="F404">
        <f>+DB!H404</f>
        <v>0</v>
      </c>
      <c r="G404">
        <f>+DB!N404</f>
        <v>0</v>
      </c>
      <c r="H404">
        <f>+DB!O404</f>
        <v>0</v>
      </c>
      <c r="I404">
        <f>+DB!I404</f>
        <v>0</v>
      </c>
      <c r="J404">
        <f>+DB!J404</f>
        <v>0</v>
      </c>
      <c r="K404">
        <f>+DB!L404</f>
        <v>0</v>
      </c>
      <c r="L404" t="str">
        <f t="shared" si="19"/>
        <v/>
      </c>
      <c r="M404" t="str">
        <f>+IF(LEFT(DB!M404,3)="13/","CAC","MAD")</f>
        <v>MAD</v>
      </c>
      <c r="N404" t="str">
        <f>+RIGHT(DB!M404,6)</f>
        <v/>
      </c>
      <c r="O404">
        <v>95</v>
      </c>
      <c r="P404">
        <v>5</v>
      </c>
      <c r="Q404">
        <f>+DB!AB404</f>
        <v>0</v>
      </c>
      <c r="R404">
        <f>+DB!K404</f>
        <v>0</v>
      </c>
      <c r="S404">
        <f>+DB!F404</f>
        <v>0</v>
      </c>
      <c r="T404">
        <f>+IF(DB!F404="AAAC-35",1,3)</f>
        <v>3</v>
      </c>
      <c r="U404">
        <f>+DB!R404</f>
        <v>0</v>
      </c>
      <c r="V404">
        <f>+IF(DB!P404="1RI",1,0)+IF(DB!P404="2RI",2,0)</f>
        <v>0</v>
      </c>
      <c r="W404">
        <f>+IF(DB!P404="1RV",1,0)+IF(DB!P404="2RV",2,0)</f>
        <v>0</v>
      </c>
      <c r="X404">
        <f>+IF(DB!P404="RYI",1,0)</f>
        <v>0</v>
      </c>
      <c r="Y404">
        <f>+IF(DB!P404="RYV",1,0)</f>
        <v>0</v>
      </c>
      <c r="Z404">
        <f>+DB!U404</f>
        <v>0</v>
      </c>
      <c r="AA404">
        <f>+IF(DB!F404="AAAC-35",19.5,33)</f>
        <v>33</v>
      </c>
      <c r="AB404">
        <f>+DB!V404</f>
        <v>0</v>
      </c>
      <c r="AC404" t="str">
        <f t="shared" si="20"/>
        <v>56-4</v>
      </c>
      <c r="AD404" s="21" t="s">
        <v>72</v>
      </c>
      <c r="AE404">
        <f>+DB!X404</f>
        <v>0</v>
      </c>
      <c r="AF404" s="22">
        <f>+DB!Y404</f>
        <v>0</v>
      </c>
      <c r="AG404">
        <f>+DB!AK404</f>
        <v>0</v>
      </c>
    </row>
    <row r="405" spans="1:33" x14ac:dyDescent="0.2">
      <c r="A405">
        <f>+DB!C405</f>
        <v>0</v>
      </c>
      <c r="B405">
        <f>+DB!D405</f>
        <v>0</v>
      </c>
      <c r="C405">
        <f>+DB!E405</f>
        <v>0</v>
      </c>
      <c r="D405">
        <f t="shared" si="18"/>
        <v>0</v>
      </c>
      <c r="E405">
        <f>+DB!G405</f>
        <v>0</v>
      </c>
      <c r="F405">
        <f>+DB!H405</f>
        <v>0</v>
      </c>
      <c r="G405">
        <f>+DB!N405</f>
        <v>0</v>
      </c>
      <c r="H405">
        <f>+DB!O405</f>
        <v>0</v>
      </c>
      <c r="I405">
        <f>+DB!I405</f>
        <v>0</v>
      </c>
      <c r="J405">
        <f>+DB!J405</f>
        <v>0</v>
      </c>
      <c r="K405">
        <f>+DB!L405</f>
        <v>0</v>
      </c>
      <c r="L405" t="str">
        <f t="shared" si="19"/>
        <v/>
      </c>
      <c r="M405" t="str">
        <f>+IF(LEFT(DB!M405,3)="13/","CAC","MAD")</f>
        <v>MAD</v>
      </c>
      <c r="N405" t="str">
        <f>+RIGHT(DB!M405,6)</f>
        <v/>
      </c>
      <c r="O405">
        <v>95</v>
      </c>
      <c r="P405">
        <v>5</v>
      </c>
      <c r="Q405">
        <f>+DB!AB405</f>
        <v>0</v>
      </c>
      <c r="R405">
        <f>+DB!K405</f>
        <v>0</v>
      </c>
      <c r="S405">
        <f>+DB!F405</f>
        <v>0</v>
      </c>
      <c r="T405">
        <f>+IF(DB!F405="AAAC-35",1,3)</f>
        <v>3</v>
      </c>
      <c r="U405">
        <f>+DB!R405</f>
        <v>0</v>
      </c>
      <c r="V405">
        <f>+IF(DB!P405="1RI",1,0)+IF(DB!P405="2RI",2,0)</f>
        <v>0</v>
      </c>
      <c r="W405">
        <f>+IF(DB!P405="1RV",1,0)+IF(DB!P405="2RV",2,0)</f>
        <v>0</v>
      </c>
      <c r="X405">
        <f>+IF(DB!P405="RYI",1,0)</f>
        <v>0</v>
      </c>
      <c r="Y405">
        <f>+IF(DB!P405="RYV",1,0)</f>
        <v>0</v>
      </c>
      <c r="Z405">
        <f>+DB!U405</f>
        <v>0</v>
      </c>
      <c r="AA405">
        <f>+IF(DB!F405="AAAC-35",19.5,33)</f>
        <v>33</v>
      </c>
      <c r="AB405">
        <f>+DB!V405</f>
        <v>0</v>
      </c>
      <c r="AC405" t="str">
        <f t="shared" si="20"/>
        <v>56-4</v>
      </c>
      <c r="AD405" s="21" t="s">
        <v>72</v>
      </c>
      <c r="AE405">
        <f>+DB!X405</f>
        <v>0</v>
      </c>
      <c r="AF405" s="22">
        <f>+DB!Y405</f>
        <v>0</v>
      </c>
      <c r="AG405">
        <f>+DB!AK405</f>
        <v>0</v>
      </c>
    </row>
    <row r="406" spans="1:33" x14ac:dyDescent="0.2">
      <c r="A406">
        <f>+DB!C406</f>
        <v>0</v>
      </c>
      <c r="B406">
        <f>+DB!D406</f>
        <v>0</v>
      </c>
      <c r="C406">
        <f>+DB!E406</f>
        <v>0</v>
      </c>
      <c r="D406">
        <f t="shared" si="18"/>
        <v>0</v>
      </c>
      <c r="E406">
        <f>+DB!G406</f>
        <v>0</v>
      </c>
      <c r="F406">
        <f>+DB!H406</f>
        <v>0</v>
      </c>
      <c r="G406">
        <f>+DB!N406</f>
        <v>0</v>
      </c>
      <c r="H406">
        <f>+DB!O406</f>
        <v>0</v>
      </c>
      <c r="I406">
        <f>+DB!I406</f>
        <v>0</v>
      </c>
      <c r="J406">
        <f>+DB!J406</f>
        <v>0</v>
      </c>
      <c r="K406">
        <f>+DB!L406</f>
        <v>0</v>
      </c>
      <c r="L406" t="str">
        <f t="shared" si="19"/>
        <v/>
      </c>
      <c r="M406" t="str">
        <f>+IF(LEFT(DB!M406,3)="13/","CAC","MAD")</f>
        <v>MAD</v>
      </c>
      <c r="N406" t="str">
        <f>+RIGHT(DB!M406,6)</f>
        <v/>
      </c>
      <c r="O406">
        <v>95</v>
      </c>
      <c r="P406">
        <v>5</v>
      </c>
      <c r="Q406">
        <f>+DB!AB406</f>
        <v>0</v>
      </c>
      <c r="R406">
        <f>+DB!K406</f>
        <v>0</v>
      </c>
      <c r="S406">
        <f>+DB!F406</f>
        <v>0</v>
      </c>
      <c r="T406">
        <f>+IF(DB!F406="AAAC-35",1,3)</f>
        <v>3</v>
      </c>
      <c r="U406">
        <f>+DB!R406</f>
        <v>0</v>
      </c>
      <c r="V406">
        <f>+IF(DB!P406="1RI",1,0)+IF(DB!P406="2RI",2,0)</f>
        <v>0</v>
      </c>
      <c r="W406">
        <f>+IF(DB!P406="1RV",1,0)+IF(DB!P406="2RV",2,0)</f>
        <v>0</v>
      </c>
      <c r="X406">
        <f>+IF(DB!P406="RYI",1,0)</f>
        <v>0</v>
      </c>
      <c r="Y406">
        <f>+IF(DB!P406="RYV",1,0)</f>
        <v>0</v>
      </c>
      <c r="Z406">
        <f>+DB!U406</f>
        <v>0</v>
      </c>
      <c r="AA406">
        <f>+IF(DB!F406="AAAC-35",19.5,33)</f>
        <v>33</v>
      </c>
      <c r="AB406">
        <f>+DB!V406</f>
        <v>0</v>
      </c>
      <c r="AC406" t="str">
        <f t="shared" si="20"/>
        <v>56-4</v>
      </c>
      <c r="AD406" s="21" t="s">
        <v>72</v>
      </c>
      <c r="AE406">
        <f>+DB!X406</f>
        <v>0</v>
      </c>
      <c r="AF406" s="22">
        <f>+DB!Y406</f>
        <v>0</v>
      </c>
      <c r="AG406">
        <f>+DB!AK406</f>
        <v>0</v>
      </c>
    </row>
    <row r="407" spans="1:33" x14ac:dyDescent="0.2">
      <c r="A407">
        <f>+DB!C407</f>
        <v>0</v>
      </c>
      <c r="B407">
        <f>+DB!D407</f>
        <v>0</v>
      </c>
      <c r="C407">
        <f>+DB!E407</f>
        <v>0</v>
      </c>
      <c r="D407">
        <f t="shared" si="18"/>
        <v>0</v>
      </c>
      <c r="E407">
        <f>+DB!G407</f>
        <v>0</v>
      </c>
      <c r="F407">
        <f>+DB!H407</f>
        <v>0</v>
      </c>
      <c r="G407">
        <f>+DB!N407</f>
        <v>0</v>
      </c>
      <c r="H407">
        <f>+DB!O407</f>
        <v>0</v>
      </c>
      <c r="I407">
        <f>+DB!I407</f>
        <v>0</v>
      </c>
      <c r="J407">
        <f>+DB!J407</f>
        <v>0</v>
      </c>
      <c r="K407">
        <f>+DB!L407</f>
        <v>0</v>
      </c>
      <c r="L407" t="str">
        <f t="shared" si="19"/>
        <v/>
      </c>
      <c r="M407" t="str">
        <f>+IF(LEFT(DB!M407,3)="13/","CAC","MAD")</f>
        <v>MAD</v>
      </c>
      <c r="N407" t="str">
        <f>+RIGHT(DB!M407,6)</f>
        <v/>
      </c>
      <c r="O407">
        <v>95</v>
      </c>
      <c r="P407">
        <v>5</v>
      </c>
      <c r="Q407">
        <f>+DB!AB407</f>
        <v>0</v>
      </c>
      <c r="R407">
        <f>+DB!K407</f>
        <v>0</v>
      </c>
      <c r="S407">
        <f>+DB!F407</f>
        <v>0</v>
      </c>
      <c r="T407">
        <f>+IF(DB!F407="AAAC-35",1,3)</f>
        <v>3</v>
      </c>
      <c r="U407">
        <f>+DB!R407</f>
        <v>0</v>
      </c>
      <c r="V407">
        <f>+IF(DB!P407="1RI",1,0)+IF(DB!P407="2RI",2,0)</f>
        <v>0</v>
      </c>
      <c r="W407">
        <f>+IF(DB!P407="1RV",1,0)+IF(DB!P407="2RV",2,0)</f>
        <v>0</v>
      </c>
      <c r="X407">
        <f>+IF(DB!P407="RYI",1,0)</f>
        <v>0</v>
      </c>
      <c r="Y407">
        <f>+IF(DB!P407="RYV",1,0)</f>
        <v>0</v>
      </c>
      <c r="Z407">
        <f>+DB!U407</f>
        <v>0</v>
      </c>
      <c r="AA407">
        <f>+IF(DB!F407="AAAC-35",19.5,33)</f>
        <v>33</v>
      </c>
      <c r="AB407">
        <f>+DB!V407</f>
        <v>0</v>
      </c>
      <c r="AC407" t="str">
        <f t="shared" si="20"/>
        <v>56-4</v>
      </c>
      <c r="AD407" s="21" t="s">
        <v>72</v>
      </c>
      <c r="AE407">
        <f>+DB!X407</f>
        <v>0</v>
      </c>
      <c r="AF407" s="22">
        <f>+DB!Y407</f>
        <v>0</v>
      </c>
      <c r="AG407">
        <f>+DB!AK407</f>
        <v>0</v>
      </c>
    </row>
    <row r="408" spans="1:33" x14ac:dyDescent="0.2">
      <c r="A408">
        <f>+DB!C408</f>
        <v>0</v>
      </c>
      <c r="B408">
        <f>+DB!D408</f>
        <v>0</v>
      </c>
      <c r="C408">
        <f>+DB!E408</f>
        <v>0</v>
      </c>
      <c r="D408">
        <f t="shared" si="18"/>
        <v>0</v>
      </c>
      <c r="E408">
        <f>+DB!G408</f>
        <v>0</v>
      </c>
      <c r="F408">
        <f>+DB!H408</f>
        <v>0</v>
      </c>
      <c r="G408">
        <f>+DB!N408</f>
        <v>0</v>
      </c>
      <c r="H408">
        <f>+DB!O408</f>
        <v>0</v>
      </c>
      <c r="I408">
        <f>+DB!I408</f>
        <v>0</v>
      </c>
      <c r="J408">
        <f>+DB!J408</f>
        <v>0</v>
      </c>
      <c r="K408">
        <f>+DB!L408</f>
        <v>0</v>
      </c>
      <c r="L408" t="str">
        <f t="shared" si="19"/>
        <v/>
      </c>
      <c r="M408" t="str">
        <f>+IF(LEFT(DB!M408,3)="13/","CAC","MAD")</f>
        <v>MAD</v>
      </c>
      <c r="N408" t="str">
        <f>+RIGHT(DB!M408,6)</f>
        <v/>
      </c>
      <c r="O408">
        <v>95</v>
      </c>
      <c r="P408">
        <v>5</v>
      </c>
      <c r="Q408">
        <f>+DB!AB408</f>
        <v>0</v>
      </c>
      <c r="R408">
        <f>+DB!K408</f>
        <v>0</v>
      </c>
      <c r="S408">
        <f>+DB!F408</f>
        <v>0</v>
      </c>
      <c r="T408">
        <f>+IF(DB!F408="AAAC-35",1,3)</f>
        <v>3</v>
      </c>
      <c r="U408">
        <f>+DB!R408</f>
        <v>0</v>
      </c>
      <c r="V408">
        <f>+IF(DB!P408="1RI",1,0)+IF(DB!P408="2RI",2,0)</f>
        <v>0</v>
      </c>
      <c r="W408">
        <f>+IF(DB!P408="1RV",1,0)+IF(DB!P408="2RV",2,0)</f>
        <v>0</v>
      </c>
      <c r="X408">
        <f>+IF(DB!P408="RYI",1,0)</f>
        <v>0</v>
      </c>
      <c r="Y408">
        <f>+IF(DB!P408="RYV",1,0)</f>
        <v>0</v>
      </c>
      <c r="Z408">
        <f>+DB!U408</f>
        <v>0</v>
      </c>
      <c r="AA408">
        <f>+IF(DB!F408="AAAC-35",19.5,33)</f>
        <v>33</v>
      </c>
      <c r="AB408">
        <f>+DB!V408</f>
        <v>0</v>
      </c>
      <c r="AC408" t="str">
        <f t="shared" si="20"/>
        <v>56-4</v>
      </c>
      <c r="AD408" s="21" t="s">
        <v>72</v>
      </c>
      <c r="AE408">
        <f>+DB!X408</f>
        <v>0</v>
      </c>
      <c r="AF408" s="22">
        <f>+DB!Y408</f>
        <v>0</v>
      </c>
      <c r="AG408">
        <f>+DB!AK408</f>
        <v>0</v>
      </c>
    </row>
    <row r="409" spans="1:33" x14ac:dyDescent="0.2">
      <c r="A409">
        <f>+DB!C409</f>
        <v>0</v>
      </c>
      <c r="B409">
        <f>+DB!D409</f>
        <v>0</v>
      </c>
      <c r="C409">
        <f>+DB!E409</f>
        <v>0</v>
      </c>
      <c r="D409">
        <f t="shared" si="18"/>
        <v>0</v>
      </c>
      <c r="E409">
        <f>+DB!G409</f>
        <v>0</v>
      </c>
      <c r="F409">
        <f>+DB!H409</f>
        <v>0</v>
      </c>
      <c r="G409">
        <f>+DB!N409</f>
        <v>0</v>
      </c>
      <c r="H409">
        <f>+DB!O409</f>
        <v>0</v>
      </c>
      <c r="I409">
        <f>+DB!I409</f>
        <v>0</v>
      </c>
      <c r="J409">
        <f>+DB!J409</f>
        <v>0</v>
      </c>
      <c r="K409">
        <f>+DB!L409</f>
        <v>0</v>
      </c>
      <c r="L409" t="str">
        <f t="shared" si="19"/>
        <v/>
      </c>
      <c r="M409" t="str">
        <f>+IF(LEFT(DB!M409,3)="13/","CAC","MAD")</f>
        <v>MAD</v>
      </c>
      <c r="N409" t="str">
        <f>+RIGHT(DB!M409,6)</f>
        <v/>
      </c>
      <c r="O409">
        <v>95</v>
      </c>
      <c r="P409">
        <v>5</v>
      </c>
      <c r="Q409">
        <f>+DB!AB409</f>
        <v>0</v>
      </c>
      <c r="R409">
        <f>+DB!K409</f>
        <v>0</v>
      </c>
      <c r="S409">
        <f>+DB!F409</f>
        <v>0</v>
      </c>
      <c r="T409">
        <f>+IF(DB!F409="AAAC-35",1,3)</f>
        <v>3</v>
      </c>
      <c r="U409">
        <f>+DB!R409</f>
        <v>0</v>
      </c>
      <c r="V409">
        <f>+IF(DB!P409="1RI",1,0)+IF(DB!P409="2RI",2,0)</f>
        <v>0</v>
      </c>
      <c r="W409">
        <f>+IF(DB!P409="1RV",1,0)+IF(DB!P409="2RV",2,0)</f>
        <v>0</v>
      </c>
      <c r="X409">
        <f>+IF(DB!P409="RYI",1,0)</f>
        <v>0</v>
      </c>
      <c r="Y409">
        <f>+IF(DB!P409="RYV",1,0)</f>
        <v>0</v>
      </c>
      <c r="Z409">
        <f>+DB!U409</f>
        <v>0</v>
      </c>
      <c r="AA409">
        <f>+IF(DB!F409="AAAC-35",19.5,33)</f>
        <v>33</v>
      </c>
      <c r="AB409">
        <f>+DB!V409</f>
        <v>0</v>
      </c>
      <c r="AC409" t="str">
        <f t="shared" si="20"/>
        <v>56-4</v>
      </c>
      <c r="AD409" s="21" t="s">
        <v>72</v>
      </c>
      <c r="AE409">
        <f>+DB!X409</f>
        <v>0</v>
      </c>
      <c r="AF409" s="22">
        <f>+DB!Y409</f>
        <v>0</v>
      </c>
      <c r="AG409">
        <f>+DB!AK409</f>
        <v>0</v>
      </c>
    </row>
    <row r="410" spans="1:33" x14ac:dyDescent="0.2">
      <c r="A410">
        <f>+DB!C410</f>
        <v>0</v>
      </c>
      <c r="B410">
        <f>+DB!D410</f>
        <v>0</v>
      </c>
      <c r="C410">
        <f>+DB!E410</f>
        <v>0</v>
      </c>
      <c r="D410">
        <f t="shared" si="18"/>
        <v>0</v>
      </c>
      <c r="E410">
        <f>+DB!G410</f>
        <v>0</v>
      </c>
      <c r="F410">
        <f>+DB!H410</f>
        <v>0</v>
      </c>
      <c r="G410">
        <f>+DB!N410</f>
        <v>0</v>
      </c>
      <c r="H410">
        <f>+DB!O410</f>
        <v>0</v>
      </c>
      <c r="I410">
        <f>+DB!I410</f>
        <v>0</v>
      </c>
      <c r="J410">
        <f>+DB!J410</f>
        <v>0</v>
      </c>
      <c r="K410">
        <f>+DB!L410</f>
        <v>0</v>
      </c>
      <c r="L410" t="str">
        <f t="shared" si="19"/>
        <v/>
      </c>
      <c r="M410" t="str">
        <f>+IF(LEFT(DB!M410,3)="13/","CAC","MAD")</f>
        <v>MAD</v>
      </c>
      <c r="N410" t="str">
        <f>+RIGHT(DB!M410,6)</f>
        <v/>
      </c>
      <c r="O410">
        <v>95</v>
      </c>
      <c r="P410">
        <v>5</v>
      </c>
      <c r="Q410">
        <f>+DB!AB410</f>
        <v>0</v>
      </c>
      <c r="R410">
        <f>+DB!K410</f>
        <v>0</v>
      </c>
      <c r="S410">
        <f>+DB!F410</f>
        <v>0</v>
      </c>
      <c r="T410">
        <f>+IF(DB!F410="AAAC-35",1,3)</f>
        <v>3</v>
      </c>
      <c r="U410">
        <f>+DB!R410</f>
        <v>0</v>
      </c>
      <c r="V410">
        <f>+IF(DB!P410="1RI",1,0)+IF(DB!P410="2RI",2,0)</f>
        <v>0</v>
      </c>
      <c r="W410">
        <f>+IF(DB!P410="1RV",1,0)+IF(DB!P410="2RV",2,0)</f>
        <v>0</v>
      </c>
      <c r="X410">
        <f>+IF(DB!P410="RYI",1,0)</f>
        <v>0</v>
      </c>
      <c r="Y410">
        <f>+IF(DB!P410="RYV",1,0)</f>
        <v>0</v>
      </c>
      <c r="Z410">
        <f>+DB!U410</f>
        <v>0</v>
      </c>
      <c r="AA410">
        <f>+IF(DB!F410="AAAC-35",19.5,33)</f>
        <v>33</v>
      </c>
      <c r="AB410">
        <f>+DB!V410</f>
        <v>0</v>
      </c>
      <c r="AC410" t="str">
        <f t="shared" si="20"/>
        <v>56-4</v>
      </c>
      <c r="AD410" s="21" t="s">
        <v>72</v>
      </c>
      <c r="AE410">
        <f>+DB!X410</f>
        <v>0</v>
      </c>
      <c r="AF410" s="22">
        <f>+DB!Y410</f>
        <v>0</v>
      </c>
      <c r="AG410">
        <f>+DB!AK410</f>
        <v>0</v>
      </c>
    </row>
    <row r="411" spans="1:33" x14ac:dyDescent="0.2">
      <c r="A411">
        <f>+DB!C411</f>
        <v>0</v>
      </c>
      <c r="B411">
        <f>+DB!D411</f>
        <v>0</v>
      </c>
      <c r="C411">
        <f>+DB!E411</f>
        <v>0</v>
      </c>
      <c r="D411">
        <f t="shared" si="18"/>
        <v>0</v>
      </c>
      <c r="E411">
        <f>+DB!G411</f>
        <v>0</v>
      </c>
      <c r="F411">
        <f>+DB!H411</f>
        <v>0</v>
      </c>
      <c r="G411">
        <f>+DB!N411</f>
        <v>0</v>
      </c>
      <c r="H411">
        <f>+DB!O411</f>
        <v>0</v>
      </c>
      <c r="I411">
        <f>+DB!I411</f>
        <v>0</v>
      </c>
      <c r="J411">
        <f>+DB!J411</f>
        <v>0</v>
      </c>
      <c r="K411">
        <f>+DB!L411</f>
        <v>0</v>
      </c>
      <c r="L411" t="str">
        <f t="shared" si="19"/>
        <v/>
      </c>
      <c r="M411" t="str">
        <f>+IF(LEFT(DB!M411,3)="13/","CAC","MAD")</f>
        <v>MAD</v>
      </c>
      <c r="N411" t="str">
        <f>+RIGHT(DB!M411,6)</f>
        <v/>
      </c>
      <c r="O411">
        <v>95</v>
      </c>
      <c r="P411">
        <v>5</v>
      </c>
      <c r="Q411">
        <f>+DB!AB411</f>
        <v>0</v>
      </c>
      <c r="R411">
        <f>+DB!K411</f>
        <v>0</v>
      </c>
      <c r="S411">
        <f>+DB!F411</f>
        <v>0</v>
      </c>
      <c r="T411">
        <f>+IF(DB!F411="AAAC-35",1,3)</f>
        <v>3</v>
      </c>
      <c r="U411">
        <f>+DB!R411</f>
        <v>0</v>
      </c>
      <c r="V411">
        <f>+IF(DB!P411="1RI",1,0)+IF(DB!P411="2RI",2,0)</f>
        <v>0</v>
      </c>
      <c r="W411">
        <f>+IF(DB!P411="1RV",1,0)+IF(DB!P411="2RV",2,0)</f>
        <v>0</v>
      </c>
      <c r="X411">
        <f>+IF(DB!P411="RYI",1,0)</f>
        <v>0</v>
      </c>
      <c r="Y411">
        <f>+IF(DB!P411="RYV",1,0)</f>
        <v>0</v>
      </c>
      <c r="Z411">
        <f>+DB!U411</f>
        <v>0</v>
      </c>
      <c r="AA411">
        <f>+IF(DB!F411="AAAC-35",19.5,33)</f>
        <v>33</v>
      </c>
      <c r="AB411">
        <f>+DB!V411</f>
        <v>0</v>
      </c>
      <c r="AC411" t="str">
        <f t="shared" si="20"/>
        <v>56-4</v>
      </c>
      <c r="AD411" s="21" t="s">
        <v>72</v>
      </c>
      <c r="AE411">
        <f>+DB!X411</f>
        <v>0</v>
      </c>
      <c r="AF411" s="22">
        <f>+DB!Y411</f>
        <v>0</v>
      </c>
      <c r="AG411">
        <f>+DB!AK411</f>
        <v>0</v>
      </c>
    </row>
    <row r="412" spans="1:33" x14ac:dyDescent="0.2">
      <c r="A412">
        <f>+DB!C412</f>
        <v>0</v>
      </c>
      <c r="B412">
        <f>+DB!D412</f>
        <v>0</v>
      </c>
      <c r="C412">
        <f>+DB!E412</f>
        <v>0</v>
      </c>
      <c r="D412">
        <f t="shared" si="18"/>
        <v>0</v>
      </c>
      <c r="E412">
        <f>+DB!G412</f>
        <v>0</v>
      </c>
      <c r="F412">
        <f>+DB!H412</f>
        <v>0</v>
      </c>
      <c r="G412">
        <f>+DB!N412</f>
        <v>0</v>
      </c>
      <c r="H412">
        <f>+DB!O412</f>
        <v>0</v>
      </c>
      <c r="I412">
        <f>+DB!I412</f>
        <v>0</v>
      </c>
      <c r="J412">
        <f>+DB!J412</f>
        <v>0</v>
      </c>
      <c r="K412">
        <f>+DB!L412</f>
        <v>0</v>
      </c>
      <c r="L412" t="str">
        <f t="shared" si="19"/>
        <v/>
      </c>
      <c r="M412" t="str">
        <f>+IF(LEFT(DB!M412,3)="13/","CAC","MAD")</f>
        <v>MAD</v>
      </c>
      <c r="N412" t="str">
        <f>+RIGHT(DB!M412,6)</f>
        <v/>
      </c>
      <c r="O412">
        <v>95</v>
      </c>
      <c r="P412">
        <v>5</v>
      </c>
      <c r="Q412">
        <f>+DB!AB412</f>
        <v>0</v>
      </c>
      <c r="R412">
        <f>+DB!K412</f>
        <v>0</v>
      </c>
      <c r="S412">
        <f>+DB!F412</f>
        <v>0</v>
      </c>
      <c r="T412">
        <f>+IF(DB!F412="AAAC-35",1,3)</f>
        <v>3</v>
      </c>
      <c r="U412">
        <f>+DB!R412</f>
        <v>0</v>
      </c>
      <c r="V412">
        <f>+IF(DB!P412="1RI",1,0)+IF(DB!P412="2RI",2,0)</f>
        <v>0</v>
      </c>
      <c r="W412">
        <f>+IF(DB!P412="1RV",1,0)+IF(DB!P412="2RV",2,0)</f>
        <v>0</v>
      </c>
      <c r="X412">
        <f>+IF(DB!P412="RYI",1,0)</f>
        <v>0</v>
      </c>
      <c r="Y412">
        <f>+IF(DB!P412="RYV",1,0)</f>
        <v>0</v>
      </c>
      <c r="Z412">
        <f>+DB!U412</f>
        <v>0</v>
      </c>
      <c r="AA412">
        <f>+IF(DB!F412="AAAC-35",19.5,33)</f>
        <v>33</v>
      </c>
      <c r="AB412">
        <f>+DB!V412</f>
        <v>0</v>
      </c>
      <c r="AC412" t="str">
        <f t="shared" si="20"/>
        <v>56-4</v>
      </c>
      <c r="AD412" s="21" t="s">
        <v>72</v>
      </c>
      <c r="AE412">
        <f>+DB!X412</f>
        <v>0</v>
      </c>
      <c r="AF412" s="22">
        <f>+DB!Y412</f>
        <v>0</v>
      </c>
      <c r="AG412">
        <f>+DB!AK412</f>
        <v>0</v>
      </c>
    </row>
    <row r="413" spans="1:33" x14ac:dyDescent="0.2">
      <c r="A413">
        <f>+DB!C413</f>
        <v>0</v>
      </c>
      <c r="B413">
        <f>+DB!D413</f>
        <v>0</v>
      </c>
      <c r="C413">
        <f>+DB!E413</f>
        <v>0</v>
      </c>
      <c r="D413">
        <f t="shared" si="18"/>
        <v>0</v>
      </c>
      <c r="E413">
        <f>+DB!G413</f>
        <v>0</v>
      </c>
      <c r="F413">
        <f>+DB!H413</f>
        <v>0</v>
      </c>
      <c r="G413">
        <f>+DB!N413</f>
        <v>0</v>
      </c>
      <c r="H413">
        <f>+DB!O413</f>
        <v>0</v>
      </c>
      <c r="I413">
        <f>+DB!I413</f>
        <v>0</v>
      </c>
      <c r="J413">
        <f>+DB!J413</f>
        <v>0</v>
      </c>
      <c r="K413">
        <f>+DB!L413</f>
        <v>0</v>
      </c>
      <c r="L413" t="str">
        <f t="shared" si="19"/>
        <v/>
      </c>
      <c r="M413" t="str">
        <f>+IF(LEFT(DB!M413,3)="13/","CAC","MAD")</f>
        <v>MAD</v>
      </c>
      <c r="N413" t="str">
        <f>+RIGHT(DB!M413,6)</f>
        <v/>
      </c>
      <c r="O413">
        <v>95</v>
      </c>
      <c r="P413">
        <v>5</v>
      </c>
      <c r="Q413">
        <f>+DB!AB413</f>
        <v>0</v>
      </c>
      <c r="R413">
        <f>+DB!K413</f>
        <v>0</v>
      </c>
      <c r="S413">
        <f>+DB!F413</f>
        <v>0</v>
      </c>
      <c r="T413">
        <f>+IF(DB!F413="AAAC-35",1,3)</f>
        <v>3</v>
      </c>
      <c r="U413">
        <f>+DB!R413</f>
        <v>0</v>
      </c>
      <c r="V413">
        <f>+IF(DB!P413="1RI",1,0)+IF(DB!P413="2RI",2,0)</f>
        <v>0</v>
      </c>
      <c r="W413">
        <f>+IF(DB!P413="1RV",1,0)+IF(DB!P413="2RV",2,0)</f>
        <v>0</v>
      </c>
      <c r="X413">
        <f>+IF(DB!P413="RYI",1,0)</f>
        <v>0</v>
      </c>
      <c r="Y413">
        <f>+IF(DB!P413="RYV",1,0)</f>
        <v>0</v>
      </c>
      <c r="Z413">
        <f>+DB!U413</f>
        <v>0</v>
      </c>
      <c r="AA413">
        <f>+IF(DB!F413="AAAC-35",19.5,33)</f>
        <v>33</v>
      </c>
      <c r="AB413">
        <f>+DB!V413</f>
        <v>0</v>
      </c>
      <c r="AC413" t="str">
        <f t="shared" si="20"/>
        <v>56-4</v>
      </c>
      <c r="AD413" s="21" t="s">
        <v>72</v>
      </c>
      <c r="AE413">
        <f>+DB!X413</f>
        <v>0</v>
      </c>
      <c r="AF413" s="22">
        <f>+DB!Y413</f>
        <v>0</v>
      </c>
      <c r="AG413">
        <f>+DB!AK413</f>
        <v>0</v>
      </c>
    </row>
    <row r="414" spans="1:33" x14ac:dyDescent="0.2">
      <c r="A414">
        <f>+DB!C414</f>
        <v>0</v>
      </c>
      <c r="B414">
        <f>+DB!D414</f>
        <v>0</v>
      </c>
      <c r="C414">
        <f>+DB!E414</f>
        <v>0</v>
      </c>
      <c r="D414">
        <f t="shared" si="18"/>
        <v>0</v>
      </c>
      <c r="E414">
        <f>+DB!G414</f>
        <v>0</v>
      </c>
      <c r="F414">
        <f>+DB!H414</f>
        <v>0</v>
      </c>
      <c r="G414">
        <f>+DB!N414</f>
        <v>0</v>
      </c>
      <c r="H414">
        <f>+DB!O414</f>
        <v>0</v>
      </c>
      <c r="I414">
        <f>+DB!I414</f>
        <v>0</v>
      </c>
      <c r="J414">
        <f>+DB!J414</f>
        <v>0</v>
      </c>
      <c r="K414">
        <f>+DB!L414</f>
        <v>0</v>
      </c>
      <c r="L414" t="str">
        <f t="shared" si="19"/>
        <v/>
      </c>
      <c r="M414" t="str">
        <f>+IF(LEFT(DB!M414,3)="13/","CAC","MAD")</f>
        <v>MAD</v>
      </c>
      <c r="N414" t="str">
        <f>+RIGHT(DB!M414,6)</f>
        <v/>
      </c>
      <c r="O414">
        <v>95</v>
      </c>
      <c r="P414">
        <v>5</v>
      </c>
      <c r="Q414">
        <f>+DB!AB414</f>
        <v>0</v>
      </c>
      <c r="R414">
        <f>+DB!K414</f>
        <v>0</v>
      </c>
      <c r="S414">
        <f>+DB!F414</f>
        <v>0</v>
      </c>
      <c r="T414">
        <f>+IF(DB!F414="AAAC-35",1,3)</f>
        <v>3</v>
      </c>
      <c r="U414">
        <f>+DB!R414</f>
        <v>0</v>
      </c>
      <c r="V414">
        <f>+IF(DB!P414="1RI",1,0)+IF(DB!P414="2RI",2,0)</f>
        <v>0</v>
      </c>
      <c r="W414">
        <f>+IF(DB!P414="1RV",1,0)+IF(DB!P414="2RV",2,0)</f>
        <v>0</v>
      </c>
      <c r="X414">
        <f>+IF(DB!P414="RYI",1,0)</f>
        <v>0</v>
      </c>
      <c r="Y414">
        <f>+IF(DB!P414="RYV",1,0)</f>
        <v>0</v>
      </c>
      <c r="Z414">
        <f>+DB!U414</f>
        <v>0</v>
      </c>
      <c r="AA414">
        <f>+IF(DB!F414="AAAC-35",19.5,33)</f>
        <v>33</v>
      </c>
      <c r="AB414">
        <f>+DB!V414</f>
        <v>0</v>
      </c>
      <c r="AC414" t="str">
        <f t="shared" si="20"/>
        <v>56-4</v>
      </c>
      <c r="AD414" s="21" t="s">
        <v>72</v>
      </c>
      <c r="AE414">
        <f>+DB!X414</f>
        <v>0</v>
      </c>
      <c r="AF414" s="22">
        <f>+DB!Y414</f>
        <v>0</v>
      </c>
      <c r="AG414">
        <f>+DB!AK414</f>
        <v>0</v>
      </c>
    </row>
    <row r="415" spans="1:33" x14ac:dyDescent="0.2">
      <c r="A415">
        <f>+DB!C415</f>
        <v>0</v>
      </c>
      <c r="B415">
        <f>+DB!D415</f>
        <v>0</v>
      </c>
      <c r="C415">
        <f>+DB!E415</f>
        <v>0</v>
      </c>
      <c r="D415">
        <f t="shared" si="18"/>
        <v>0</v>
      </c>
      <c r="E415">
        <f>+DB!G415</f>
        <v>0</v>
      </c>
      <c r="F415">
        <f>+DB!H415</f>
        <v>0</v>
      </c>
      <c r="G415">
        <f>+DB!N415</f>
        <v>0</v>
      </c>
      <c r="H415">
        <f>+DB!O415</f>
        <v>0</v>
      </c>
      <c r="I415">
        <f>+DB!I415</f>
        <v>0</v>
      </c>
      <c r="J415">
        <f>+DB!J415</f>
        <v>0</v>
      </c>
      <c r="K415">
        <f>+DB!L415</f>
        <v>0</v>
      </c>
      <c r="L415" t="str">
        <f t="shared" si="19"/>
        <v/>
      </c>
      <c r="M415" t="str">
        <f>+IF(LEFT(DB!M415,3)="13/","CAC","MAD")</f>
        <v>MAD</v>
      </c>
      <c r="N415" t="str">
        <f>+RIGHT(DB!M415,6)</f>
        <v/>
      </c>
      <c r="O415">
        <v>95</v>
      </c>
      <c r="P415">
        <v>5</v>
      </c>
      <c r="Q415">
        <f>+DB!AB415</f>
        <v>0</v>
      </c>
      <c r="R415">
        <f>+DB!K415</f>
        <v>0</v>
      </c>
      <c r="S415">
        <f>+DB!F415</f>
        <v>0</v>
      </c>
      <c r="T415">
        <f>+IF(DB!F415="AAAC-35",1,3)</f>
        <v>3</v>
      </c>
      <c r="U415">
        <f>+DB!R415</f>
        <v>0</v>
      </c>
      <c r="V415">
        <f>+IF(DB!P415="1RI",1,0)+IF(DB!P415="2RI",2,0)</f>
        <v>0</v>
      </c>
      <c r="W415">
        <f>+IF(DB!P415="1RV",1,0)+IF(DB!P415="2RV",2,0)</f>
        <v>0</v>
      </c>
      <c r="X415">
        <f>+IF(DB!P415="RYI",1,0)</f>
        <v>0</v>
      </c>
      <c r="Y415">
        <f>+IF(DB!P415="RYV",1,0)</f>
        <v>0</v>
      </c>
      <c r="Z415">
        <f>+DB!U415</f>
        <v>0</v>
      </c>
      <c r="AA415">
        <f>+IF(DB!F415="AAAC-35",19.5,33)</f>
        <v>33</v>
      </c>
      <c r="AB415">
        <f>+DB!V415</f>
        <v>0</v>
      </c>
      <c r="AC415" t="str">
        <f t="shared" si="20"/>
        <v>56-4</v>
      </c>
      <c r="AD415" s="21" t="s">
        <v>72</v>
      </c>
      <c r="AE415">
        <f>+DB!X415</f>
        <v>0</v>
      </c>
      <c r="AF415" s="22">
        <f>+DB!Y415</f>
        <v>0</v>
      </c>
      <c r="AG415">
        <f>+DB!AK415</f>
        <v>0</v>
      </c>
    </row>
    <row r="416" spans="1:33" x14ac:dyDescent="0.2">
      <c r="A416">
        <f>+DB!C416</f>
        <v>0</v>
      </c>
      <c r="B416">
        <f>+DB!D416</f>
        <v>0</v>
      </c>
      <c r="C416">
        <f>+DB!E416</f>
        <v>0</v>
      </c>
      <c r="D416">
        <f t="shared" si="18"/>
        <v>0</v>
      </c>
      <c r="E416">
        <f>+DB!G416</f>
        <v>0</v>
      </c>
      <c r="F416">
        <f>+DB!H416</f>
        <v>0</v>
      </c>
      <c r="G416">
        <f>+DB!N416</f>
        <v>0</v>
      </c>
      <c r="H416">
        <f>+DB!O416</f>
        <v>0</v>
      </c>
      <c r="I416">
        <f>+DB!I416</f>
        <v>0</v>
      </c>
      <c r="J416">
        <f>+DB!J416</f>
        <v>0</v>
      </c>
      <c r="K416">
        <f>+DB!L416</f>
        <v>0</v>
      </c>
      <c r="L416" t="str">
        <f t="shared" si="19"/>
        <v/>
      </c>
      <c r="M416" t="str">
        <f>+IF(LEFT(DB!M416,3)="13/","CAC","MAD")</f>
        <v>MAD</v>
      </c>
      <c r="N416" t="str">
        <f>+RIGHT(DB!M416,6)</f>
        <v/>
      </c>
      <c r="O416">
        <v>95</v>
      </c>
      <c r="P416">
        <v>5</v>
      </c>
      <c r="Q416">
        <f>+DB!AB416</f>
        <v>0</v>
      </c>
      <c r="R416">
        <f>+DB!K416</f>
        <v>0</v>
      </c>
      <c r="S416">
        <f>+DB!F416</f>
        <v>0</v>
      </c>
      <c r="T416">
        <f>+IF(DB!F416="AAAC-35",1,3)</f>
        <v>3</v>
      </c>
      <c r="U416">
        <f>+DB!R416</f>
        <v>0</v>
      </c>
      <c r="V416">
        <f>+IF(DB!P416="1RI",1,0)+IF(DB!P416="2RI",2,0)</f>
        <v>0</v>
      </c>
      <c r="W416">
        <f>+IF(DB!P416="1RV",1,0)+IF(DB!P416="2RV",2,0)</f>
        <v>0</v>
      </c>
      <c r="X416">
        <f>+IF(DB!P416="RYI",1,0)</f>
        <v>0</v>
      </c>
      <c r="Y416">
        <f>+IF(DB!P416="RYV",1,0)</f>
        <v>0</v>
      </c>
      <c r="Z416">
        <f>+DB!U416</f>
        <v>0</v>
      </c>
      <c r="AA416">
        <f>+IF(DB!F416="AAAC-35",19.5,33)</f>
        <v>33</v>
      </c>
      <c r="AB416">
        <f>+DB!V416</f>
        <v>0</v>
      </c>
      <c r="AC416" t="str">
        <f t="shared" si="20"/>
        <v>56-4</v>
      </c>
      <c r="AD416" s="21" t="s">
        <v>72</v>
      </c>
      <c r="AE416">
        <f>+DB!X416</f>
        <v>0</v>
      </c>
      <c r="AF416" s="22">
        <f>+DB!Y416</f>
        <v>0</v>
      </c>
      <c r="AG416">
        <f>+DB!AK416</f>
        <v>0</v>
      </c>
    </row>
    <row r="417" spans="1:33" x14ac:dyDescent="0.2">
      <c r="A417">
        <f>+DB!C417</f>
        <v>0</v>
      </c>
      <c r="B417">
        <f>+DB!D417</f>
        <v>0</v>
      </c>
      <c r="C417">
        <f>+DB!E417</f>
        <v>0</v>
      </c>
      <c r="D417">
        <f t="shared" si="18"/>
        <v>0</v>
      </c>
      <c r="E417">
        <f>+DB!G417</f>
        <v>0</v>
      </c>
      <c r="F417">
        <f>+DB!H417</f>
        <v>0</v>
      </c>
      <c r="G417">
        <f>+DB!N417</f>
        <v>0</v>
      </c>
      <c r="H417">
        <f>+DB!O417</f>
        <v>0</v>
      </c>
      <c r="I417">
        <f>+DB!I417</f>
        <v>0</v>
      </c>
      <c r="J417">
        <f>+DB!J417</f>
        <v>0</v>
      </c>
      <c r="K417">
        <f>+DB!L417</f>
        <v>0</v>
      </c>
      <c r="L417" t="str">
        <f t="shared" si="19"/>
        <v/>
      </c>
      <c r="M417" t="str">
        <f>+IF(LEFT(DB!M417,3)="13/","CAC","MAD")</f>
        <v>MAD</v>
      </c>
      <c r="N417" t="str">
        <f>+RIGHT(DB!M417,6)</f>
        <v/>
      </c>
      <c r="O417">
        <v>95</v>
      </c>
      <c r="P417">
        <v>5</v>
      </c>
      <c r="Q417">
        <f>+DB!AB417</f>
        <v>0</v>
      </c>
      <c r="R417">
        <f>+DB!K417</f>
        <v>0</v>
      </c>
      <c r="S417">
        <f>+DB!F417</f>
        <v>0</v>
      </c>
      <c r="T417">
        <f>+IF(DB!F417="AAAC-35",1,3)</f>
        <v>3</v>
      </c>
      <c r="U417">
        <f>+DB!R417</f>
        <v>0</v>
      </c>
      <c r="V417">
        <f>+IF(DB!P417="1RI",1,0)+IF(DB!P417="2RI",2,0)</f>
        <v>0</v>
      </c>
      <c r="W417">
        <f>+IF(DB!P417="1RV",1,0)+IF(DB!P417="2RV",2,0)</f>
        <v>0</v>
      </c>
      <c r="X417">
        <f>+IF(DB!P417="RYI",1,0)</f>
        <v>0</v>
      </c>
      <c r="Y417">
        <f>+IF(DB!P417="RYV",1,0)</f>
        <v>0</v>
      </c>
      <c r="Z417">
        <f>+DB!U417</f>
        <v>0</v>
      </c>
      <c r="AA417">
        <f>+IF(DB!F417="AAAC-35",19.5,33)</f>
        <v>33</v>
      </c>
      <c r="AB417">
        <f>+DB!V417</f>
        <v>0</v>
      </c>
      <c r="AC417" t="str">
        <f t="shared" si="20"/>
        <v>56-4</v>
      </c>
      <c r="AD417" s="21" t="s">
        <v>72</v>
      </c>
      <c r="AE417">
        <f>+DB!X417</f>
        <v>0</v>
      </c>
      <c r="AF417" s="22">
        <f>+DB!Y417</f>
        <v>0</v>
      </c>
      <c r="AG417">
        <f>+DB!AK417</f>
        <v>0</v>
      </c>
    </row>
    <row r="418" spans="1:33" x14ac:dyDescent="0.2">
      <c r="A418">
        <f>+DB!C418</f>
        <v>0</v>
      </c>
      <c r="B418">
        <f>+DB!D418</f>
        <v>0</v>
      </c>
      <c r="C418">
        <f>+DB!E418</f>
        <v>0</v>
      </c>
      <c r="D418">
        <f t="shared" si="18"/>
        <v>0</v>
      </c>
      <c r="E418">
        <f>+DB!G418</f>
        <v>0</v>
      </c>
      <c r="F418">
        <f>+DB!H418</f>
        <v>0</v>
      </c>
      <c r="G418">
        <f>+DB!N418</f>
        <v>0</v>
      </c>
      <c r="H418">
        <f>+DB!O418</f>
        <v>0</v>
      </c>
      <c r="I418">
        <f>+DB!I418</f>
        <v>0</v>
      </c>
      <c r="J418">
        <f>+DB!J418</f>
        <v>0</v>
      </c>
      <c r="K418">
        <f>+DB!L418</f>
        <v>0</v>
      </c>
      <c r="L418" t="str">
        <f t="shared" si="19"/>
        <v/>
      </c>
      <c r="M418" t="str">
        <f>+IF(LEFT(DB!M418,3)="13/","CAC","MAD")</f>
        <v>MAD</v>
      </c>
      <c r="N418" t="str">
        <f>+RIGHT(DB!M418,6)</f>
        <v/>
      </c>
      <c r="O418">
        <v>95</v>
      </c>
      <c r="P418">
        <v>5</v>
      </c>
      <c r="Q418">
        <f>+DB!AB418</f>
        <v>0</v>
      </c>
      <c r="R418">
        <f>+DB!K418</f>
        <v>0</v>
      </c>
      <c r="S418">
        <f>+DB!F418</f>
        <v>0</v>
      </c>
      <c r="T418">
        <f>+IF(DB!F418="AAAC-35",1,3)</f>
        <v>3</v>
      </c>
      <c r="U418">
        <f>+DB!R418</f>
        <v>0</v>
      </c>
      <c r="V418">
        <f>+IF(DB!P418="1RI",1,0)+IF(DB!P418="2RI",2,0)</f>
        <v>0</v>
      </c>
      <c r="W418">
        <f>+IF(DB!P418="1RV",1,0)+IF(DB!P418="2RV",2,0)</f>
        <v>0</v>
      </c>
      <c r="X418">
        <f>+IF(DB!P418="RYI",1,0)</f>
        <v>0</v>
      </c>
      <c r="Y418">
        <f>+IF(DB!P418="RYV",1,0)</f>
        <v>0</v>
      </c>
      <c r="Z418">
        <f>+DB!U418</f>
        <v>0</v>
      </c>
      <c r="AA418">
        <f>+IF(DB!F418="AAAC-35",19.5,33)</f>
        <v>33</v>
      </c>
      <c r="AB418">
        <f>+DB!V418</f>
        <v>0</v>
      </c>
      <c r="AC418" t="str">
        <f t="shared" si="20"/>
        <v>56-4</v>
      </c>
      <c r="AD418" s="21" t="s">
        <v>72</v>
      </c>
      <c r="AE418">
        <f>+DB!X418</f>
        <v>0</v>
      </c>
      <c r="AF418" s="22">
        <f>+DB!Y418</f>
        <v>0</v>
      </c>
      <c r="AG418">
        <f>+DB!AK418</f>
        <v>0</v>
      </c>
    </row>
    <row r="419" spans="1:33" x14ac:dyDescent="0.2">
      <c r="A419">
        <f>+DB!C419</f>
        <v>0</v>
      </c>
      <c r="B419">
        <f>+DB!D419</f>
        <v>0</v>
      </c>
      <c r="C419">
        <f>+DB!E419</f>
        <v>0</v>
      </c>
      <c r="D419">
        <f t="shared" si="18"/>
        <v>0</v>
      </c>
      <c r="E419">
        <f>+DB!G419</f>
        <v>0</v>
      </c>
      <c r="F419">
        <f>+DB!H419</f>
        <v>0</v>
      </c>
      <c r="G419">
        <f>+DB!N419</f>
        <v>0</v>
      </c>
      <c r="H419">
        <f>+DB!O419</f>
        <v>0</v>
      </c>
      <c r="I419">
        <f>+DB!I419</f>
        <v>0</v>
      </c>
      <c r="J419">
        <f>+DB!J419</f>
        <v>0</v>
      </c>
      <c r="K419">
        <f>+DB!L419</f>
        <v>0</v>
      </c>
      <c r="L419" t="str">
        <f t="shared" si="19"/>
        <v/>
      </c>
      <c r="M419" t="str">
        <f>+IF(LEFT(DB!M419,3)="13/","CAC","MAD")</f>
        <v>MAD</v>
      </c>
      <c r="N419" t="str">
        <f>+RIGHT(DB!M419,6)</f>
        <v/>
      </c>
      <c r="O419">
        <v>95</v>
      </c>
      <c r="P419">
        <v>5</v>
      </c>
      <c r="Q419">
        <f>+DB!AB419</f>
        <v>0</v>
      </c>
      <c r="R419">
        <f>+DB!K419</f>
        <v>0</v>
      </c>
      <c r="S419">
        <f>+DB!F419</f>
        <v>0</v>
      </c>
      <c r="T419">
        <f>+IF(DB!F419="AAAC-35",1,3)</f>
        <v>3</v>
      </c>
      <c r="U419">
        <f>+DB!R419</f>
        <v>0</v>
      </c>
      <c r="V419">
        <f>+IF(DB!P419="1RI",1,0)+IF(DB!P419="2RI",2,0)</f>
        <v>0</v>
      </c>
      <c r="W419">
        <f>+IF(DB!P419="1RV",1,0)+IF(DB!P419="2RV",2,0)</f>
        <v>0</v>
      </c>
      <c r="X419">
        <f>+IF(DB!P419="RYI",1,0)</f>
        <v>0</v>
      </c>
      <c r="Y419">
        <f>+IF(DB!P419="RYV",1,0)</f>
        <v>0</v>
      </c>
      <c r="Z419">
        <f>+DB!U419</f>
        <v>0</v>
      </c>
      <c r="AA419">
        <f>+IF(DB!F419="AAAC-35",19.5,33)</f>
        <v>33</v>
      </c>
      <c r="AB419">
        <f>+DB!V419</f>
        <v>0</v>
      </c>
      <c r="AC419" t="str">
        <f t="shared" si="20"/>
        <v>56-4</v>
      </c>
      <c r="AD419" s="21" t="s">
        <v>72</v>
      </c>
      <c r="AE419">
        <f>+DB!X419</f>
        <v>0</v>
      </c>
      <c r="AF419" s="22">
        <f>+DB!Y419</f>
        <v>0</v>
      </c>
      <c r="AG419">
        <f>+DB!AK419</f>
        <v>0</v>
      </c>
    </row>
    <row r="420" spans="1:33" x14ac:dyDescent="0.2">
      <c r="A420">
        <f>+DB!C420</f>
        <v>0</v>
      </c>
      <c r="B420">
        <f>+DB!D420</f>
        <v>0</v>
      </c>
      <c r="C420">
        <f>+DB!E420</f>
        <v>0</v>
      </c>
      <c r="D420">
        <f t="shared" si="18"/>
        <v>0</v>
      </c>
      <c r="E420">
        <f>+DB!G420</f>
        <v>0</v>
      </c>
      <c r="F420">
        <f>+DB!H420</f>
        <v>0</v>
      </c>
      <c r="G420">
        <f>+DB!N420</f>
        <v>0</v>
      </c>
      <c r="H420">
        <f>+DB!O420</f>
        <v>0</v>
      </c>
      <c r="I420">
        <f>+DB!I420</f>
        <v>0</v>
      </c>
      <c r="J420">
        <f>+DB!J420</f>
        <v>0</v>
      </c>
      <c r="K420">
        <f>+DB!L420</f>
        <v>0</v>
      </c>
      <c r="L420" t="str">
        <f t="shared" si="19"/>
        <v/>
      </c>
      <c r="M420" t="str">
        <f>+IF(LEFT(DB!M420,3)="13/","CAC","MAD")</f>
        <v>MAD</v>
      </c>
      <c r="N420" t="str">
        <f>+RIGHT(DB!M420,6)</f>
        <v/>
      </c>
      <c r="O420">
        <v>95</v>
      </c>
      <c r="P420">
        <v>5</v>
      </c>
      <c r="Q420">
        <f>+DB!AB420</f>
        <v>0</v>
      </c>
      <c r="R420">
        <f>+DB!K420</f>
        <v>0</v>
      </c>
      <c r="S420">
        <f>+DB!F420</f>
        <v>0</v>
      </c>
      <c r="T420">
        <f>+IF(DB!F420="AAAC-35",1,3)</f>
        <v>3</v>
      </c>
      <c r="U420">
        <f>+DB!R420</f>
        <v>0</v>
      </c>
      <c r="V420">
        <f>+IF(DB!P420="1RI",1,0)+IF(DB!P420="2RI",2,0)</f>
        <v>0</v>
      </c>
      <c r="W420">
        <f>+IF(DB!P420="1RV",1,0)+IF(DB!P420="2RV",2,0)</f>
        <v>0</v>
      </c>
      <c r="X420">
        <f>+IF(DB!P420="RYI",1,0)</f>
        <v>0</v>
      </c>
      <c r="Y420">
        <f>+IF(DB!P420="RYV",1,0)</f>
        <v>0</v>
      </c>
      <c r="Z420">
        <f>+DB!U420</f>
        <v>0</v>
      </c>
      <c r="AA420">
        <f>+IF(DB!F420="AAAC-35",19.5,33)</f>
        <v>33</v>
      </c>
      <c r="AB420">
        <f>+DB!V420</f>
        <v>0</v>
      </c>
      <c r="AC420" t="str">
        <f t="shared" si="20"/>
        <v>56-4</v>
      </c>
      <c r="AD420" s="21" t="s">
        <v>72</v>
      </c>
      <c r="AE420">
        <f>+DB!X420</f>
        <v>0</v>
      </c>
      <c r="AF420" s="22">
        <f>+DB!Y420</f>
        <v>0</v>
      </c>
      <c r="AG420">
        <f>+DB!AK420</f>
        <v>0</v>
      </c>
    </row>
    <row r="421" spans="1:33" x14ac:dyDescent="0.2">
      <c r="A421">
        <f>+DB!C421</f>
        <v>0</v>
      </c>
      <c r="B421">
        <f>+DB!D421</f>
        <v>0</v>
      </c>
      <c r="C421">
        <f>+DB!E421</f>
        <v>0</v>
      </c>
      <c r="D421">
        <f t="shared" si="18"/>
        <v>0</v>
      </c>
      <c r="E421">
        <f>+DB!G421</f>
        <v>0</v>
      </c>
      <c r="F421">
        <f>+DB!H421</f>
        <v>0</v>
      </c>
      <c r="G421">
        <f>+DB!N421</f>
        <v>0</v>
      </c>
      <c r="H421">
        <f>+DB!O421</f>
        <v>0</v>
      </c>
      <c r="I421">
        <f>+DB!I421</f>
        <v>0</v>
      </c>
      <c r="J421">
        <f>+DB!J421</f>
        <v>0</v>
      </c>
      <c r="K421">
        <f>+DB!L421</f>
        <v>0</v>
      </c>
      <c r="L421" t="str">
        <f t="shared" si="19"/>
        <v/>
      </c>
      <c r="M421" t="str">
        <f>+IF(LEFT(DB!M421,3)="13/","CAC","MAD")</f>
        <v>MAD</v>
      </c>
      <c r="N421" t="str">
        <f>+RIGHT(DB!M421,6)</f>
        <v/>
      </c>
      <c r="O421">
        <v>95</v>
      </c>
      <c r="P421">
        <v>5</v>
      </c>
      <c r="Q421">
        <f>+DB!AB421</f>
        <v>0</v>
      </c>
      <c r="R421">
        <f>+DB!K421</f>
        <v>0</v>
      </c>
      <c r="S421">
        <f>+DB!F421</f>
        <v>0</v>
      </c>
      <c r="T421">
        <f>+IF(DB!F421="AAAC-35",1,3)</f>
        <v>3</v>
      </c>
      <c r="U421">
        <f>+DB!R421</f>
        <v>0</v>
      </c>
      <c r="V421">
        <f>+IF(DB!P421="1RI",1,0)+IF(DB!P421="2RI",2,0)</f>
        <v>0</v>
      </c>
      <c r="W421">
        <f>+IF(DB!P421="1RV",1,0)+IF(DB!P421="2RV",2,0)</f>
        <v>0</v>
      </c>
      <c r="X421">
        <f>+IF(DB!P421="RYI",1,0)</f>
        <v>0</v>
      </c>
      <c r="Y421">
        <f>+IF(DB!P421="RYV",1,0)</f>
        <v>0</v>
      </c>
      <c r="Z421">
        <f>+DB!U421</f>
        <v>0</v>
      </c>
      <c r="AA421">
        <f>+IF(DB!F421="AAAC-35",19.5,33)</f>
        <v>33</v>
      </c>
      <c r="AB421">
        <f>+DB!V421</f>
        <v>0</v>
      </c>
      <c r="AC421" t="str">
        <f t="shared" si="20"/>
        <v>56-4</v>
      </c>
      <c r="AD421" s="21" t="s">
        <v>72</v>
      </c>
      <c r="AE421">
        <f>+DB!X421</f>
        <v>0</v>
      </c>
      <c r="AF421" s="22">
        <f>+DB!Y421</f>
        <v>0</v>
      </c>
      <c r="AG421">
        <f>+DB!AK421</f>
        <v>0</v>
      </c>
    </row>
    <row r="422" spans="1:33" x14ac:dyDescent="0.2">
      <c r="A422">
        <f>+DB!C422</f>
        <v>0</v>
      </c>
      <c r="B422">
        <f>+DB!D422</f>
        <v>0</v>
      </c>
      <c r="C422">
        <f>+DB!E422</f>
        <v>0</v>
      </c>
      <c r="D422">
        <f t="shared" si="18"/>
        <v>0</v>
      </c>
      <c r="E422">
        <f>+DB!G422</f>
        <v>0</v>
      </c>
      <c r="F422">
        <f>+DB!H422</f>
        <v>0</v>
      </c>
      <c r="G422">
        <f>+DB!N422</f>
        <v>0</v>
      </c>
      <c r="H422">
        <f>+DB!O422</f>
        <v>0</v>
      </c>
      <c r="I422">
        <f>+DB!I422</f>
        <v>0</v>
      </c>
      <c r="J422">
        <f>+DB!J422</f>
        <v>0</v>
      </c>
      <c r="K422">
        <f>+DB!L422</f>
        <v>0</v>
      </c>
      <c r="L422" t="str">
        <f t="shared" si="19"/>
        <v/>
      </c>
      <c r="M422" t="str">
        <f>+IF(LEFT(DB!M422,3)="13/","CAC","MAD")</f>
        <v>MAD</v>
      </c>
      <c r="N422" t="str">
        <f>+RIGHT(DB!M422,6)</f>
        <v/>
      </c>
      <c r="O422">
        <v>95</v>
      </c>
      <c r="P422">
        <v>5</v>
      </c>
      <c r="Q422">
        <f>+DB!AB422</f>
        <v>0</v>
      </c>
      <c r="R422">
        <f>+DB!K422</f>
        <v>0</v>
      </c>
      <c r="S422">
        <f>+DB!F422</f>
        <v>0</v>
      </c>
      <c r="T422">
        <f>+IF(DB!F422="AAAC-35",1,3)</f>
        <v>3</v>
      </c>
      <c r="U422">
        <f>+DB!R422</f>
        <v>0</v>
      </c>
      <c r="V422">
        <f>+IF(DB!P422="1RI",1,0)+IF(DB!P422="2RI",2,0)</f>
        <v>0</v>
      </c>
      <c r="W422">
        <f>+IF(DB!P422="1RV",1,0)+IF(DB!P422="2RV",2,0)</f>
        <v>0</v>
      </c>
      <c r="X422">
        <f>+IF(DB!P422="RYI",1,0)</f>
        <v>0</v>
      </c>
      <c r="Y422">
        <f>+IF(DB!P422="RYV",1,0)</f>
        <v>0</v>
      </c>
      <c r="Z422">
        <f>+DB!U422</f>
        <v>0</v>
      </c>
      <c r="AA422">
        <f>+IF(DB!F422="AAAC-35",19.5,33)</f>
        <v>33</v>
      </c>
      <c r="AB422">
        <f>+DB!V422</f>
        <v>0</v>
      </c>
      <c r="AC422" t="str">
        <f t="shared" si="20"/>
        <v>56-4</v>
      </c>
      <c r="AD422" s="21" t="s">
        <v>72</v>
      </c>
      <c r="AE422">
        <f>+DB!X422</f>
        <v>0</v>
      </c>
      <c r="AF422" s="22">
        <f>+DB!Y422</f>
        <v>0</v>
      </c>
      <c r="AG422">
        <f>+DB!AK422</f>
        <v>0</v>
      </c>
    </row>
    <row r="423" spans="1:33" x14ac:dyDescent="0.2">
      <c r="A423">
        <f>+DB!C423</f>
        <v>0</v>
      </c>
      <c r="B423">
        <f>+DB!D423</f>
        <v>0</v>
      </c>
      <c r="C423">
        <f>+DB!E423</f>
        <v>0</v>
      </c>
      <c r="D423">
        <f t="shared" si="18"/>
        <v>0</v>
      </c>
      <c r="E423">
        <f>+DB!G423</f>
        <v>0</v>
      </c>
      <c r="F423">
        <f>+DB!H423</f>
        <v>0</v>
      </c>
      <c r="G423">
        <f>+DB!N423</f>
        <v>0</v>
      </c>
      <c r="H423">
        <f>+DB!O423</f>
        <v>0</v>
      </c>
      <c r="I423">
        <f>+DB!I423</f>
        <v>0</v>
      </c>
      <c r="J423">
        <f>+DB!J423</f>
        <v>0</v>
      </c>
      <c r="K423">
        <f>+DB!L423</f>
        <v>0</v>
      </c>
      <c r="L423" t="str">
        <f t="shared" si="19"/>
        <v/>
      </c>
      <c r="M423" t="str">
        <f>+IF(LEFT(DB!M423,3)="13/","CAC","MAD")</f>
        <v>MAD</v>
      </c>
      <c r="N423" t="str">
        <f>+RIGHT(DB!M423,6)</f>
        <v/>
      </c>
      <c r="O423">
        <v>95</v>
      </c>
      <c r="P423">
        <v>5</v>
      </c>
      <c r="Q423">
        <f>+DB!AB423</f>
        <v>0</v>
      </c>
      <c r="R423">
        <f>+DB!K423</f>
        <v>0</v>
      </c>
      <c r="S423">
        <f>+DB!F423</f>
        <v>0</v>
      </c>
      <c r="T423">
        <f>+IF(DB!F423="AAAC-35",1,3)</f>
        <v>3</v>
      </c>
      <c r="U423">
        <f>+DB!R423</f>
        <v>0</v>
      </c>
      <c r="V423">
        <f>+IF(DB!P423="1RI",1,0)+IF(DB!P423="2RI",2,0)</f>
        <v>0</v>
      </c>
      <c r="W423">
        <f>+IF(DB!P423="1RV",1,0)+IF(DB!P423="2RV",2,0)</f>
        <v>0</v>
      </c>
      <c r="X423">
        <f>+IF(DB!P423="RYI",1,0)</f>
        <v>0</v>
      </c>
      <c r="Y423">
        <f>+IF(DB!P423="RYV",1,0)</f>
        <v>0</v>
      </c>
      <c r="Z423">
        <f>+DB!U423</f>
        <v>0</v>
      </c>
      <c r="AA423">
        <f>+IF(DB!F423="AAAC-35",19.5,33)</f>
        <v>33</v>
      </c>
      <c r="AB423">
        <f>+DB!V423</f>
        <v>0</v>
      </c>
      <c r="AC423" t="str">
        <f t="shared" si="20"/>
        <v>56-4</v>
      </c>
      <c r="AD423" s="21" t="s">
        <v>72</v>
      </c>
      <c r="AE423">
        <f>+DB!X423</f>
        <v>0</v>
      </c>
      <c r="AF423" s="22">
        <f>+DB!Y423</f>
        <v>0</v>
      </c>
      <c r="AG423">
        <f>+DB!AK423</f>
        <v>0</v>
      </c>
    </row>
    <row r="424" spans="1:33" x14ac:dyDescent="0.2">
      <c r="A424">
        <f>+DB!C424</f>
        <v>0</v>
      </c>
      <c r="B424">
        <f>+DB!D424</f>
        <v>0</v>
      </c>
      <c r="C424">
        <f>+DB!E424</f>
        <v>0</v>
      </c>
      <c r="D424">
        <f t="shared" si="18"/>
        <v>0</v>
      </c>
      <c r="E424">
        <f>+DB!G424</f>
        <v>0</v>
      </c>
      <c r="F424">
        <f>+DB!H424</f>
        <v>0</v>
      </c>
      <c r="G424">
        <f>+DB!N424</f>
        <v>0</v>
      </c>
      <c r="H424">
        <f>+DB!O424</f>
        <v>0</v>
      </c>
      <c r="I424">
        <f>+DB!I424</f>
        <v>0</v>
      </c>
      <c r="J424">
        <f>+DB!J424</f>
        <v>0</v>
      </c>
      <c r="K424">
        <f>+DB!L424</f>
        <v>0</v>
      </c>
      <c r="L424" t="str">
        <f t="shared" si="19"/>
        <v/>
      </c>
      <c r="M424" t="str">
        <f>+IF(LEFT(DB!M424,3)="13/","CAC","MAD")</f>
        <v>MAD</v>
      </c>
      <c r="N424" t="str">
        <f>+RIGHT(DB!M424,6)</f>
        <v/>
      </c>
      <c r="O424">
        <v>95</v>
      </c>
      <c r="P424">
        <v>5</v>
      </c>
      <c r="Q424">
        <f>+DB!AB424</f>
        <v>0</v>
      </c>
      <c r="R424">
        <f>+DB!K424</f>
        <v>0</v>
      </c>
      <c r="S424">
        <f>+DB!F424</f>
        <v>0</v>
      </c>
      <c r="T424">
        <f>+IF(DB!F424="AAAC-35",1,3)</f>
        <v>3</v>
      </c>
      <c r="U424">
        <f>+DB!R424</f>
        <v>0</v>
      </c>
      <c r="V424">
        <f>+IF(DB!P424="1RI",1,0)+IF(DB!P424="2RI",2,0)</f>
        <v>0</v>
      </c>
      <c r="W424">
        <f>+IF(DB!P424="1RV",1,0)+IF(DB!P424="2RV",2,0)</f>
        <v>0</v>
      </c>
      <c r="X424">
        <f>+IF(DB!P424="RYI",1,0)</f>
        <v>0</v>
      </c>
      <c r="Y424">
        <f>+IF(DB!P424="RYV",1,0)</f>
        <v>0</v>
      </c>
      <c r="Z424">
        <f>+DB!U424</f>
        <v>0</v>
      </c>
      <c r="AA424">
        <f>+IF(DB!F424="AAAC-35",19.5,33)</f>
        <v>33</v>
      </c>
      <c r="AB424">
        <f>+DB!V424</f>
        <v>0</v>
      </c>
      <c r="AC424" t="str">
        <f t="shared" si="20"/>
        <v>56-4</v>
      </c>
      <c r="AD424" s="21" t="s">
        <v>72</v>
      </c>
      <c r="AE424">
        <f>+DB!X424</f>
        <v>0</v>
      </c>
      <c r="AF424" s="22">
        <f>+DB!Y424</f>
        <v>0</v>
      </c>
      <c r="AG424">
        <f>+DB!AK424</f>
        <v>0</v>
      </c>
    </row>
    <row r="425" spans="1:33" x14ac:dyDescent="0.2">
      <c r="A425">
        <f>+DB!C425</f>
        <v>0</v>
      </c>
      <c r="B425">
        <f>+DB!D425</f>
        <v>0</v>
      </c>
      <c r="C425">
        <f>+DB!E425</f>
        <v>0</v>
      </c>
      <c r="D425">
        <f t="shared" si="18"/>
        <v>0</v>
      </c>
      <c r="E425">
        <f>+DB!G425</f>
        <v>0</v>
      </c>
      <c r="F425">
        <f>+DB!H425</f>
        <v>0</v>
      </c>
      <c r="G425">
        <f>+DB!N425</f>
        <v>0</v>
      </c>
      <c r="H425">
        <f>+DB!O425</f>
        <v>0</v>
      </c>
      <c r="I425">
        <f>+DB!I425</f>
        <v>0</v>
      </c>
      <c r="J425">
        <f>+DB!J425</f>
        <v>0</v>
      </c>
      <c r="K425">
        <f>+DB!L425</f>
        <v>0</v>
      </c>
      <c r="L425" t="str">
        <f t="shared" si="19"/>
        <v/>
      </c>
      <c r="M425" t="str">
        <f>+IF(LEFT(DB!M425,3)="13/","CAC","MAD")</f>
        <v>MAD</v>
      </c>
      <c r="N425" t="str">
        <f>+RIGHT(DB!M425,6)</f>
        <v/>
      </c>
      <c r="O425">
        <v>95</v>
      </c>
      <c r="P425">
        <v>5</v>
      </c>
      <c r="Q425">
        <f>+DB!AB425</f>
        <v>0</v>
      </c>
      <c r="R425">
        <f>+DB!K425</f>
        <v>0</v>
      </c>
      <c r="S425">
        <f>+DB!F425</f>
        <v>0</v>
      </c>
      <c r="T425">
        <f>+IF(DB!F425="AAAC-35",1,3)</f>
        <v>3</v>
      </c>
      <c r="U425">
        <f>+DB!R425</f>
        <v>0</v>
      </c>
      <c r="V425">
        <f>+IF(DB!P425="1RI",1,0)+IF(DB!P425="2RI",2,0)</f>
        <v>0</v>
      </c>
      <c r="W425">
        <f>+IF(DB!P425="1RV",1,0)+IF(DB!P425="2RV",2,0)</f>
        <v>0</v>
      </c>
      <c r="X425">
        <f>+IF(DB!P425="RYI",1,0)</f>
        <v>0</v>
      </c>
      <c r="Y425">
        <f>+IF(DB!P425="RYV",1,0)</f>
        <v>0</v>
      </c>
      <c r="Z425">
        <f>+DB!U425</f>
        <v>0</v>
      </c>
      <c r="AA425">
        <f>+IF(DB!F425="AAAC-35",19.5,33)</f>
        <v>33</v>
      </c>
      <c r="AB425">
        <f>+DB!V425</f>
        <v>0</v>
      </c>
      <c r="AC425" t="str">
        <f t="shared" si="20"/>
        <v>56-4</v>
      </c>
      <c r="AD425" s="21" t="s">
        <v>72</v>
      </c>
      <c r="AE425">
        <f>+DB!X425</f>
        <v>0</v>
      </c>
      <c r="AF425" s="22">
        <f>+DB!Y425</f>
        <v>0</v>
      </c>
      <c r="AG425">
        <f>+DB!AK425</f>
        <v>0</v>
      </c>
    </row>
    <row r="426" spans="1:33" x14ac:dyDescent="0.2">
      <c r="A426">
        <f>+DB!C426</f>
        <v>0</v>
      </c>
      <c r="B426">
        <f>+DB!D426</f>
        <v>0</v>
      </c>
      <c r="C426">
        <f>+DB!E426</f>
        <v>0</v>
      </c>
      <c r="D426">
        <f t="shared" si="18"/>
        <v>0</v>
      </c>
      <c r="E426">
        <f>+DB!G426</f>
        <v>0</v>
      </c>
      <c r="F426">
        <f>+DB!H426</f>
        <v>0</v>
      </c>
      <c r="G426">
        <f>+DB!N426</f>
        <v>0</v>
      </c>
      <c r="H426">
        <f>+DB!O426</f>
        <v>0</v>
      </c>
      <c r="I426">
        <f>+DB!I426</f>
        <v>0</v>
      </c>
      <c r="J426">
        <f>+DB!J426</f>
        <v>0</v>
      </c>
      <c r="K426">
        <f>+DB!L426</f>
        <v>0</v>
      </c>
      <c r="L426" t="str">
        <f t="shared" si="19"/>
        <v/>
      </c>
      <c r="M426" t="str">
        <f>+IF(LEFT(DB!M426,3)="13/","CAC","MAD")</f>
        <v>MAD</v>
      </c>
      <c r="N426" t="str">
        <f>+RIGHT(DB!M426,6)</f>
        <v/>
      </c>
      <c r="O426">
        <v>95</v>
      </c>
      <c r="P426">
        <v>5</v>
      </c>
      <c r="Q426">
        <f>+DB!AB426</f>
        <v>0</v>
      </c>
      <c r="R426">
        <f>+DB!K426</f>
        <v>0</v>
      </c>
      <c r="S426">
        <f>+DB!F426</f>
        <v>0</v>
      </c>
      <c r="T426">
        <f>+IF(DB!F426="AAAC-35",1,3)</f>
        <v>3</v>
      </c>
      <c r="U426">
        <f>+DB!R426</f>
        <v>0</v>
      </c>
      <c r="V426">
        <f>+IF(DB!P426="1RI",1,0)+IF(DB!P426="2RI",2,0)</f>
        <v>0</v>
      </c>
      <c r="W426">
        <f>+IF(DB!P426="1RV",1,0)+IF(DB!P426="2RV",2,0)</f>
        <v>0</v>
      </c>
      <c r="X426">
        <f>+IF(DB!P426="RYI",1,0)</f>
        <v>0</v>
      </c>
      <c r="Y426">
        <f>+IF(DB!P426="RYV",1,0)</f>
        <v>0</v>
      </c>
      <c r="Z426">
        <f>+DB!U426</f>
        <v>0</v>
      </c>
      <c r="AA426">
        <f>+IF(DB!F426="AAAC-35",19.5,33)</f>
        <v>33</v>
      </c>
      <c r="AB426">
        <f>+DB!V426</f>
        <v>0</v>
      </c>
      <c r="AC426" t="str">
        <f t="shared" si="20"/>
        <v>56-4</v>
      </c>
      <c r="AD426" s="21" t="s">
        <v>72</v>
      </c>
      <c r="AE426">
        <f>+DB!X426</f>
        <v>0</v>
      </c>
      <c r="AF426" s="22">
        <f>+DB!Y426</f>
        <v>0</v>
      </c>
      <c r="AG426">
        <f>+DB!AK426</f>
        <v>0</v>
      </c>
    </row>
    <row r="427" spans="1:33" x14ac:dyDescent="0.2">
      <c r="A427">
        <f>+DB!C427</f>
        <v>0</v>
      </c>
      <c r="B427">
        <f>+DB!D427</f>
        <v>0</v>
      </c>
      <c r="C427">
        <f>+DB!E427</f>
        <v>0</v>
      </c>
      <c r="D427">
        <f t="shared" si="18"/>
        <v>0</v>
      </c>
      <c r="E427">
        <f>+DB!G427</f>
        <v>0</v>
      </c>
      <c r="F427">
        <f>+DB!H427</f>
        <v>0</v>
      </c>
      <c r="G427">
        <f>+DB!N427</f>
        <v>0</v>
      </c>
      <c r="H427">
        <f>+DB!O427</f>
        <v>0</v>
      </c>
      <c r="I427">
        <f>+DB!I427</f>
        <v>0</v>
      </c>
      <c r="J427">
        <f>+DB!J427</f>
        <v>0</v>
      </c>
      <c r="K427">
        <f>+DB!L427</f>
        <v>0</v>
      </c>
      <c r="L427" t="str">
        <f t="shared" si="19"/>
        <v/>
      </c>
      <c r="M427" t="str">
        <f>+IF(LEFT(DB!M427,3)="13/","CAC","MAD")</f>
        <v>MAD</v>
      </c>
      <c r="N427" t="str">
        <f>+RIGHT(DB!M427,6)</f>
        <v/>
      </c>
      <c r="O427">
        <v>95</v>
      </c>
      <c r="P427">
        <v>5</v>
      </c>
      <c r="Q427">
        <f>+DB!AB427</f>
        <v>0</v>
      </c>
      <c r="R427">
        <f>+DB!K427</f>
        <v>0</v>
      </c>
      <c r="S427">
        <f>+DB!F427</f>
        <v>0</v>
      </c>
      <c r="T427">
        <f>+IF(DB!F427="AAAC-35",1,3)</f>
        <v>3</v>
      </c>
      <c r="U427">
        <f>+DB!R427</f>
        <v>0</v>
      </c>
      <c r="V427">
        <f>+IF(DB!P427="1RI",1,0)+IF(DB!P427="2RI",2,0)</f>
        <v>0</v>
      </c>
      <c r="W427">
        <f>+IF(DB!P427="1RV",1,0)+IF(DB!P427="2RV",2,0)</f>
        <v>0</v>
      </c>
      <c r="X427">
        <f>+IF(DB!P427="RYI",1,0)</f>
        <v>0</v>
      </c>
      <c r="Y427">
        <f>+IF(DB!P427="RYV",1,0)</f>
        <v>0</v>
      </c>
      <c r="Z427">
        <f>+DB!U427</f>
        <v>0</v>
      </c>
      <c r="AA427">
        <f>+IF(DB!F427="AAAC-35",19.5,33)</f>
        <v>33</v>
      </c>
      <c r="AB427">
        <f>+DB!V427</f>
        <v>0</v>
      </c>
      <c r="AC427" t="str">
        <f t="shared" si="20"/>
        <v>56-4</v>
      </c>
      <c r="AD427" s="21" t="s">
        <v>72</v>
      </c>
      <c r="AE427">
        <f>+DB!X427</f>
        <v>0</v>
      </c>
      <c r="AF427" s="22">
        <f>+DB!Y427</f>
        <v>0</v>
      </c>
      <c r="AG427">
        <f>+DB!AK427</f>
        <v>0</v>
      </c>
    </row>
    <row r="428" spans="1:33" x14ac:dyDescent="0.2">
      <c r="A428">
        <f>+DB!C428</f>
        <v>0</v>
      </c>
      <c r="B428">
        <f>+DB!D428</f>
        <v>0</v>
      </c>
      <c r="C428">
        <f>+DB!E428</f>
        <v>0</v>
      </c>
      <c r="D428">
        <f t="shared" si="18"/>
        <v>0</v>
      </c>
      <c r="E428">
        <f>+DB!G428</f>
        <v>0</v>
      </c>
      <c r="F428">
        <f>+DB!H428</f>
        <v>0</v>
      </c>
      <c r="G428">
        <f>+DB!N428</f>
        <v>0</v>
      </c>
      <c r="H428">
        <f>+DB!O428</f>
        <v>0</v>
      </c>
      <c r="I428">
        <f>+DB!I428</f>
        <v>0</v>
      </c>
      <c r="J428">
        <f>+DB!J428</f>
        <v>0</v>
      </c>
      <c r="K428">
        <f>+DB!L428</f>
        <v>0</v>
      </c>
      <c r="L428" t="str">
        <f t="shared" si="19"/>
        <v/>
      </c>
      <c r="M428" t="str">
        <f>+IF(LEFT(DB!M428,3)="13/","CAC","MAD")</f>
        <v>MAD</v>
      </c>
      <c r="N428" t="str">
        <f>+RIGHT(DB!M428,6)</f>
        <v/>
      </c>
      <c r="O428">
        <v>95</v>
      </c>
      <c r="P428">
        <v>5</v>
      </c>
      <c r="Q428">
        <f>+DB!AB428</f>
        <v>0</v>
      </c>
      <c r="R428">
        <f>+DB!K428</f>
        <v>0</v>
      </c>
      <c r="S428">
        <f>+DB!F428</f>
        <v>0</v>
      </c>
      <c r="T428">
        <f>+IF(DB!F428="AAAC-35",1,3)</f>
        <v>3</v>
      </c>
      <c r="U428">
        <f>+DB!R428</f>
        <v>0</v>
      </c>
      <c r="V428">
        <f>+IF(DB!P428="1RI",1,0)+IF(DB!P428="2RI",2,0)</f>
        <v>0</v>
      </c>
      <c r="W428">
        <f>+IF(DB!P428="1RV",1,0)+IF(DB!P428="2RV",2,0)</f>
        <v>0</v>
      </c>
      <c r="X428">
        <f>+IF(DB!P428="RYI",1,0)</f>
        <v>0</v>
      </c>
      <c r="Y428">
        <f>+IF(DB!P428="RYV",1,0)</f>
        <v>0</v>
      </c>
      <c r="Z428">
        <f>+DB!U428</f>
        <v>0</v>
      </c>
      <c r="AA428">
        <f>+IF(DB!F428="AAAC-35",19.5,33)</f>
        <v>33</v>
      </c>
      <c r="AB428">
        <f>+DB!V428</f>
        <v>0</v>
      </c>
      <c r="AC428" t="str">
        <f t="shared" si="20"/>
        <v>56-4</v>
      </c>
      <c r="AD428" s="21" t="s">
        <v>72</v>
      </c>
      <c r="AE428">
        <f>+DB!X428</f>
        <v>0</v>
      </c>
      <c r="AF428" s="22">
        <f>+DB!Y428</f>
        <v>0</v>
      </c>
      <c r="AG428">
        <f>+DB!AK428</f>
        <v>0</v>
      </c>
    </row>
    <row r="429" spans="1:33" x14ac:dyDescent="0.2">
      <c r="A429">
        <f>+DB!C429</f>
        <v>0</v>
      </c>
      <c r="B429">
        <f>+DB!D429</f>
        <v>0</v>
      </c>
      <c r="C429">
        <f>+DB!E429</f>
        <v>0</v>
      </c>
      <c r="D429">
        <f t="shared" si="18"/>
        <v>0</v>
      </c>
      <c r="E429">
        <f>+DB!G429</f>
        <v>0</v>
      </c>
      <c r="F429">
        <f>+DB!H429</f>
        <v>0</v>
      </c>
      <c r="G429">
        <f>+DB!N429</f>
        <v>0</v>
      </c>
      <c r="H429">
        <f>+DB!O429</f>
        <v>0</v>
      </c>
      <c r="I429">
        <f>+DB!I429</f>
        <v>0</v>
      </c>
      <c r="J429">
        <f>+DB!J429</f>
        <v>0</v>
      </c>
      <c r="K429">
        <f>+DB!L429</f>
        <v>0</v>
      </c>
      <c r="L429" t="str">
        <f t="shared" si="19"/>
        <v/>
      </c>
      <c r="M429" t="str">
        <f>+IF(LEFT(DB!M429,3)="13/","CAC","MAD")</f>
        <v>MAD</v>
      </c>
      <c r="N429" t="str">
        <f>+RIGHT(DB!M429,6)</f>
        <v/>
      </c>
      <c r="O429">
        <v>95</v>
      </c>
      <c r="P429">
        <v>5</v>
      </c>
      <c r="Q429">
        <f>+DB!AB429</f>
        <v>0</v>
      </c>
      <c r="R429">
        <f>+DB!K429</f>
        <v>0</v>
      </c>
      <c r="S429">
        <f>+DB!F429</f>
        <v>0</v>
      </c>
      <c r="T429">
        <f>+IF(DB!F429="AAAC-35",1,3)</f>
        <v>3</v>
      </c>
      <c r="U429">
        <f>+DB!R429</f>
        <v>0</v>
      </c>
      <c r="V429">
        <f>+IF(DB!P429="1RI",1,0)+IF(DB!P429="2RI",2,0)</f>
        <v>0</v>
      </c>
      <c r="W429">
        <f>+IF(DB!P429="1RV",1,0)+IF(DB!P429="2RV",2,0)</f>
        <v>0</v>
      </c>
      <c r="X429">
        <f>+IF(DB!P429="RYI",1,0)</f>
        <v>0</v>
      </c>
      <c r="Y429">
        <f>+IF(DB!P429="RYV",1,0)</f>
        <v>0</v>
      </c>
      <c r="Z429">
        <f>+DB!U429</f>
        <v>0</v>
      </c>
      <c r="AA429">
        <f>+IF(DB!F429="AAAC-35",19.5,33)</f>
        <v>33</v>
      </c>
      <c r="AB429">
        <f>+DB!V429</f>
        <v>0</v>
      </c>
      <c r="AC429" t="str">
        <f t="shared" si="20"/>
        <v>56-4</v>
      </c>
      <c r="AD429" s="21" t="s">
        <v>72</v>
      </c>
      <c r="AE429">
        <f>+DB!X429</f>
        <v>0</v>
      </c>
      <c r="AF429" s="22">
        <f>+DB!Y429</f>
        <v>0</v>
      </c>
      <c r="AG429">
        <f>+DB!AK429</f>
        <v>0</v>
      </c>
    </row>
    <row r="430" spans="1:33" x14ac:dyDescent="0.2">
      <c r="A430">
        <f>+DB!C430</f>
        <v>0</v>
      </c>
      <c r="B430">
        <f>+DB!D430</f>
        <v>0</v>
      </c>
      <c r="C430">
        <f>+DB!E430</f>
        <v>0</v>
      </c>
      <c r="D430">
        <f t="shared" si="18"/>
        <v>0</v>
      </c>
      <c r="E430">
        <f>+DB!G430</f>
        <v>0</v>
      </c>
      <c r="F430">
        <f>+DB!H430</f>
        <v>0</v>
      </c>
      <c r="G430">
        <f>+DB!N430</f>
        <v>0</v>
      </c>
      <c r="H430">
        <f>+DB!O430</f>
        <v>0</v>
      </c>
      <c r="I430">
        <f>+DB!I430</f>
        <v>0</v>
      </c>
      <c r="J430">
        <f>+DB!J430</f>
        <v>0</v>
      </c>
      <c r="K430">
        <f>+DB!L430</f>
        <v>0</v>
      </c>
      <c r="L430" t="str">
        <f t="shared" si="19"/>
        <v/>
      </c>
      <c r="M430" t="str">
        <f>+IF(LEFT(DB!M430,3)="13/","CAC","MAD")</f>
        <v>MAD</v>
      </c>
      <c r="N430" t="str">
        <f>+RIGHT(DB!M430,6)</f>
        <v/>
      </c>
      <c r="O430">
        <v>95</v>
      </c>
      <c r="P430">
        <v>5</v>
      </c>
      <c r="Q430">
        <f>+DB!AB430</f>
        <v>0</v>
      </c>
      <c r="R430">
        <f>+DB!K430</f>
        <v>0</v>
      </c>
      <c r="S430">
        <f>+DB!F430</f>
        <v>0</v>
      </c>
      <c r="T430">
        <f>+IF(DB!F430="AAAC-35",1,3)</f>
        <v>3</v>
      </c>
      <c r="U430">
        <f>+DB!R430</f>
        <v>0</v>
      </c>
      <c r="V430">
        <f>+IF(DB!P430="1RI",1,0)+IF(DB!P430="2RI",2,0)</f>
        <v>0</v>
      </c>
      <c r="W430">
        <f>+IF(DB!P430="1RV",1,0)+IF(DB!P430="2RV",2,0)</f>
        <v>0</v>
      </c>
      <c r="X430">
        <f>+IF(DB!P430="RYI",1,0)</f>
        <v>0</v>
      </c>
      <c r="Y430">
        <f>+IF(DB!P430="RYV",1,0)</f>
        <v>0</v>
      </c>
      <c r="Z430">
        <f>+DB!U430</f>
        <v>0</v>
      </c>
      <c r="AA430">
        <f>+IF(DB!F430="AAAC-35",19.5,33)</f>
        <v>33</v>
      </c>
      <c r="AB430">
        <f>+DB!V430</f>
        <v>0</v>
      </c>
      <c r="AC430" t="str">
        <f t="shared" si="20"/>
        <v>56-4</v>
      </c>
      <c r="AD430" s="21" t="s">
        <v>72</v>
      </c>
      <c r="AE430">
        <f>+DB!X430</f>
        <v>0</v>
      </c>
      <c r="AF430" s="22">
        <f>+DB!Y430</f>
        <v>0</v>
      </c>
      <c r="AG430">
        <f>+DB!AK430</f>
        <v>0</v>
      </c>
    </row>
    <row r="431" spans="1:33" x14ac:dyDescent="0.2">
      <c r="A431">
        <f>+DB!C431</f>
        <v>0</v>
      </c>
      <c r="B431">
        <f>+DB!D431</f>
        <v>0</v>
      </c>
      <c r="C431">
        <f>+DB!E431</f>
        <v>0</v>
      </c>
      <c r="D431">
        <f t="shared" si="18"/>
        <v>0</v>
      </c>
      <c r="E431">
        <f>+DB!G431</f>
        <v>0</v>
      </c>
      <c r="F431">
        <f>+DB!H431</f>
        <v>0</v>
      </c>
      <c r="G431">
        <f>+DB!N431</f>
        <v>0</v>
      </c>
      <c r="H431">
        <f>+DB!O431</f>
        <v>0</v>
      </c>
      <c r="I431">
        <f>+DB!I431</f>
        <v>0</v>
      </c>
      <c r="J431">
        <f>+DB!J431</f>
        <v>0</v>
      </c>
      <c r="K431">
        <f>+DB!L431</f>
        <v>0</v>
      </c>
      <c r="L431" t="str">
        <f t="shared" si="19"/>
        <v/>
      </c>
      <c r="M431" t="str">
        <f>+IF(LEFT(DB!M431,3)="13/","CAC","MAD")</f>
        <v>MAD</v>
      </c>
      <c r="N431" t="str">
        <f>+RIGHT(DB!M431,6)</f>
        <v/>
      </c>
      <c r="O431">
        <v>95</v>
      </c>
      <c r="P431">
        <v>5</v>
      </c>
      <c r="Q431">
        <f>+DB!AB431</f>
        <v>0</v>
      </c>
      <c r="R431">
        <f>+DB!K431</f>
        <v>0</v>
      </c>
      <c r="S431">
        <f>+DB!F431</f>
        <v>0</v>
      </c>
      <c r="T431">
        <f>+IF(DB!F431="AAAC-35",1,3)</f>
        <v>3</v>
      </c>
      <c r="U431">
        <f>+DB!R431</f>
        <v>0</v>
      </c>
      <c r="V431">
        <f>+IF(DB!P431="1RI",1,0)+IF(DB!P431="2RI",2,0)</f>
        <v>0</v>
      </c>
      <c r="W431">
        <f>+IF(DB!P431="1RV",1,0)+IF(DB!P431="2RV",2,0)</f>
        <v>0</v>
      </c>
      <c r="X431">
        <f>+IF(DB!P431="RYI",1,0)</f>
        <v>0</v>
      </c>
      <c r="Y431">
        <f>+IF(DB!P431="RYV",1,0)</f>
        <v>0</v>
      </c>
      <c r="Z431">
        <f>+DB!U431</f>
        <v>0</v>
      </c>
      <c r="AA431">
        <f>+IF(DB!F431="AAAC-35",19.5,33)</f>
        <v>33</v>
      </c>
      <c r="AB431">
        <f>+DB!V431</f>
        <v>0</v>
      </c>
      <c r="AC431" t="str">
        <f t="shared" si="20"/>
        <v>56-4</v>
      </c>
      <c r="AD431" s="21" t="s">
        <v>72</v>
      </c>
      <c r="AE431">
        <f>+DB!X431</f>
        <v>0</v>
      </c>
      <c r="AF431" s="22">
        <f>+DB!Y431</f>
        <v>0</v>
      </c>
      <c r="AG431">
        <f>+DB!AK431</f>
        <v>0</v>
      </c>
    </row>
    <row r="432" spans="1:33" x14ac:dyDescent="0.2">
      <c r="A432">
        <f>+DB!C432</f>
        <v>0</v>
      </c>
      <c r="B432">
        <f>+DB!D432</f>
        <v>0</v>
      </c>
      <c r="C432">
        <f>+DB!E432</f>
        <v>0</v>
      </c>
      <c r="D432">
        <f t="shared" si="18"/>
        <v>0</v>
      </c>
      <c r="E432">
        <f>+DB!G432</f>
        <v>0</v>
      </c>
      <c r="F432">
        <f>+DB!H432</f>
        <v>0</v>
      </c>
      <c r="G432">
        <f>+DB!N432</f>
        <v>0</v>
      </c>
      <c r="H432">
        <f>+DB!O432</f>
        <v>0</v>
      </c>
      <c r="I432">
        <f>+DB!I432</f>
        <v>0</v>
      </c>
      <c r="J432">
        <f>+DB!J432</f>
        <v>0</v>
      </c>
      <c r="K432">
        <f>+DB!L432</f>
        <v>0</v>
      </c>
      <c r="L432" t="str">
        <f t="shared" si="19"/>
        <v/>
      </c>
      <c r="M432" t="str">
        <f>+IF(LEFT(DB!M432,3)="13/","CAC","MAD")</f>
        <v>MAD</v>
      </c>
      <c r="N432" t="str">
        <f>+RIGHT(DB!M432,6)</f>
        <v/>
      </c>
      <c r="O432">
        <v>95</v>
      </c>
      <c r="P432">
        <v>5</v>
      </c>
      <c r="Q432">
        <f>+DB!AB432</f>
        <v>0</v>
      </c>
      <c r="R432">
        <f>+DB!K432</f>
        <v>0</v>
      </c>
      <c r="S432">
        <f>+DB!F432</f>
        <v>0</v>
      </c>
      <c r="T432">
        <f>+IF(DB!F432="AAAC-35",1,3)</f>
        <v>3</v>
      </c>
      <c r="U432">
        <f>+DB!R432</f>
        <v>0</v>
      </c>
      <c r="V432">
        <f>+IF(DB!P432="1RI",1,0)+IF(DB!P432="2RI",2,0)</f>
        <v>0</v>
      </c>
      <c r="W432">
        <f>+IF(DB!P432="1RV",1,0)+IF(DB!P432="2RV",2,0)</f>
        <v>0</v>
      </c>
      <c r="X432">
        <f>+IF(DB!P432="RYI",1,0)</f>
        <v>0</v>
      </c>
      <c r="Y432">
        <f>+IF(DB!P432="RYV",1,0)</f>
        <v>0</v>
      </c>
      <c r="Z432">
        <f>+DB!U432</f>
        <v>0</v>
      </c>
      <c r="AA432">
        <f>+IF(DB!F432="AAAC-35",19.5,33)</f>
        <v>33</v>
      </c>
      <c r="AB432">
        <f>+DB!V432</f>
        <v>0</v>
      </c>
      <c r="AC432" t="str">
        <f t="shared" si="20"/>
        <v>56-4</v>
      </c>
      <c r="AD432" s="21" t="s">
        <v>72</v>
      </c>
      <c r="AE432">
        <f>+DB!X432</f>
        <v>0</v>
      </c>
      <c r="AF432" s="22">
        <f>+DB!Y432</f>
        <v>0</v>
      </c>
      <c r="AG432">
        <f>+DB!AK432</f>
        <v>0</v>
      </c>
    </row>
    <row r="433" spans="1:33" x14ac:dyDescent="0.2">
      <c r="A433">
        <f>+DB!C433</f>
        <v>0</v>
      </c>
      <c r="B433">
        <f>+DB!D433</f>
        <v>0</v>
      </c>
      <c r="C433">
        <f>+DB!E433</f>
        <v>0</v>
      </c>
      <c r="D433">
        <f t="shared" si="18"/>
        <v>0</v>
      </c>
      <c r="E433">
        <f>+DB!G433</f>
        <v>0</v>
      </c>
      <c r="F433">
        <f>+DB!H433</f>
        <v>0</v>
      </c>
      <c r="G433">
        <f>+DB!N433</f>
        <v>0</v>
      </c>
      <c r="H433">
        <f>+DB!O433</f>
        <v>0</v>
      </c>
      <c r="I433">
        <f>+DB!I433</f>
        <v>0</v>
      </c>
      <c r="J433">
        <f>+DB!J433</f>
        <v>0</v>
      </c>
      <c r="K433">
        <f>+DB!L433</f>
        <v>0</v>
      </c>
      <c r="L433" t="str">
        <f t="shared" si="19"/>
        <v/>
      </c>
      <c r="M433" t="str">
        <f>+IF(LEFT(DB!M433,3)="13/","CAC","MAD")</f>
        <v>MAD</v>
      </c>
      <c r="N433" t="str">
        <f>+RIGHT(DB!M433,6)</f>
        <v/>
      </c>
      <c r="O433">
        <v>95</v>
      </c>
      <c r="P433">
        <v>5</v>
      </c>
      <c r="Q433">
        <f>+DB!AB433</f>
        <v>0</v>
      </c>
      <c r="R433">
        <f>+DB!K433</f>
        <v>0</v>
      </c>
      <c r="S433">
        <f>+DB!F433</f>
        <v>0</v>
      </c>
      <c r="T433">
        <f>+IF(DB!F433="AAAC-35",1,3)</f>
        <v>3</v>
      </c>
      <c r="U433">
        <f>+DB!R433</f>
        <v>0</v>
      </c>
      <c r="V433">
        <f>+IF(DB!P433="1RI",1,0)+IF(DB!P433="2RI",2,0)</f>
        <v>0</v>
      </c>
      <c r="W433">
        <f>+IF(DB!P433="1RV",1,0)+IF(DB!P433="2RV",2,0)</f>
        <v>0</v>
      </c>
      <c r="X433">
        <f>+IF(DB!P433="RYI",1,0)</f>
        <v>0</v>
      </c>
      <c r="Y433">
        <f>+IF(DB!P433="RYV",1,0)</f>
        <v>0</v>
      </c>
      <c r="Z433">
        <f>+DB!U433</f>
        <v>0</v>
      </c>
      <c r="AA433">
        <f>+IF(DB!F433="AAAC-35",19.5,33)</f>
        <v>33</v>
      </c>
      <c r="AB433">
        <f>+DB!V433</f>
        <v>0</v>
      </c>
      <c r="AC433" t="str">
        <f t="shared" si="20"/>
        <v>56-4</v>
      </c>
      <c r="AD433" s="21" t="s">
        <v>72</v>
      </c>
      <c r="AE433">
        <f>+DB!X433</f>
        <v>0</v>
      </c>
      <c r="AF433" s="22">
        <f>+DB!Y433</f>
        <v>0</v>
      </c>
      <c r="AG433">
        <f>+DB!AK433</f>
        <v>0</v>
      </c>
    </row>
    <row r="434" spans="1:33" x14ac:dyDescent="0.2">
      <c r="A434">
        <f>+DB!C434</f>
        <v>0</v>
      </c>
      <c r="B434">
        <f>+DB!D434</f>
        <v>0</v>
      </c>
      <c r="C434">
        <f>+DB!E434</f>
        <v>0</v>
      </c>
      <c r="D434">
        <f t="shared" si="18"/>
        <v>0</v>
      </c>
      <c r="E434">
        <f>+DB!G434</f>
        <v>0</v>
      </c>
      <c r="F434">
        <f>+DB!H434</f>
        <v>0</v>
      </c>
      <c r="G434">
        <f>+DB!N434</f>
        <v>0</v>
      </c>
      <c r="H434">
        <f>+DB!O434</f>
        <v>0</v>
      </c>
      <c r="I434">
        <f>+DB!I434</f>
        <v>0</v>
      </c>
      <c r="J434">
        <f>+DB!J434</f>
        <v>0</v>
      </c>
      <c r="K434">
        <f>+DB!L434</f>
        <v>0</v>
      </c>
      <c r="L434" t="str">
        <f t="shared" si="19"/>
        <v/>
      </c>
      <c r="M434" t="str">
        <f>+IF(LEFT(DB!M434,3)="13/","CAC","MAD")</f>
        <v>MAD</v>
      </c>
      <c r="N434" t="str">
        <f>+RIGHT(DB!M434,6)</f>
        <v/>
      </c>
      <c r="O434">
        <v>95</v>
      </c>
      <c r="P434">
        <v>5</v>
      </c>
      <c r="Q434">
        <f>+DB!AB434</f>
        <v>0</v>
      </c>
      <c r="R434">
        <f>+DB!K434</f>
        <v>0</v>
      </c>
      <c r="S434">
        <f>+DB!F434</f>
        <v>0</v>
      </c>
      <c r="T434">
        <f>+IF(DB!F434="AAAC-35",1,3)</f>
        <v>3</v>
      </c>
      <c r="U434">
        <f>+DB!R434</f>
        <v>0</v>
      </c>
      <c r="V434">
        <f>+IF(DB!P434="1RI",1,0)+IF(DB!P434="2RI",2,0)</f>
        <v>0</v>
      </c>
      <c r="W434">
        <f>+IF(DB!P434="1RV",1,0)+IF(DB!P434="2RV",2,0)</f>
        <v>0</v>
      </c>
      <c r="X434">
        <f>+IF(DB!P434="RYI",1,0)</f>
        <v>0</v>
      </c>
      <c r="Y434">
        <f>+IF(DB!P434="RYV",1,0)</f>
        <v>0</v>
      </c>
      <c r="Z434">
        <f>+DB!U434</f>
        <v>0</v>
      </c>
      <c r="AA434">
        <f>+IF(DB!F434="AAAC-35",19.5,33)</f>
        <v>33</v>
      </c>
      <c r="AB434">
        <f>+DB!V434</f>
        <v>0</v>
      </c>
      <c r="AC434" t="str">
        <f t="shared" si="20"/>
        <v>56-4</v>
      </c>
      <c r="AD434" s="21" t="s">
        <v>72</v>
      </c>
      <c r="AE434">
        <f>+DB!X434</f>
        <v>0</v>
      </c>
      <c r="AF434" s="22">
        <f>+DB!Y434</f>
        <v>0</v>
      </c>
      <c r="AG434">
        <f>+DB!AK434</f>
        <v>0</v>
      </c>
    </row>
    <row r="435" spans="1:33" x14ac:dyDescent="0.2">
      <c r="A435">
        <f>+DB!C435</f>
        <v>0</v>
      </c>
      <c r="B435">
        <f>+DB!D435</f>
        <v>0</v>
      </c>
      <c r="C435">
        <f>+DB!E435</f>
        <v>0</v>
      </c>
      <c r="D435">
        <f t="shared" si="18"/>
        <v>0</v>
      </c>
      <c r="E435">
        <f>+DB!G435</f>
        <v>0</v>
      </c>
      <c r="F435">
        <f>+DB!H435</f>
        <v>0</v>
      </c>
      <c r="G435">
        <f>+DB!N435</f>
        <v>0</v>
      </c>
      <c r="H435">
        <f>+DB!O435</f>
        <v>0</v>
      </c>
      <c r="I435">
        <f>+DB!I435</f>
        <v>0</v>
      </c>
      <c r="J435">
        <f>+DB!J435</f>
        <v>0</v>
      </c>
      <c r="K435">
        <f>+DB!L435</f>
        <v>0</v>
      </c>
      <c r="L435" t="str">
        <f t="shared" si="19"/>
        <v/>
      </c>
      <c r="M435" t="str">
        <f>+IF(LEFT(DB!M435,3)="13/","CAC","MAD")</f>
        <v>MAD</v>
      </c>
      <c r="N435" t="str">
        <f>+RIGHT(DB!M435,6)</f>
        <v/>
      </c>
      <c r="O435">
        <v>95</v>
      </c>
      <c r="P435">
        <v>5</v>
      </c>
      <c r="Q435">
        <f>+DB!AB435</f>
        <v>0</v>
      </c>
      <c r="R435">
        <f>+DB!K435</f>
        <v>0</v>
      </c>
      <c r="S435">
        <f>+DB!F435</f>
        <v>0</v>
      </c>
      <c r="T435">
        <f>+IF(DB!F435="AAAC-35",1,3)</f>
        <v>3</v>
      </c>
      <c r="U435">
        <f>+DB!R435</f>
        <v>0</v>
      </c>
      <c r="V435">
        <f>+IF(DB!P435="1RI",1,0)+IF(DB!P435="2RI",2,0)</f>
        <v>0</v>
      </c>
      <c r="W435">
        <f>+IF(DB!P435="1RV",1,0)+IF(DB!P435="2RV",2,0)</f>
        <v>0</v>
      </c>
      <c r="X435">
        <f>+IF(DB!P435="RYI",1,0)</f>
        <v>0</v>
      </c>
      <c r="Y435">
        <f>+IF(DB!P435="RYV",1,0)</f>
        <v>0</v>
      </c>
      <c r="Z435">
        <f>+DB!U435</f>
        <v>0</v>
      </c>
      <c r="AA435">
        <f>+IF(DB!F435="AAAC-35",19.5,33)</f>
        <v>33</v>
      </c>
      <c r="AB435">
        <f>+DB!V435</f>
        <v>0</v>
      </c>
      <c r="AC435" t="str">
        <f t="shared" si="20"/>
        <v>56-4</v>
      </c>
      <c r="AD435" s="21" t="s">
        <v>72</v>
      </c>
      <c r="AE435">
        <f>+DB!X435</f>
        <v>0</v>
      </c>
      <c r="AF435" s="22">
        <f>+DB!Y435</f>
        <v>0</v>
      </c>
      <c r="AG435">
        <f>+DB!AK435</f>
        <v>0</v>
      </c>
    </row>
    <row r="436" spans="1:33" x14ac:dyDescent="0.2">
      <c r="A436">
        <f>+DB!C436</f>
        <v>0</v>
      </c>
      <c r="B436">
        <f>+DB!D436</f>
        <v>0</v>
      </c>
      <c r="C436">
        <f>+DB!E436</f>
        <v>0</v>
      </c>
      <c r="D436">
        <f t="shared" si="18"/>
        <v>0</v>
      </c>
      <c r="E436">
        <f>+DB!G436</f>
        <v>0</v>
      </c>
      <c r="F436">
        <f>+DB!H436</f>
        <v>0</v>
      </c>
      <c r="G436">
        <f>+DB!N436</f>
        <v>0</v>
      </c>
      <c r="H436">
        <f>+DB!O436</f>
        <v>0</v>
      </c>
      <c r="I436">
        <f>+DB!I436</f>
        <v>0</v>
      </c>
      <c r="J436">
        <f>+DB!J436</f>
        <v>0</v>
      </c>
      <c r="K436">
        <f>+DB!L436</f>
        <v>0</v>
      </c>
      <c r="L436" t="str">
        <f t="shared" si="19"/>
        <v/>
      </c>
      <c r="M436" t="str">
        <f>+IF(LEFT(DB!M436,3)="13/","CAC","MAD")</f>
        <v>MAD</v>
      </c>
      <c r="N436" t="str">
        <f>+RIGHT(DB!M436,6)</f>
        <v/>
      </c>
      <c r="O436">
        <v>95</v>
      </c>
      <c r="P436">
        <v>5</v>
      </c>
      <c r="Q436">
        <f>+DB!AB436</f>
        <v>0</v>
      </c>
      <c r="R436">
        <f>+DB!K436</f>
        <v>0</v>
      </c>
      <c r="S436">
        <f>+DB!F436</f>
        <v>0</v>
      </c>
      <c r="T436">
        <f>+IF(DB!F436="AAAC-35",1,3)</f>
        <v>3</v>
      </c>
      <c r="U436">
        <f>+DB!R436</f>
        <v>0</v>
      </c>
      <c r="V436">
        <f>+IF(DB!P436="1RI",1,0)+IF(DB!P436="2RI",2,0)</f>
        <v>0</v>
      </c>
      <c r="W436">
        <f>+IF(DB!P436="1RV",1,0)+IF(DB!P436="2RV",2,0)</f>
        <v>0</v>
      </c>
      <c r="X436">
        <f>+IF(DB!P436="RYI",1,0)</f>
        <v>0</v>
      </c>
      <c r="Y436">
        <f>+IF(DB!P436="RYV",1,0)</f>
        <v>0</v>
      </c>
      <c r="Z436">
        <f>+DB!U436</f>
        <v>0</v>
      </c>
      <c r="AA436">
        <f>+IF(DB!F436="AAAC-35",19.5,33)</f>
        <v>33</v>
      </c>
      <c r="AB436">
        <f>+DB!V436</f>
        <v>0</v>
      </c>
      <c r="AC436" t="str">
        <f t="shared" si="20"/>
        <v>56-4</v>
      </c>
      <c r="AD436" s="21" t="s">
        <v>72</v>
      </c>
      <c r="AE436">
        <f>+DB!X436</f>
        <v>0</v>
      </c>
      <c r="AF436" s="22">
        <f>+DB!Y436</f>
        <v>0</v>
      </c>
      <c r="AG436">
        <f>+DB!AK436</f>
        <v>0</v>
      </c>
    </row>
    <row r="437" spans="1:33" x14ac:dyDescent="0.2">
      <c r="A437">
        <f>+DB!C437</f>
        <v>0</v>
      </c>
      <c r="B437">
        <f>+DB!D437</f>
        <v>0</v>
      </c>
      <c r="C437">
        <f>+DB!E437</f>
        <v>0</v>
      </c>
      <c r="D437">
        <f t="shared" si="18"/>
        <v>0</v>
      </c>
      <c r="E437">
        <f>+DB!G437</f>
        <v>0</v>
      </c>
      <c r="F437">
        <f>+DB!H437</f>
        <v>0</v>
      </c>
      <c r="G437">
        <f>+DB!N437</f>
        <v>0</v>
      </c>
      <c r="H437">
        <f>+DB!O437</f>
        <v>0</v>
      </c>
      <c r="I437">
        <f>+DB!I437</f>
        <v>0</v>
      </c>
      <c r="J437">
        <f>+DB!J437</f>
        <v>0</v>
      </c>
      <c r="K437">
        <f>+DB!L437</f>
        <v>0</v>
      </c>
      <c r="L437" t="str">
        <f t="shared" si="19"/>
        <v/>
      </c>
      <c r="M437" t="str">
        <f>+IF(LEFT(DB!M437,3)="13/","CAC","MAD")</f>
        <v>MAD</v>
      </c>
      <c r="N437" t="str">
        <f>+RIGHT(DB!M437,6)</f>
        <v/>
      </c>
      <c r="O437">
        <v>95</v>
      </c>
      <c r="P437">
        <v>5</v>
      </c>
      <c r="Q437">
        <f>+DB!AB437</f>
        <v>0</v>
      </c>
      <c r="R437">
        <f>+DB!K437</f>
        <v>0</v>
      </c>
      <c r="S437">
        <f>+DB!F437</f>
        <v>0</v>
      </c>
      <c r="T437">
        <f>+IF(DB!F437="AAAC-35",1,3)</f>
        <v>3</v>
      </c>
      <c r="U437">
        <f>+DB!R437</f>
        <v>0</v>
      </c>
      <c r="V437">
        <f>+IF(DB!P437="1RI",1,0)+IF(DB!P437="2RI",2,0)</f>
        <v>0</v>
      </c>
      <c r="W437">
        <f>+IF(DB!P437="1RV",1,0)+IF(DB!P437="2RV",2,0)</f>
        <v>0</v>
      </c>
      <c r="X437">
        <f>+IF(DB!P437="RYI",1,0)</f>
        <v>0</v>
      </c>
      <c r="Y437">
        <f>+IF(DB!P437="RYV",1,0)</f>
        <v>0</v>
      </c>
      <c r="Z437">
        <f>+DB!U437</f>
        <v>0</v>
      </c>
      <c r="AA437">
        <f>+IF(DB!F437="AAAC-35",19.5,33)</f>
        <v>33</v>
      </c>
      <c r="AB437">
        <f>+DB!V437</f>
        <v>0</v>
      </c>
      <c r="AC437" t="str">
        <f t="shared" si="20"/>
        <v>56-4</v>
      </c>
      <c r="AD437" s="21" t="s">
        <v>72</v>
      </c>
      <c r="AE437">
        <f>+DB!X437</f>
        <v>0</v>
      </c>
      <c r="AF437" s="22">
        <f>+DB!Y437</f>
        <v>0</v>
      </c>
      <c r="AG437">
        <f>+DB!AK437</f>
        <v>0</v>
      </c>
    </row>
    <row r="438" spans="1:33" x14ac:dyDescent="0.2">
      <c r="A438">
        <f>+DB!C438</f>
        <v>0</v>
      </c>
      <c r="B438">
        <f>+DB!D438</f>
        <v>0</v>
      </c>
      <c r="C438">
        <f>+DB!E438</f>
        <v>0</v>
      </c>
      <c r="D438">
        <f t="shared" si="18"/>
        <v>0</v>
      </c>
      <c r="E438">
        <f>+DB!G438</f>
        <v>0</v>
      </c>
      <c r="F438">
        <f>+DB!H438</f>
        <v>0</v>
      </c>
      <c r="G438">
        <f>+DB!N438</f>
        <v>0</v>
      </c>
      <c r="H438">
        <f>+DB!O438</f>
        <v>0</v>
      </c>
      <c r="I438">
        <f>+DB!I438</f>
        <v>0</v>
      </c>
      <c r="J438">
        <f>+DB!J438</f>
        <v>0</v>
      </c>
      <c r="K438">
        <f>+DB!L438</f>
        <v>0</v>
      </c>
      <c r="L438" t="str">
        <f t="shared" si="19"/>
        <v/>
      </c>
      <c r="M438" t="str">
        <f>+IF(LEFT(DB!M438,3)="13/","CAC","MAD")</f>
        <v>MAD</v>
      </c>
      <c r="N438" t="str">
        <f>+RIGHT(DB!M438,6)</f>
        <v/>
      </c>
      <c r="O438">
        <v>95</v>
      </c>
      <c r="P438">
        <v>5</v>
      </c>
      <c r="Q438">
        <f>+DB!AB438</f>
        <v>0</v>
      </c>
      <c r="R438">
        <f>+DB!K438</f>
        <v>0</v>
      </c>
      <c r="S438">
        <f>+DB!F438</f>
        <v>0</v>
      </c>
      <c r="T438">
        <f>+IF(DB!F438="AAAC-35",1,3)</f>
        <v>3</v>
      </c>
      <c r="U438">
        <f>+DB!R438</f>
        <v>0</v>
      </c>
      <c r="V438">
        <f>+IF(DB!P438="1RI",1,0)+IF(DB!P438="2RI",2,0)</f>
        <v>0</v>
      </c>
      <c r="W438">
        <f>+IF(DB!P438="1RV",1,0)+IF(DB!P438="2RV",2,0)</f>
        <v>0</v>
      </c>
      <c r="X438">
        <f>+IF(DB!P438="RYI",1,0)</f>
        <v>0</v>
      </c>
      <c r="Y438">
        <f>+IF(DB!P438="RYV",1,0)</f>
        <v>0</v>
      </c>
      <c r="Z438">
        <f>+DB!U438</f>
        <v>0</v>
      </c>
      <c r="AA438">
        <f>+IF(DB!F438="AAAC-35",19.5,33)</f>
        <v>33</v>
      </c>
      <c r="AB438">
        <f>+DB!V438</f>
        <v>0</v>
      </c>
      <c r="AC438" t="str">
        <f t="shared" si="20"/>
        <v>56-4</v>
      </c>
      <c r="AD438" s="21" t="s">
        <v>72</v>
      </c>
      <c r="AE438">
        <f>+DB!X438</f>
        <v>0</v>
      </c>
      <c r="AF438" s="22">
        <f>+DB!Y438</f>
        <v>0</v>
      </c>
      <c r="AG438">
        <f>+DB!AK438</f>
        <v>0</v>
      </c>
    </row>
    <row r="439" spans="1:33" x14ac:dyDescent="0.2">
      <c r="A439">
        <f>+DB!C439</f>
        <v>0</v>
      </c>
      <c r="B439">
        <f>+DB!D439</f>
        <v>0</v>
      </c>
      <c r="C439">
        <f>+DB!E439</f>
        <v>0</v>
      </c>
      <c r="D439">
        <f t="shared" si="18"/>
        <v>0</v>
      </c>
      <c r="E439">
        <f>+DB!G439</f>
        <v>0</v>
      </c>
      <c r="F439">
        <f>+DB!H439</f>
        <v>0</v>
      </c>
      <c r="G439">
        <f>+DB!N439</f>
        <v>0</v>
      </c>
      <c r="H439">
        <f>+DB!O439</f>
        <v>0</v>
      </c>
      <c r="I439">
        <f>+DB!I439</f>
        <v>0</v>
      </c>
      <c r="J439">
        <f>+DB!J439</f>
        <v>0</v>
      </c>
      <c r="K439">
        <f>+DB!L439</f>
        <v>0</v>
      </c>
      <c r="L439" t="str">
        <f t="shared" si="19"/>
        <v/>
      </c>
      <c r="M439" t="str">
        <f>+IF(LEFT(DB!M439,3)="13/","CAC","MAD")</f>
        <v>MAD</v>
      </c>
      <c r="N439" t="str">
        <f>+RIGHT(DB!M439,6)</f>
        <v/>
      </c>
      <c r="O439">
        <v>95</v>
      </c>
      <c r="P439">
        <v>5</v>
      </c>
      <c r="Q439">
        <f>+DB!AB439</f>
        <v>0</v>
      </c>
      <c r="R439">
        <f>+DB!K439</f>
        <v>0</v>
      </c>
      <c r="S439">
        <f>+DB!F439</f>
        <v>0</v>
      </c>
      <c r="T439">
        <f>+IF(DB!F439="AAAC-35",1,3)</f>
        <v>3</v>
      </c>
      <c r="U439">
        <f>+DB!R439</f>
        <v>0</v>
      </c>
      <c r="V439">
        <f>+IF(DB!P439="1RI",1,0)+IF(DB!P439="2RI",2,0)</f>
        <v>0</v>
      </c>
      <c r="W439">
        <f>+IF(DB!P439="1RV",1,0)+IF(DB!P439="2RV",2,0)</f>
        <v>0</v>
      </c>
      <c r="X439">
        <f>+IF(DB!P439="RYI",1,0)</f>
        <v>0</v>
      </c>
      <c r="Y439">
        <f>+IF(DB!P439="RYV",1,0)</f>
        <v>0</v>
      </c>
      <c r="Z439">
        <f>+DB!U439</f>
        <v>0</v>
      </c>
      <c r="AA439">
        <f>+IF(DB!F439="AAAC-35",19.5,33)</f>
        <v>33</v>
      </c>
      <c r="AB439">
        <f>+DB!V439</f>
        <v>0</v>
      </c>
      <c r="AC439" t="str">
        <f t="shared" si="20"/>
        <v>56-4</v>
      </c>
      <c r="AD439" s="21" t="s">
        <v>72</v>
      </c>
      <c r="AE439">
        <f>+DB!X439</f>
        <v>0</v>
      </c>
      <c r="AF439" s="22">
        <f>+DB!Y439</f>
        <v>0</v>
      </c>
      <c r="AG439">
        <f>+DB!AK439</f>
        <v>0</v>
      </c>
    </row>
    <row r="440" spans="1:33" x14ac:dyDescent="0.2">
      <c r="A440">
        <f>+DB!C440</f>
        <v>0</v>
      </c>
      <c r="B440">
        <f>+DB!D440</f>
        <v>0</v>
      </c>
      <c r="C440">
        <f>+DB!E440</f>
        <v>0</v>
      </c>
      <c r="D440">
        <f t="shared" si="18"/>
        <v>0</v>
      </c>
      <c r="E440">
        <f>+DB!G440</f>
        <v>0</v>
      </c>
      <c r="F440">
        <f>+DB!H440</f>
        <v>0</v>
      </c>
      <c r="G440">
        <f>+DB!N440</f>
        <v>0</v>
      </c>
      <c r="H440">
        <f>+DB!O440</f>
        <v>0</v>
      </c>
      <c r="I440">
        <f>+DB!I440</f>
        <v>0</v>
      </c>
      <c r="J440">
        <f>+DB!J440</f>
        <v>0</v>
      </c>
      <c r="K440">
        <f>+DB!L440</f>
        <v>0</v>
      </c>
      <c r="L440" t="str">
        <f t="shared" si="19"/>
        <v/>
      </c>
      <c r="M440" t="str">
        <f>+IF(LEFT(DB!M440,3)="13/","CAC","MAD")</f>
        <v>MAD</v>
      </c>
      <c r="N440" t="str">
        <f>+RIGHT(DB!M440,6)</f>
        <v/>
      </c>
      <c r="O440">
        <v>95</v>
      </c>
      <c r="P440">
        <v>5</v>
      </c>
      <c r="Q440">
        <f>+DB!AB440</f>
        <v>0</v>
      </c>
      <c r="R440">
        <f>+DB!K440</f>
        <v>0</v>
      </c>
      <c r="S440">
        <f>+DB!F440</f>
        <v>0</v>
      </c>
      <c r="T440">
        <f>+IF(DB!F440="AAAC-35",1,3)</f>
        <v>3</v>
      </c>
      <c r="U440">
        <f>+DB!R440</f>
        <v>0</v>
      </c>
      <c r="V440">
        <f>+IF(DB!P440="1RI",1,0)+IF(DB!P440="2RI",2,0)</f>
        <v>0</v>
      </c>
      <c r="W440">
        <f>+IF(DB!P440="1RV",1,0)+IF(DB!P440="2RV",2,0)</f>
        <v>0</v>
      </c>
      <c r="X440">
        <f>+IF(DB!P440="RYI",1,0)</f>
        <v>0</v>
      </c>
      <c r="Y440">
        <f>+IF(DB!P440="RYV",1,0)</f>
        <v>0</v>
      </c>
      <c r="Z440">
        <f>+DB!U440</f>
        <v>0</v>
      </c>
      <c r="AA440">
        <f>+IF(DB!F440="AAAC-35",19.5,33)</f>
        <v>33</v>
      </c>
      <c r="AB440">
        <f>+DB!V440</f>
        <v>0</v>
      </c>
      <c r="AC440" t="str">
        <f t="shared" si="20"/>
        <v>56-4</v>
      </c>
      <c r="AD440" s="21" t="s">
        <v>72</v>
      </c>
      <c r="AE440">
        <f>+DB!X440</f>
        <v>0</v>
      </c>
      <c r="AF440" s="22">
        <f>+DB!Y440</f>
        <v>0</v>
      </c>
      <c r="AG440">
        <f>+DB!AK440</f>
        <v>0</v>
      </c>
    </row>
    <row r="441" spans="1:33" x14ac:dyDescent="0.2">
      <c r="A441">
        <f>+DB!C441</f>
        <v>0</v>
      </c>
      <c r="B441">
        <f>+DB!D441</f>
        <v>0</v>
      </c>
      <c r="C441">
        <f>+DB!E441</f>
        <v>0</v>
      </c>
      <c r="D441">
        <f t="shared" si="18"/>
        <v>0</v>
      </c>
      <c r="E441">
        <f>+DB!G441</f>
        <v>0</v>
      </c>
      <c r="F441">
        <f>+DB!H441</f>
        <v>0</v>
      </c>
      <c r="G441">
        <f>+DB!N441</f>
        <v>0</v>
      </c>
      <c r="H441">
        <f>+DB!O441</f>
        <v>0</v>
      </c>
      <c r="I441">
        <f>+DB!I441</f>
        <v>0</v>
      </c>
      <c r="J441">
        <f>+DB!J441</f>
        <v>0</v>
      </c>
      <c r="K441">
        <f>+DB!L441</f>
        <v>0</v>
      </c>
      <c r="L441" t="str">
        <f t="shared" si="19"/>
        <v/>
      </c>
      <c r="M441" t="str">
        <f>+IF(LEFT(DB!M441,3)="13/","CAC","MAD")</f>
        <v>MAD</v>
      </c>
      <c r="N441" t="str">
        <f>+RIGHT(DB!M441,6)</f>
        <v/>
      </c>
      <c r="O441">
        <v>95</v>
      </c>
      <c r="P441">
        <v>5</v>
      </c>
      <c r="Q441">
        <f>+DB!AB441</f>
        <v>0</v>
      </c>
      <c r="R441">
        <f>+DB!K441</f>
        <v>0</v>
      </c>
      <c r="S441">
        <f>+DB!F441</f>
        <v>0</v>
      </c>
      <c r="T441">
        <f>+IF(DB!F441="AAAC-35",1,3)</f>
        <v>3</v>
      </c>
      <c r="U441">
        <f>+DB!R441</f>
        <v>0</v>
      </c>
      <c r="V441">
        <f>+IF(DB!P441="1RI",1,0)+IF(DB!P441="2RI",2,0)</f>
        <v>0</v>
      </c>
      <c r="W441">
        <f>+IF(DB!P441="1RV",1,0)+IF(DB!P441="2RV",2,0)</f>
        <v>0</v>
      </c>
      <c r="X441">
        <f>+IF(DB!P441="RYI",1,0)</f>
        <v>0</v>
      </c>
      <c r="Y441">
        <f>+IF(DB!P441="RYV",1,0)</f>
        <v>0</v>
      </c>
      <c r="Z441">
        <f>+DB!U441</f>
        <v>0</v>
      </c>
      <c r="AA441">
        <f>+IF(DB!F441="AAAC-35",19.5,33)</f>
        <v>33</v>
      </c>
      <c r="AB441">
        <f>+DB!V441</f>
        <v>0</v>
      </c>
      <c r="AC441" t="str">
        <f t="shared" si="20"/>
        <v>56-4</v>
      </c>
      <c r="AD441" s="21" t="s">
        <v>72</v>
      </c>
      <c r="AE441">
        <f>+DB!X441</f>
        <v>0</v>
      </c>
      <c r="AF441" s="22">
        <f>+DB!Y441</f>
        <v>0</v>
      </c>
      <c r="AG441">
        <f>+DB!AK441</f>
        <v>0</v>
      </c>
    </row>
    <row r="442" spans="1:33" x14ac:dyDescent="0.2">
      <c r="A442">
        <f>+DB!C442</f>
        <v>0</v>
      </c>
      <c r="B442">
        <f>+DB!D442</f>
        <v>0</v>
      </c>
      <c r="C442">
        <f>+DB!E442</f>
        <v>0</v>
      </c>
      <c r="D442">
        <f t="shared" si="18"/>
        <v>0</v>
      </c>
      <c r="E442">
        <f>+DB!G442</f>
        <v>0</v>
      </c>
      <c r="F442">
        <f>+DB!H442</f>
        <v>0</v>
      </c>
      <c r="G442">
        <f>+DB!N442</f>
        <v>0</v>
      </c>
      <c r="H442">
        <f>+DB!O442</f>
        <v>0</v>
      </c>
      <c r="I442">
        <f>+DB!I442</f>
        <v>0</v>
      </c>
      <c r="J442">
        <f>+DB!J442</f>
        <v>0</v>
      </c>
      <c r="K442">
        <f>+DB!L442</f>
        <v>0</v>
      </c>
      <c r="L442" t="str">
        <f t="shared" si="19"/>
        <v/>
      </c>
      <c r="M442" t="str">
        <f>+IF(LEFT(DB!M442,3)="13/","CAC","MAD")</f>
        <v>MAD</v>
      </c>
      <c r="N442" t="str">
        <f>+RIGHT(DB!M442,6)</f>
        <v/>
      </c>
      <c r="O442">
        <v>95</v>
      </c>
      <c r="P442">
        <v>5</v>
      </c>
      <c r="Q442">
        <f>+DB!AB442</f>
        <v>0</v>
      </c>
      <c r="R442">
        <f>+DB!K442</f>
        <v>0</v>
      </c>
      <c r="S442">
        <f>+DB!F442</f>
        <v>0</v>
      </c>
      <c r="T442">
        <f>+IF(DB!F442="AAAC-35",1,3)</f>
        <v>3</v>
      </c>
      <c r="U442">
        <f>+DB!R442</f>
        <v>0</v>
      </c>
      <c r="V442">
        <f>+IF(DB!P442="1RI",1,0)+IF(DB!P442="2RI",2,0)</f>
        <v>0</v>
      </c>
      <c r="W442">
        <f>+IF(DB!P442="1RV",1,0)+IF(DB!P442="2RV",2,0)</f>
        <v>0</v>
      </c>
      <c r="X442">
        <f>+IF(DB!P442="RYI",1,0)</f>
        <v>0</v>
      </c>
      <c r="Y442">
        <f>+IF(DB!P442="RYV",1,0)</f>
        <v>0</v>
      </c>
      <c r="Z442">
        <f>+DB!U442</f>
        <v>0</v>
      </c>
      <c r="AA442">
        <f>+IF(DB!F442="AAAC-35",19.5,33)</f>
        <v>33</v>
      </c>
      <c r="AB442">
        <f>+DB!V442</f>
        <v>0</v>
      </c>
      <c r="AC442" t="str">
        <f t="shared" si="20"/>
        <v>56-4</v>
      </c>
      <c r="AD442" s="21" t="s">
        <v>72</v>
      </c>
      <c r="AE442">
        <f>+DB!X442</f>
        <v>0</v>
      </c>
      <c r="AF442" s="22">
        <f>+DB!Y442</f>
        <v>0</v>
      </c>
      <c r="AG442">
        <f>+DB!AK442</f>
        <v>0</v>
      </c>
    </row>
    <row r="443" spans="1:33" x14ac:dyDescent="0.2">
      <c r="A443">
        <f>+DB!C443</f>
        <v>0</v>
      </c>
      <c r="B443">
        <f>+DB!D443</f>
        <v>0</v>
      </c>
      <c r="C443">
        <f>+DB!E443</f>
        <v>0</v>
      </c>
      <c r="D443">
        <f t="shared" si="18"/>
        <v>0</v>
      </c>
      <c r="E443">
        <f>+DB!G443</f>
        <v>0</v>
      </c>
      <c r="F443">
        <f>+DB!H443</f>
        <v>0</v>
      </c>
      <c r="G443">
        <f>+DB!N443</f>
        <v>0</v>
      </c>
      <c r="H443">
        <f>+DB!O443</f>
        <v>0</v>
      </c>
      <c r="I443">
        <f>+DB!I443</f>
        <v>0</v>
      </c>
      <c r="J443">
        <f>+DB!J443</f>
        <v>0</v>
      </c>
      <c r="K443">
        <f>+DB!L443</f>
        <v>0</v>
      </c>
      <c r="L443" t="str">
        <f t="shared" si="19"/>
        <v/>
      </c>
      <c r="M443" t="str">
        <f>+IF(LEFT(DB!M443,3)="13/","CAC","MAD")</f>
        <v>MAD</v>
      </c>
      <c r="N443" t="str">
        <f>+RIGHT(DB!M443,6)</f>
        <v/>
      </c>
      <c r="O443">
        <v>95</v>
      </c>
      <c r="P443">
        <v>5</v>
      </c>
      <c r="Q443">
        <f>+DB!AB443</f>
        <v>0</v>
      </c>
      <c r="R443">
        <f>+DB!K443</f>
        <v>0</v>
      </c>
      <c r="S443">
        <f>+DB!F443</f>
        <v>0</v>
      </c>
      <c r="T443">
        <f>+IF(DB!F443="AAAC-35",1,3)</f>
        <v>3</v>
      </c>
      <c r="U443">
        <f>+DB!R443</f>
        <v>0</v>
      </c>
      <c r="V443">
        <f>+IF(DB!P443="1RI",1,0)+IF(DB!P443="2RI",2,0)</f>
        <v>0</v>
      </c>
      <c r="W443">
        <f>+IF(DB!P443="1RV",1,0)+IF(DB!P443="2RV",2,0)</f>
        <v>0</v>
      </c>
      <c r="X443">
        <f>+IF(DB!P443="RYI",1,0)</f>
        <v>0</v>
      </c>
      <c r="Y443">
        <f>+IF(DB!P443="RYV",1,0)</f>
        <v>0</v>
      </c>
      <c r="Z443">
        <f>+DB!U443</f>
        <v>0</v>
      </c>
      <c r="AA443">
        <f>+IF(DB!F443="AAAC-35",19.5,33)</f>
        <v>33</v>
      </c>
      <c r="AB443">
        <f>+DB!V443</f>
        <v>0</v>
      </c>
      <c r="AC443" t="str">
        <f t="shared" si="20"/>
        <v>56-4</v>
      </c>
      <c r="AD443" s="21" t="s">
        <v>72</v>
      </c>
      <c r="AE443">
        <f>+DB!X443</f>
        <v>0</v>
      </c>
      <c r="AF443" s="22">
        <f>+DB!Y443</f>
        <v>0</v>
      </c>
      <c r="AG443">
        <f>+DB!AK443</f>
        <v>0</v>
      </c>
    </row>
    <row r="444" spans="1:33" x14ac:dyDescent="0.2">
      <c r="A444">
        <f>+DB!C444</f>
        <v>0</v>
      </c>
      <c r="B444">
        <f>+DB!D444</f>
        <v>0</v>
      </c>
      <c r="C444">
        <f>+DB!E444</f>
        <v>0</v>
      </c>
      <c r="D444">
        <f t="shared" si="18"/>
        <v>0</v>
      </c>
      <c r="E444">
        <f>+DB!G444</f>
        <v>0</v>
      </c>
      <c r="F444">
        <f>+DB!H444</f>
        <v>0</v>
      </c>
      <c r="G444">
        <f>+DB!N444</f>
        <v>0</v>
      </c>
      <c r="H444">
        <f>+DB!O444</f>
        <v>0</v>
      </c>
      <c r="I444">
        <f>+DB!I444</f>
        <v>0</v>
      </c>
      <c r="J444">
        <f>+DB!J444</f>
        <v>0</v>
      </c>
      <c r="K444">
        <f>+DB!L444</f>
        <v>0</v>
      </c>
      <c r="L444" t="str">
        <f t="shared" si="19"/>
        <v/>
      </c>
      <c r="M444" t="str">
        <f>+IF(LEFT(DB!M444,3)="13/","CAC","MAD")</f>
        <v>MAD</v>
      </c>
      <c r="N444" t="str">
        <f>+RIGHT(DB!M444,6)</f>
        <v/>
      </c>
      <c r="O444">
        <v>95</v>
      </c>
      <c r="P444">
        <v>5</v>
      </c>
      <c r="Q444">
        <f>+DB!AB444</f>
        <v>0</v>
      </c>
      <c r="R444">
        <f>+DB!K444</f>
        <v>0</v>
      </c>
      <c r="S444">
        <f>+DB!F444</f>
        <v>0</v>
      </c>
      <c r="T444">
        <f>+IF(DB!F444="AAAC-35",1,3)</f>
        <v>3</v>
      </c>
      <c r="U444">
        <f>+DB!R444</f>
        <v>0</v>
      </c>
      <c r="V444">
        <f>+IF(DB!P444="1RI",1,0)+IF(DB!P444="2RI",2,0)</f>
        <v>0</v>
      </c>
      <c r="W444">
        <f>+IF(DB!P444="1RV",1,0)+IF(DB!P444="2RV",2,0)</f>
        <v>0</v>
      </c>
      <c r="X444">
        <f>+IF(DB!P444="RYI",1,0)</f>
        <v>0</v>
      </c>
      <c r="Y444">
        <f>+IF(DB!P444="RYV",1,0)</f>
        <v>0</v>
      </c>
      <c r="Z444">
        <f>+DB!U444</f>
        <v>0</v>
      </c>
      <c r="AA444">
        <f>+IF(DB!F444="AAAC-35",19.5,33)</f>
        <v>33</v>
      </c>
      <c r="AB444">
        <f>+DB!V444</f>
        <v>0</v>
      </c>
      <c r="AC444" t="str">
        <f t="shared" si="20"/>
        <v>56-4</v>
      </c>
      <c r="AD444" s="21" t="s">
        <v>72</v>
      </c>
      <c r="AE444">
        <f>+DB!X444</f>
        <v>0</v>
      </c>
      <c r="AF444" s="22">
        <f>+DB!Y444</f>
        <v>0</v>
      </c>
      <c r="AG444">
        <f>+DB!AK444</f>
        <v>0</v>
      </c>
    </row>
    <row r="445" spans="1:33" x14ac:dyDescent="0.2">
      <c r="A445">
        <f>+DB!C445</f>
        <v>0</v>
      </c>
      <c r="B445">
        <f>+DB!D445</f>
        <v>0</v>
      </c>
      <c r="C445">
        <f>+DB!E445</f>
        <v>0</v>
      </c>
      <c r="D445">
        <f t="shared" si="18"/>
        <v>0</v>
      </c>
      <c r="E445">
        <f>+DB!G445</f>
        <v>0</v>
      </c>
      <c r="F445">
        <f>+DB!H445</f>
        <v>0</v>
      </c>
      <c r="G445">
        <f>+DB!N445</f>
        <v>0</v>
      </c>
      <c r="H445">
        <f>+DB!O445</f>
        <v>0</v>
      </c>
      <c r="I445">
        <f>+DB!I445</f>
        <v>0</v>
      </c>
      <c r="J445">
        <f>+DB!J445</f>
        <v>0</v>
      </c>
      <c r="K445">
        <f>+DB!L445</f>
        <v>0</v>
      </c>
      <c r="L445" t="str">
        <f t="shared" si="19"/>
        <v/>
      </c>
      <c r="M445" t="str">
        <f>+IF(LEFT(DB!M445,3)="13/","CAC","MAD")</f>
        <v>MAD</v>
      </c>
      <c r="N445" t="str">
        <f>+RIGHT(DB!M445,6)</f>
        <v/>
      </c>
      <c r="O445">
        <v>95</v>
      </c>
      <c r="P445">
        <v>5</v>
      </c>
      <c r="Q445">
        <f>+DB!AB445</f>
        <v>0</v>
      </c>
      <c r="R445">
        <f>+DB!K445</f>
        <v>0</v>
      </c>
      <c r="S445">
        <f>+DB!F445</f>
        <v>0</v>
      </c>
      <c r="T445">
        <f>+IF(DB!F445="AAAC-35",1,3)</f>
        <v>3</v>
      </c>
      <c r="U445">
        <f>+DB!R445</f>
        <v>0</v>
      </c>
      <c r="V445">
        <f>+IF(DB!P445="1RI",1,0)+IF(DB!P445="2RI",2,0)</f>
        <v>0</v>
      </c>
      <c r="W445">
        <f>+IF(DB!P445="1RV",1,0)+IF(DB!P445="2RV",2,0)</f>
        <v>0</v>
      </c>
      <c r="X445">
        <f>+IF(DB!P445="RYI",1,0)</f>
        <v>0</v>
      </c>
      <c r="Y445">
        <f>+IF(DB!P445="RYV",1,0)</f>
        <v>0</v>
      </c>
      <c r="Z445">
        <f>+DB!U445</f>
        <v>0</v>
      </c>
      <c r="AA445">
        <f>+IF(DB!F445="AAAC-35",19.5,33)</f>
        <v>33</v>
      </c>
      <c r="AB445">
        <f>+DB!V445</f>
        <v>0</v>
      </c>
      <c r="AC445" t="str">
        <f t="shared" si="20"/>
        <v>56-4</v>
      </c>
      <c r="AD445" s="21" t="s">
        <v>72</v>
      </c>
      <c r="AE445">
        <f>+DB!X445</f>
        <v>0</v>
      </c>
      <c r="AF445" s="22">
        <f>+DB!Y445</f>
        <v>0</v>
      </c>
      <c r="AG445">
        <f>+DB!AK445</f>
        <v>0</v>
      </c>
    </row>
    <row r="446" spans="1:33" x14ac:dyDescent="0.2">
      <c r="A446">
        <f>+DB!C446</f>
        <v>0</v>
      </c>
      <c r="B446">
        <f>+DB!D446</f>
        <v>0</v>
      </c>
      <c r="C446">
        <f>+DB!E446</f>
        <v>0</v>
      </c>
      <c r="D446">
        <f t="shared" si="18"/>
        <v>0</v>
      </c>
      <c r="E446">
        <f>+DB!G446</f>
        <v>0</v>
      </c>
      <c r="F446">
        <f>+DB!H446</f>
        <v>0</v>
      </c>
      <c r="G446">
        <f>+DB!N446</f>
        <v>0</v>
      </c>
      <c r="H446">
        <f>+DB!O446</f>
        <v>0</v>
      </c>
      <c r="I446">
        <f>+DB!I446</f>
        <v>0</v>
      </c>
      <c r="J446">
        <f>+DB!J446</f>
        <v>0</v>
      </c>
      <c r="K446">
        <f>+DB!L446</f>
        <v>0</v>
      </c>
      <c r="L446" t="str">
        <f t="shared" si="19"/>
        <v/>
      </c>
      <c r="M446" t="str">
        <f>+IF(LEFT(DB!M446,3)="13/","CAC","MAD")</f>
        <v>MAD</v>
      </c>
      <c r="N446" t="str">
        <f>+RIGHT(DB!M446,6)</f>
        <v/>
      </c>
      <c r="O446">
        <v>95</v>
      </c>
      <c r="P446">
        <v>5</v>
      </c>
      <c r="Q446">
        <f>+DB!AB446</f>
        <v>0</v>
      </c>
      <c r="R446">
        <f>+DB!K446</f>
        <v>0</v>
      </c>
      <c r="S446">
        <f>+DB!F446</f>
        <v>0</v>
      </c>
      <c r="T446">
        <f>+IF(DB!F446="AAAC-35",1,3)</f>
        <v>3</v>
      </c>
      <c r="U446">
        <f>+DB!R446</f>
        <v>0</v>
      </c>
      <c r="V446">
        <f>+IF(DB!P446="1RI",1,0)+IF(DB!P446="2RI",2,0)</f>
        <v>0</v>
      </c>
      <c r="W446">
        <f>+IF(DB!P446="1RV",1,0)+IF(DB!P446="2RV",2,0)</f>
        <v>0</v>
      </c>
      <c r="X446">
        <f>+IF(DB!P446="RYI",1,0)</f>
        <v>0</v>
      </c>
      <c r="Y446">
        <f>+IF(DB!P446="RYV",1,0)</f>
        <v>0</v>
      </c>
      <c r="Z446">
        <f>+DB!U446</f>
        <v>0</v>
      </c>
      <c r="AA446">
        <f>+IF(DB!F446="AAAC-35",19.5,33)</f>
        <v>33</v>
      </c>
      <c r="AB446">
        <f>+DB!V446</f>
        <v>0</v>
      </c>
      <c r="AC446" t="str">
        <f t="shared" si="20"/>
        <v>56-4</v>
      </c>
      <c r="AD446" s="21" t="s">
        <v>72</v>
      </c>
      <c r="AE446">
        <f>+DB!X446</f>
        <v>0</v>
      </c>
      <c r="AF446" s="22">
        <f>+DB!Y446</f>
        <v>0</v>
      </c>
      <c r="AG446">
        <f>+DB!AK446</f>
        <v>0</v>
      </c>
    </row>
    <row r="447" spans="1:33" x14ac:dyDescent="0.2">
      <c r="A447">
        <f>+DB!C447</f>
        <v>0</v>
      </c>
      <c r="B447">
        <f>+DB!D447</f>
        <v>0</v>
      </c>
      <c r="C447">
        <f>+DB!E447</f>
        <v>0</v>
      </c>
      <c r="D447">
        <f t="shared" si="18"/>
        <v>0</v>
      </c>
      <c r="E447">
        <f>+DB!G447</f>
        <v>0</v>
      </c>
      <c r="F447">
        <f>+DB!H447</f>
        <v>0</v>
      </c>
      <c r="G447">
        <f>+DB!N447</f>
        <v>0</v>
      </c>
      <c r="H447">
        <f>+DB!O447</f>
        <v>0</v>
      </c>
      <c r="I447">
        <f>+DB!I447</f>
        <v>0</v>
      </c>
      <c r="J447">
        <f>+DB!J447</f>
        <v>0</v>
      </c>
      <c r="K447">
        <f>+DB!L447</f>
        <v>0</v>
      </c>
      <c r="L447" t="str">
        <f t="shared" si="19"/>
        <v/>
      </c>
      <c r="M447" t="str">
        <f>+IF(LEFT(DB!M447,3)="13/","CAC","MAD")</f>
        <v>MAD</v>
      </c>
      <c r="N447" t="str">
        <f>+RIGHT(DB!M447,6)</f>
        <v/>
      </c>
      <c r="O447">
        <v>95</v>
      </c>
      <c r="P447">
        <v>5</v>
      </c>
      <c r="Q447">
        <f>+DB!AB447</f>
        <v>0</v>
      </c>
      <c r="R447">
        <f>+DB!K447</f>
        <v>0</v>
      </c>
      <c r="S447">
        <f>+DB!F447</f>
        <v>0</v>
      </c>
      <c r="T447">
        <f>+IF(DB!F447="AAAC-35",1,3)</f>
        <v>3</v>
      </c>
      <c r="U447">
        <f>+DB!R447</f>
        <v>0</v>
      </c>
      <c r="V447">
        <f>+IF(DB!P447="1RI",1,0)+IF(DB!P447="2RI",2,0)</f>
        <v>0</v>
      </c>
      <c r="W447">
        <f>+IF(DB!P447="1RV",1,0)+IF(DB!P447="2RV",2,0)</f>
        <v>0</v>
      </c>
      <c r="X447">
        <f>+IF(DB!P447="RYI",1,0)</f>
        <v>0</v>
      </c>
      <c r="Y447">
        <f>+IF(DB!P447="RYV",1,0)</f>
        <v>0</v>
      </c>
      <c r="Z447">
        <f>+DB!U447</f>
        <v>0</v>
      </c>
      <c r="AA447">
        <f>+IF(DB!F447="AAAC-35",19.5,33)</f>
        <v>33</v>
      </c>
      <c r="AB447">
        <f>+DB!V447</f>
        <v>0</v>
      </c>
      <c r="AC447" t="str">
        <f t="shared" si="20"/>
        <v>56-4</v>
      </c>
      <c r="AD447" s="21" t="s">
        <v>72</v>
      </c>
      <c r="AE447">
        <f>+DB!X447</f>
        <v>0</v>
      </c>
      <c r="AF447" s="22">
        <f>+DB!Y447</f>
        <v>0</v>
      </c>
      <c r="AG447">
        <f>+DB!AK447</f>
        <v>0</v>
      </c>
    </row>
    <row r="448" spans="1:33" x14ac:dyDescent="0.2">
      <c r="A448">
        <f>+DB!C448</f>
        <v>0</v>
      </c>
      <c r="B448">
        <f>+DB!D448</f>
        <v>0</v>
      </c>
      <c r="C448">
        <f>+DB!E448</f>
        <v>0</v>
      </c>
      <c r="D448">
        <f t="shared" si="18"/>
        <v>0</v>
      </c>
      <c r="E448">
        <f>+DB!G448</f>
        <v>0</v>
      </c>
      <c r="F448">
        <f>+DB!H448</f>
        <v>0</v>
      </c>
      <c r="G448">
        <f>+DB!N448</f>
        <v>0</v>
      </c>
      <c r="H448">
        <f>+DB!O448</f>
        <v>0</v>
      </c>
      <c r="I448">
        <f>+DB!I448</f>
        <v>0</v>
      </c>
      <c r="J448">
        <f>+DB!J448</f>
        <v>0</v>
      </c>
      <c r="K448">
        <f>+DB!L448</f>
        <v>0</v>
      </c>
      <c r="L448" t="str">
        <f t="shared" si="19"/>
        <v/>
      </c>
      <c r="M448" t="str">
        <f>+IF(LEFT(DB!M448,3)="13/","CAC","MAD")</f>
        <v>MAD</v>
      </c>
      <c r="N448" t="str">
        <f>+RIGHT(DB!M448,6)</f>
        <v/>
      </c>
      <c r="O448">
        <v>95</v>
      </c>
      <c r="P448">
        <v>5</v>
      </c>
      <c r="Q448">
        <f>+DB!AB448</f>
        <v>0</v>
      </c>
      <c r="R448">
        <f>+DB!K448</f>
        <v>0</v>
      </c>
      <c r="S448">
        <f>+DB!F448</f>
        <v>0</v>
      </c>
      <c r="T448">
        <f>+IF(DB!F448="AAAC-35",1,3)</f>
        <v>3</v>
      </c>
      <c r="U448">
        <f>+DB!R448</f>
        <v>0</v>
      </c>
      <c r="V448">
        <f>+IF(DB!P448="1RI",1,0)+IF(DB!P448="2RI",2,0)</f>
        <v>0</v>
      </c>
      <c r="W448">
        <f>+IF(DB!P448="1RV",1,0)+IF(DB!P448="2RV",2,0)</f>
        <v>0</v>
      </c>
      <c r="X448">
        <f>+IF(DB!P448="RYI",1,0)</f>
        <v>0</v>
      </c>
      <c r="Y448">
        <f>+IF(DB!P448="RYV",1,0)</f>
        <v>0</v>
      </c>
      <c r="Z448">
        <f>+DB!U448</f>
        <v>0</v>
      </c>
      <c r="AA448">
        <f>+IF(DB!F448="AAAC-35",19.5,33)</f>
        <v>33</v>
      </c>
      <c r="AB448">
        <f>+DB!V448</f>
        <v>0</v>
      </c>
      <c r="AC448" t="str">
        <f t="shared" si="20"/>
        <v>56-4</v>
      </c>
      <c r="AD448" s="21" t="s">
        <v>72</v>
      </c>
      <c r="AE448">
        <f>+DB!X448</f>
        <v>0</v>
      </c>
      <c r="AF448" s="22">
        <f>+DB!Y448</f>
        <v>0</v>
      </c>
      <c r="AG448">
        <f>+DB!AK448</f>
        <v>0</v>
      </c>
    </row>
    <row r="449" spans="1:33" x14ac:dyDescent="0.2">
      <c r="A449">
        <f>+DB!C449</f>
        <v>0</v>
      </c>
      <c r="B449">
        <f>+DB!D449</f>
        <v>0</v>
      </c>
      <c r="C449">
        <f>+DB!E449</f>
        <v>0</v>
      </c>
      <c r="D449">
        <f t="shared" si="18"/>
        <v>0</v>
      </c>
      <c r="E449">
        <f>+DB!G449</f>
        <v>0</v>
      </c>
      <c r="F449">
        <f>+DB!H449</f>
        <v>0</v>
      </c>
      <c r="G449">
        <f>+DB!N449</f>
        <v>0</v>
      </c>
      <c r="H449">
        <f>+DB!O449</f>
        <v>0</v>
      </c>
      <c r="I449">
        <f>+DB!I449</f>
        <v>0</v>
      </c>
      <c r="J449">
        <f>+DB!J449</f>
        <v>0</v>
      </c>
      <c r="K449">
        <f>+DB!L449</f>
        <v>0</v>
      </c>
      <c r="L449" t="str">
        <f t="shared" si="19"/>
        <v/>
      </c>
      <c r="M449" t="str">
        <f>+IF(LEFT(DB!M449,3)="13/","CAC","MAD")</f>
        <v>MAD</v>
      </c>
      <c r="N449" t="str">
        <f>+RIGHT(DB!M449,6)</f>
        <v/>
      </c>
      <c r="O449">
        <v>95</v>
      </c>
      <c r="P449">
        <v>5</v>
      </c>
      <c r="Q449">
        <f>+DB!AB449</f>
        <v>0</v>
      </c>
      <c r="R449">
        <f>+DB!K449</f>
        <v>0</v>
      </c>
      <c r="S449">
        <f>+DB!F449</f>
        <v>0</v>
      </c>
      <c r="T449">
        <f>+IF(DB!F449="AAAC-35",1,3)</f>
        <v>3</v>
      </c>
      <c r="U449">
        <f>+DB!R449</f>
        <v>0</v>
      </c>
      <c r="V449">
        <f>+IF(DB!P449="1RI",1,0)+IF(DB!P449="2RI",2,0)</f>
        <v>0</v>
      </c>
      <c r="W449">
        <f>+IF(DB!P449="1RV",1,0)+IF(DB!P449="2RV",2,0)</f>
        <v>0</v>
      </c>
      <c r="X449">
        <f>+IF(DB!P449="RYI",1,0)</f>
        <v>0</v>
      </c>
      <c r="Y449">
        <f>+IF(DB!P449="RYV",1,0)</f>
        <v>0</v>
      </c>
      <c r="Z449">
        <f>+DB!U449</f>
        <v>0</v>
      </c>
      <c r="AA449">
        <f>+IF(DB!F449="AAAC-35",19.5,33)</f>
        <v>33</v>
      </c>
      <c r="AB449">
        <f>+DB!V449</f>
        <v>0</v>
      </c>
      <c r="AC449" t="str">
        <f t="shared" si="20"/>
        <v>56-4</v>
      </c>
      <c r="AD449" s="21" t="s">
        <v>72</v>
      </c>
      <c r="AE449">
        <f>+DB!X449</f>
        <v>0</v>
      </c>
      <c r="AF449" s="22">
        <f>+DB!Y449</f>
        <v>0</v>
      </c>
      <c r="AG449">
        <f>+DB!AK449</f>
        <v>0</v>
      </c>
    </row>
    <row r="450" spans="1:33" x14ac:dyDescent="0.2">
      <c r="A450">
        <f>+DB!C450</f>
        <v>0</v>
      </c>
      <c r="B450">
        <f>+DB!D450</f>
        <v>0</v>
      </c>
      <c r="C450">
        <f>+DB!E450</f>
        <v>0</v>
      </c>
      <c r="D450">
        <f t="shared" si="18"/>
        <v>0</v>
      </c>
      <c r="E450">
        <f>+DB!G450</f>
        <v>0</v>
      </c>
      <c r="F450">
        <f>+DB!H450</f>
        <v>0</v>
      </c>
      <c r="G450">
        <f>+DB!N450</f>
        <v>0</v>
      </c>
      <c r="H450">
        <f>+DB!O450</f>
        <v>0</v>
      </c>
      <c r="I450">
        <f>+DB!I450</f>
        <v>0</v>
      </c>
      <c r="J450">
        <f>+DB!J450</f>
        <v>0</v>
      </c>
      <c r="K450">
        <f>+DB!L450</f>
        <v>0</v>
      </c>
      <c r="L450" t="str">
        <f t="shared" si="19"/>
        <v/>
      </c>
      <c r="M450" t="str">
        <f>+IF(LEFT(DB!M450,3)="13/","CAC","MAD")</f>
        <v>MAD</v>
      </c>
      <c r="N450" t="str">
        <f>+RIGHT(DB!M450,6)</f>
        <v/>
      </c>
      <c r="O450">
        <v>95</v>
      </c>
      <c r="P450">
        <v>5</v>
      </c>
      <c r="Q450">
        <f>+DB!AB450</f>
        <v>0</v>
      </c>
      <c r="R450">
        <f>+DB!K450</f>
        <v>0</v>
      </c>
      <c r="S450">
        <f>+DB!F450</f>
        <v>0</v>
      </c>
      <c r="T450">
        <f>+IF(DB!F450="AAAC-35",1,3)</f>
        <v>3</v>
      </c>
      <c r="U450">
        <f>+DB!R450</f>
        <v>0</v>
      </c>
      <c r="V450">
        <f>+IF(DB!P450="1RI",1,0)+IF(DB!P450="2RI",2,0)</f>
        <v>0</v>
      </c>
      <c r="W450">
        <f>+IF(DB!P450="1RV",1,0)+IF(DB!P450="2RV",2,0)</f>
        <v>0</v>
      </c>
      <c r="X450">
        <f>+IF(DB!P450="RYI",1,0)</f>
        <v>0</v>
      </c>
      <c r="Y450">
        <f>+IF(DB!P450="RYV",1,0)</f>
        <v>0</v>
      </c>
      <c r="Z450">
        <f>+DB!U450</f>
        <v>0</v>
      </c>
      <c r="AA450">
        <f>+IF(DB!F450="AAAC-35",19.5,33)</f>
        <v>33</v>
      </c>
      <c r="AB450">
        <f>+DB!V450</f>
        <v>0</v>
      </c>
      <c r="AC450" t="str">
        <f t="shared" si="20"/>
        <v>56-4</v>
      </c>
      <c r="AD450" s="21" t="s">
        <v>72</v>
      </c>
      <c r="AE450">
        <f>+DB!X450</f>
        <v>0</v>
      </c>
      <c r="AF450" s="22">
        <f>+DB!Y450</f>
        <v>0</v>
      </c>
      <c r="AG450">
        <f>+DB!AK450</f>
        <v>0</v>
      </c>
    </row>
    <row r="451" spans="1:33" x14ac:dyDescent="0.2">
      <c r="A451">
        <f>+DB!C451</f>
        <v>0</v>
      </c>
      <c r="B451">
        <f>+DB!D451</f>
        <v>0</v>
      </c>
      <c r="C451">
        <f>+DB!E451</f>
        <v>0</v>
      </c>
      <c r="D451">
        <f t="shared" ref="D451:D514" si="21">+IF(B451="PSEC-0PA","K",0)</f>
        <v>0</v>
      </c>
      <c r="E451">
        <f>+DB!G451</f>
        <v>0</v>
      </c>
      <c r="F451">
        <f>+DB!H451</f>
        <v>0</v>
      </c>
      <c r="G451">
        <f>+DB!N451</f>
        <v>0</v>
      </c>
      <c r="H451">
        <f>+DB!O451</f>
        <v>0</v>
      </c>
      <c r="I451">
        <f>+DB!I451</f>
        <v>0</v>
      </c>
      <c r="J451">
        <f>+DB!J451</f>
        <v>0</v>
      </c>
      <c r="K451">
        <f>+DB!L451</f>
        <v>0</v>
      </c>
      <c r="L451" t="str">
        <f t="shared" ref="L451:L514" si="22">+LEFT(N451,2)</f>
        <v/>
      </c>
      <c r="M451" t="str">
        <f>+IF(LEFT(DB!M451,3)="13/","CAC","MAD")</f>
        <v>MAD</v>
      </c>
      <c r="N451" t="str">
        <f>+RIGHT(DB!M451,6)</f>
        <v/>
      </c>
      <c r="O451">
        <v>95</v>
      </c>
      <c r="P451">
        <v>5</v>
      </c>
      <c r="Q451">
        <f>+DB!AB451</f>
        <v>0</v>
      </c>
      <c r="R451">
        <f>+DB!K451</f>
        <v>0</v>
      </c>
      <c r="S451">
        <f>+DB!F451</f>
        <v>0</v>
      </c>
      <c r="T451">
        <f>+IF(DB!F451="AAAC-35",1,3)</f>
        <v>3</v>
      </c>
      <c r="U451">
        <f>+DB!R451</f>
        <v>0</v>
      </c>
      <c r="V451">
        <f>+IF(DB!P451="1RI",1,0)+IF(DB!P451="2RI",2,0)</f>
        <v>0</v>
      </c>
      <c r="W451">
        <f>+IF(DB!P451="1RV",1,0)+IF(DB!P451="2RV",2,0)</f>
        <v>0</v>
      </c>
      <c r="X451">
        <f>+IF(DB!P451="RYI",1,0)</f>
        <v>0</v>
      </c>
      <c r="Y451">
        <f>+IF(DB!P451="RYV",1,0)</f>
        <v>0</v>
      </c>
      <c r="Z451">
        <f>+DB!U451</f>
        <v>0</v>
      </c>
      <c r="AA451">
        <f>+IF(DB!F451="AAAC-35",19.5,33)</f>
        <v>33</v>
      </c>
      <c r="AB451">
        <f>+DB!V451</f>
        <v>0</v>
      </c>
      <c r="AC451" t="str">
        <f t="shared" ref="AC451:AC514" si="23">+IF(F451&gt;1675,"56-5","56-4")</f>
        <v>56-4</v>
      </c>
      <c r="AD451" s="21" t="s">
        <v>72</v>
      </c>
      <c r="AE451">
        <f>+DB!X451</f>
        <v>0</v>
      </c>
      <c r="AF451" s="22">
        <f>+DB!Y451</f>
        <v>0</v>
      </c>
      <c r="AG451">
        <f>+DB!AK451</f>
        <v>0</v>
      </c>
    </row>
    <row r="452" spans="1:33" x14ac:dyDescent="0.2">
      <c r="A452">
        <f>+DB!C452</f>
        <v>0</v>
      </c>
      <c r="B452">
        <f>+DB!D452</f>
        <v>0</v>
      </c>
      <c r="C452">
        <f>+DB!E452</f>
        <v>0</v>
      </c>
      <c r="D452">
        <f t="shared" si="21"/>
        <v>0</v>
      </c>
      <c r="E452">
        <f>+DB!G452</f>
        <v>0</v>
      </c>
      <c r="F452">
        <f>+DB!H452</f>
        <v>0</v>
      </c>
      <c r="G452">
        <f>+DB!N452</f>
        <v>0</v>
      </c>
      <c r="H452">
        <f>+DB!O452</f>
        <v>0</v>
      </c>
      <c r="I452">
        <f>+DB!I452</f>
        <v>0</v>
      </c>
      <c r="J452">
        <f>+DB!J452</f>
        <v>0</v>
      </c>
      <c r="K452">
        <f>+DB!L452</f>
        <v>0</v>
      </c>
      <c r="L452" t="str">
        <f t="shared" si="22"/>
        <v/>
      </c>
      <c r="M452" t="str">
        <f>+IF(LEFT(DB!M452,3)="13/","CAC","MAD")</f>
        <v>MAD</v>
      </c>
      <c r="N452" t="str">
        <f>+RIGHT(DB!M452,6)</f>
        <v/>
      </c>
      <c r="O452">
        <v>95</v>
      </c>
      <c r="P452">
        <v>5</v>
      </c>
      <c r="Q452">
        <f>+DB!AB452</f>
        <v>0</v>
      </c>
      <c r="R452">
        <f>+DB!K452</f>
        <v>0</v>
      </c>
      <c r="S452">
        <f>+DB!F452</f>
        <v>0</v>
      </c>
      <c r="T452">
        <f>+IF(DB!F452="AAAC-35",1,3)</f>
        <v>3</v>
      </c>
      <c r="U452">
        <f>+DB!R452</f>
        <v>0</v>
      </c>
      <c r="V452">
        <f>+IF(DB!P452="1RI",1,0)+IF(DB!P452="2RI",2,0)</f>
        <v>0</v>
      </c>
      <c r="W452">
        <f>+IF(DB!P452="1RV",1,0)+IF(DB!P452="2RV",2,0)</f>
        <v>0</v>
      </c>
      <c r="X452">
        <f>+IF(DB!P452="RYI",1,0)</f>
        <v>0</v>
      </c>
      <c r="Y452">
        <f>+IF(DB!P452="RYV",1,0)</f>
        <v>0</v>
      </c>
      <c r="Z452">
        <f>+DB!U452</f>
        <v>0</v>
      </c>
      <c r="AA452">
        <f>+IF(DB!F452="AAAC-35",19.5,33)</f>
        <v>33</v>
      </c>
      <c r="AB452">
        <f>+DB!V452</f>
        <v>0</v>
      </c>
      <c r="AC452" t="str">
        <f t="shared" si="23"/>
        <v>56-4</v>
      </c>
      <c r="AD452" s="21" t="s">
        <v>72</v>
      </c>
      <c r="AE452">
        <f>+DB!X452</f>
        <v>0</v>
      </c>
      <c r="AF452" s="22">
        <f>+DB!Y452</f>
        <v>0</v>
      </c>
      <c r="AG452">
        <f>+DB!AK452</f>
        <v>0</v>
      </c>
    </row>
    <row r="453" spans="1:33" x14ac:dyDescent="0.2">
      <c r="A453">
        <f>+DB!C453</f>
        <v>0</v>
      </c>
      <c r="B453">
        <f>+DB!D453</f>
        <v>0</v>
      </c>
      <c r="C453">
        <f>+DB!E453</f>
        <v>0</v>
      </c>
      <c r="D453">
        <f t="shared" si="21"/>
        <v>0</v>
      </c>
      <c r="E453">
        <f>+DB!G453</f>
        <v>0</v>
      </c>
      <c r="F453">
        <f>+DB!H453</f>
        <v>0</v>
      </c>
      <c r="G453">
        <f>+DB!N453</f>
        <v>0</v>
      </c>
      <c r="H453">
        <f>+DB!O453</f>
        <v>0</v>
      </c>
      <c r="I453">
        <f>+DB!I453</f>
        <v>0</v>
      </c>
      <c r="J453">
        <f>+DB!J453</f>
        <v>0</v>
      </c>
      <c r="K453">
        <f>+DB!L453</f>
        <v>0</v>
      </c>
      <c r="L453" t="str">
        <f t="shared" si="22"/>
        <v/>
      </c>
      <c r="M453" t="str">
        <f>+IF(LEFT(DB!M453,3)="13/","CAC","MAD")</f>
        <v>MAD</v>
      </c>
      <c r="N453" t="str">
        <f>+RIGHT(DB!M453,6)</f>
        <v/>
      </c>
      <c r="O453">
        <v>95</v>
      </c>
      <c r="P453">
        <v>5</v>
      </c>
      <c r="Q453">
        <f>+DB!AB453</f>
        <v>0</v>
      </c>
      <c r="R453">
        <f>+DB!K453</f>
        <v>0</v>
      </c>
      <c r="S453">
        <f>+DB!F453</f>
        <v>0</v>
      </c>
      <c r="T453">
        <f>+IF(DB!F453="AAAC-35",1,3)</f>
        <v>3</v>
      </c>
      <c r="U453">
        <f>+DB!R453</f>
        <v>0</v>
      </c>
      <c r="V453">
        <f>+IF(DB!P453="1RI",1,0)+IF(DB!P453="2RI",2,0)</f>
        <v>0</v>
      </c>
      <c r="W453">
        <f>+IF(DB!P453="1RV",1,0)+IF(DB!P453="2RV",2,0)</f>
        <v>0</v>
      </c>
      <c r="X453">
        <f>+IF(DB!P453="RYI",1,0)</f>
        <v>0</v>
      </c>
      <c r="Y453">
        <f>+IF(DB!P453="RYV",1,0)</f>
        <v>0</v>
      </c>
      <c r="Z453">
        <f>+DB!U453</f>
        <v>0</v>
      </c>
      <c r="AA453">
        <f>+IF(DB!F453="AAAC-35",19.5,33)</f>
        <v>33</v>
      </c>
      <c r="AB453">
        <f>+DB!V453</f>
        <v>0</v>
      </c>
      <c r="AC453" t="str">
        <f t="shared" si="23"/>
        <v>56-4</v>
      </c>
      <c r="AD453" s="21" t="s">
        <v>72</v>
      </c>
      <c r="AE453">
        <f>+DB!X453</f>
        <v>0</v>
      </c>
      <c r="AF453" s="22">
        <f>+DB!Y453</f>
        <v>0</v>
      </c>
      <c r="AG453">
        <f>+DB!AK453</f>
        <v>0</v>
      </c>
    </row>
    <row r="454" spans="1:33" x14ac:dyDescent="0.2">
      <c r="A454">
        <f>+DB!C454</f>
        <v>0</v>
      </c>
      <c r="B454">
        <f>+DB!D454</f>
        <v>0</v>
      </c>
      <c r="C454">
        <f>+DB!E454</f>
        <v>0</v>
      </c>
      <c r="D454">
        <f t="shared" si="21"/>
        <v>0</v>
      </c>
      <c r="E454">
        <f>+DB!G454</f>
        <v>0</v>
      </c>
      <c r="F454">
        <f>+DB!H454</f>
        <v>0</v>
      </c>
      <c r="G454">
        <f>+DB!N454</f>
        <v>0</v>
      </c>
      <c r="H454">
        <f>+DB!O454</f>
        <v>0</v>
      </c>
      <c r="I454">
        <f>+DB!I454</f>
        <v>0</v>
      </c>
      <c r="J454">
        <f>+DB!J454</f>
        <v>0</v>
      </c>
      <c r="K454">
        <f>+DB!L454</f>
        <v>0</v>
      </c>
      <c r="L454" t="str">
        <f t="shared" si="22"/>
        <v/>
      </c>
      <c r="M454" t="str">
        <f>+IF(LEFT(DB!M454,3)="13/","CAC","MAD")</f>
        <v>MAD</v>
      </c>
      <c r="N454" t="str">
        <f>+RIGHT(DB!M454,6)</f>
        <v/>
      </c>
      <c r="O454">
        <v>95</v>
      </c>
      <c r="P454">
        <v>5</v>
      </c>
      <c r="Q454">
        <f>+DB!AB454</f>
        <v>0</v>
      </c>
      <c r="R454">
        <f>+DB!K454</f>
        <v>0</v>
      </c>
      <c r="S454">
        <f>+DB!F454</f>
        <v>0</v>
      </c>
      <c r="T454">
        <f>+IF(DB!F454="AAAC-35",1,3)</f>
        <v>3</v>
      </c>
      <c r="U454">
        <f>+DB!R454</f>
        <v>0</v>
      </c>
      <c r="V454">
        <f>+IF(DB!P454="1RI",1,0)+IF(DB!P454="2RI",2,0)</f>
        <v>0</v>
      </c>
      <c r="W454">
        <f>+IF(DB!P454="1RV",1,0)+IF(DB!P454="2RV",2,0)</f>
        <v>0</v>
      </c>
      <c r="X454">
        <f>+IF(DB!P454="RYI",1,0)</f>
        <v>0</v>
      </c>
      <c r="Y454">
        <f>+IF(DB!P454="RYV",1,0)</f>
        <v>0</v>
      </c>
      <c r="Z454">
        <f>+DB!U454</f>
        <v>0</v>
      </c>
      <c r="AA454">
        <f>+IF(DB!F454="AAAC-35",19.5,33)</f>
        <v>33</v>
      </c>
      <c r="AB454">
        <f>+DB!V454</f>
        <v>0</v>
      </c>
      <c r="AC454" t="str">
        <f t="shared" si="23"/>
        <v>56-4</v>
      </c>
      <c r="AD454" s="21" t="s">
        <v>72</v>
      </c>
      <c r="AE454">
        <f>+DB!X454</f>
        <v>0</v>
      </c>
      <c r="AF454" s="22">
        <f>+DB!Y454</f>
        <v>0</v>
      </c>
      <c r="AG454">
        <f>+DB!AK454</f>
        <v>0</v>
      </c>
    </row>
    <row r="455" spans="1:33" x14ac:dyDescent="0.2">
      <c r="A455">
        <f>+DB!C455</f>
        <v>0</v>
      </c>
      <c r="B455">
        <f>+DB!D455</f>
        <v>0</v>
      </c>
      <c r="C455">
        <f>+DB!E455</f>
        <v>0</v>
      </c>
      <c r="D455">
        <f t="shared" si="21"/>
        <v>0</v>
      </c>
      <c r="E455">
        <f>+DB!G455</f>
        <v>0</v>
      </c>
      <c r="F455">
        <f>+DB!H455</f>
        <v>0</v>
      </c>
      <c r="G455">
        <f>+DB!N455</f>
        <v>0</v>
      </c>
      <c r="H455">
        <f>+DB!O455</f>
        <v>0</v>
      </c>
      <c r="I455">
        <f>+DB!I455</f>
        <v>0</v>
      </c>
      <c r="J455">
        <f>+DB!J455</f>
        <v>0</v>
      </c>
      <c r="K455">
        <f>+DB!L455</f>
        <v>0</v>
      </c>
      <c r="L455" t="str">
        <f t="shared" si="22"/>
        <v/>
      </c>
      <c r="M455" t="str">
        <f>+IF(LEFT(DB!M455,3)="13/","CAC","MAD")</f>
        <v>MAD</v>
      </c>
      <c r="N455" t="str">
        <f>+RIGHT(DB!M455,6)</f>
        <v/>
      </c>
      <c r="O455">
        <v>95</v>
      </c>
      <c r="P455">
        <v>5</v>
      </c>
      <c r="Q455">
        <f>+DB!AB455</f>
        <v>0</v>
      </c>
      <c r="R455">
        <f>+DB!K455</f>
        <v>0</v>
      </c>
      <c r="S455">
        <f>+DB!F455</f>
        <v>0</v>
      </c>
      <c r="T455">
        <f>+IF(DB!F455="AAAC-35",1,3)</f>
        <v>3</v>
      </c>
      <c r="U455">
        <f>+DB!R455</f>
        <v>0</v>
      </c>
      <c r="V455">
        <f>+IF(DB!P455="1RI",1,0)+IF(DB!P455="2RI",2,0)</f>
        <v>0</v>
      </c>
      <c r="W455">
        <f>+IF(DB!P455="1RV",1,0)+IF(DB!P455="2RV",2,0)</f>
        <v>0</v>
      </c>
      <c r="X455">
        <f>+IF(DB!P455="RYI",1,0)</f>
        <v>0</v>
      </c>
      <c r="Y455">
        <f>+IF(DB!P455="RYV",1,0)</f>
        <v>0</v>
      </c>
      <c r="Z455">
        <f>+DB!U455</f>
        <v>0</v>
      </c>
      <c r="AA455">
        <f>+IF(DB!F455="AAAC-35",19.5,33)</f>
        <v>33</v>
      </c>
      <c r="AB455">
        <f>+DB!V455</f>
        <v>0</v>
      </c>
      <c r="AC455" t="str">
        <f t="shared" si="23"/>
        <v>56-4</v>
      </c>
      <c r="AD455" s="21" t="s">
        <v>72</v>
      </c>
      <c r="AE455">
        <f>+DB!X455</f>
        <v>0</v>
      </c>
      <c r="AF455" s="22">
        <f>+DB!Y455</f>
        <v>0</v>
      </c>
      <c r="AG455">
        <f>+DB!AK455</f>
        <v>0</v>
      </c>
    </row>
    <row r="456" spans="1:33" x14ac:dyDescent="0.2">
      <c r="A456">
        <f>+DB!C456</f>
        <v>0</v>
      </c>
      <c r="B456">
        <f>+DB!D456</f>
        <v>0</v>
      </c>
      <c r="C456">
        <f>+DB!E456</f>
        <v>0</v>
      </c>
      <c r="D456">
        <f t="shared" si="21"/>
        <v>0</v>
      </c>
      <c r="E456">
        <f>+DB!G456</f>
        <v>0</v>
      </c>
      <c r="F456">
        <f>+DB!H456</f>
        <v>0</v>
      </c>
      <c r="G456">
        <f>+DB!N456</f>
        <v>0</v>
      </c>
      <c r="H456">
        <f>+DB!O456</f>
        <v>0</v>
      </c>
      <c r="I456">
        <f>+DB!I456</f>
        <v>0</v>
      </c>
      <c r="J456">
        <f>+DB!J456</f>
        <v>0</v>
      </c>
      <c r="K456">
        <f>+DB!L456</f>
        <v>0</v>
      </c>
      <c r="L456" t="str">
        <f t="shared" si="22"/>
        <v/>
      </c>
      <c r="M456" t="str">
        <f>+IF(LEFT(DB!M456,3)="13/","CAC","MAD")</f>
        <v>MAD</v>
      </c>
      <c r="N456" t="str">
        <f>+RIGHT(DB!M456,6)</f>
        <v/>
      </c>
      <c r="O456">
        <v>95</v>
      </c>
      <c r="P456">
        <v>5</v>
      </c>
      <c r="Q456">
        <f>+DB!AB456</f>
        <v>0</v>
      </c>
      <c r="R456">
        <f>+DB!K456</f>
        <v>0</v>
      </c>
      <c r="S456">
        <f>+DB!F456</f>
        <v>0</v>
      </c>
      <c r="T456">
        <f>+IF(DB!F456="AAAC-35",1,3)</f>
        <v>3</v>
      </c>
      <c r="U456">
        <f>+DB!R456</f>
        <v>0</v>
      </c>
      <c r="V456">
        <f>+IF(DB!P456="1RI",1,0)+IF(DB!P456="2RI",2,0)</f>
        <v>0</v>
      </c>
      <c r="W456">
        <f>+IF(DB!P456="1RV",1,0)+IF(DB!P456="2RV",2,0)</f>
        <v>0</v>
      </c>
      <c r="X456">
        <f>+IF(DB!P456="RYI",1,0)</f>
        <v>0</v>
      </c>
      <c r="Y456">
        <f>+IF(DB!P456="RYV",1,0)</f>
        <v>0</v>
      </c>
      <c r="Z456">
        <f>+DB!U456</f>
        <v>0</v>
      </c>
      <c r="AA456">
        <f>+IF(DB!F456="AAAC-35",19.5,33)</f>
        <v>33</v>
      </c>
      <c r="AB456">
        <f>+DB!V456</f>
        <v>0</v>
      </c>
      <c r="AC456" t="str">
        <f t="shared" si="23"/>
        <v>56-4</v>
      </c>
      <c r="AD456" s="21" t="s">
        <v>72</v>
      </c>
      <c r="AE456">
        <f>+DB!X456</f>
        <v>0</v>
      </c>
      <c r="AF456" s="22">
        <f>+DB!Y456</f>
        <v>0</v>
      </c>
      <c r="AG456">
        <f>+DB!AK456</f>
        <v>0</v>
      </c>
    </row>
    <row r="457" spans="1:33" x14ac:dyDescent="0.2">
      <c r="A457">
        <f>+DB!C457</f>
        <v>0</v>
      </c>
      <c r="B457">
        <f>+DB!D457</f>
        <v>0</v>
      </c>
      <c r="C457">
        <f>+DB!E457</f>
        <v>0</v>
      </c>
      <c r="D457">
        <f t="shared" si="21"/>
        <v>0</v>
      </c>
      <c r="E457">
        <f>+DB!G457</f>
        <v>0</v>
      </c>
      <c r="F457">
        <f>+DB!H457</f>
        <v>0</v>
      </c>
      <c r="G457">
        <f>+DB!N457</f>
        <v>0</v>
      </c>
      <c r="H457">
        <f>+DB!O457</f>
        <v>0</v>
      </c>
      <c r="I457">
        <f>+DB!I457</f>
        <v>0</v>
      </c>
      <c r="J457">
        <f>+DB!J457</f>
        <v>0</v>
      </c>
      <c r="K457">
        <f>+DB!L457</f>
        <v>0</v>
      </c>
      <c r="L457" t="str">
        <f t="shared" si="22"/>
        <v/>
      </c>
      <c r="M457" t="str">
        <f>+IF(LEFT(DB!M457,3)="13/","CAC","MAD")</f>
        <v>MAD</v>
      </c>
      <c r="N457" t="str">
        <f>+RIGHT(DB!M457,6)</f>
        <v/>
      </c>
      <c r="O457">
        <v>95</v>
      </c>
      <c r="P457">
        <v>5</v>
      </c>
      <c r="Q457">
        <f>+DB!AB457</f>
        <v>0</v>
      </c>
      <c r="R457">
        <f>+DB!K457</f>
        <v>0</v>
      </c>
      <c r="S457">
        <f>+DB!F457</f>
        <v>0</v>
      </c>
      <c r="T457">
        <f>+IF(DB!F457="AAAC-35",1,3)</f>
        <v>3</v>
      </c>
      <c r="U457">
        <f>+DB!R457</f>
        <v>0</v>
      </c>
      <c r="V457">
        <f>+IF(DB!P457="1RI",1,0)+IF(DB!P457="2RI",2,0)</f>
        <v>0</v>
      </c>
      <c r="W457">
        <f>+IF(DB!P457="1RV",1,0)+IF(DB!P457="2RV",2,0)</f>
        <v>0</v>
      </c>
      <c r="X457">
        <f>+IF(DB!P457="RYI",1,0)</f>
        <v>0</v>
      </c>
      <c r="Y457">
        <f>+IF(DB!P457="RYV",1,0)</f>
        <v>0</v>
      </c>
      <c r="Z457">
        <f>+DB!U457</f>
        <v>0</v>
      </c>
      <c r="AA457">
        <f>+IF(DB!F457="AAAC-35",19.5,33)</f>
        <v>33</v>
      </c>
      <c r="AB457">
        <f>+DB!V457</f>
        <v>0</v>
      </c>
      <c r="AC457" t="str">
        <f t="shared" si="23"/>
        <v>56-4</v>
      </c>
      <c r="AD457" s="21" t="s">
        <v>72</v>
      </c>
      <c r="AE457">
        <f>+DB!X457</f>
        <v>0</v>
      </c>
      <c r="AF457" s="22">
        <f>+DB!Y457</f>
        <v>0</v>
      </c>
      <c r="AG457">
        <f>+DB!AK457</f>
        <v>0</v>
      </c>
    </row>
    <row r="458" spans="1:33" x14ac:dyDescent="0.2">
      <c r="A458">
        <f>+DB!C458</f>
        <v>0</v>
      </c>
      <c r="B458">
        <f>+DB!D458</f>
        <v>0</v>
      </c>
      <c r="C458">
        <f>+DB!E458</f>
        <v>0</v>
      </c>
      <c r="D458">
        <f t="shared" si="21"/>
        <v>0</v>
      </c>
      <c r="E458">
        <f>+DB!G458</f>
        <v>0</v>
      </c>
      <c r="F458">
        <f>+DB!H458</f>
        <v>0</v>
      </c>
      <c r="G458">
        <f>+DB!N458</f>
        <v>0</v>
      </c>
      <c r="H458">
        <f>+DB!O458</f>
        <v>0</v>
      </c>
      <c r="I458">
        <f>+DB!I458</f>
        <v>0</v>
      </c>
      <c r="J458">
        <f>+DB!J458</f>
        <v>0</v>
      </c>
      <c r="K458">
        <f>+DB!L458</f>
        <v>0</v>
      </c>
      <c r="L458" t="str">
        <f t="shared" si="22"/>
        <v/>
      </c>
      <c r="M458" t="str">
        <f>+IF(LEFT(DB!M458,3)="13/","CAC","MAD")</f>
        <v>MAD</v>
      </c>
      <c r="N458" t="str">
        <f>+RIGHT(DB!M458,6)</f>
        <v/>
      </c>
      <c r="O458">
        <v>95</v>
      </c>
      <c r="P458">
        <v>5</v>
      </c>
      <c r="Q458">
        <f>+DB!AB458</f>
        <v>0</v>
      </c>
      <c r="R458">
        <f>+DB!K458</f>
        <v>0</v>
      </c>
      <c r="S458">
        <f>+DB!F458</f>
        <v>0</v>
      </c>
      <c r="T458">
        <f>+IF(DB!F458="AAAC-35",1,3)</f>
        <v>3</v>
      </c>
      <c r="U458">
        <f>+DB!R458</f>
        <v>0</v>
      </c>
      <c r="V458">
        <f>+IF(DB!P458="1RI",1,0)+IF(DB!P458="2RI",2,0)</f>
        <v>0</v>
      </c>
      <c r="W458">
        <f>+IF(DB!P458="1RV",1,0)+IF(DB!P458="2RV",2,0)</f>
        <v>0</v>
      </c>
      <c r="X458">
        <f>+IF(DB!P458="RYI",1,0)</f>
        <v>0</v>
      </c>
      <c r="Y458">
        <f>+IF(DB!P458="RYV",1,0)</f>
        <v>0</v>
      </c>
      <c r="Z458">
        <f>+DB!U458</f>
        <v>0</v>
      </c>
      <c r="AA458">
        <f>+IF(DB!F458="AAAC-35",19.5,33)</f>
        <v>33</v>
      </c>
      <c r="AB458">
        <f>+DB!V458</f>
        <v>0</v>
      </c>
      <c r="AC458" t="str">
        <f t="shared" si="23"/>
        <v>56-4</v>
      </c>
      <c r="AD458" s="21" t="s">
        <v>72</v>
      </c>
      <c r="AE458">
        <f>+DB!X458</f>
        <v>0</v>
      </c>
      <c r="AF458" s="22">
        <f>+DB!Y458</f>
        <v>0</v>
      </c>
      <c r="AG458">
        <f>+DB!AK458</f>
        <v>0</v>
      </c>
    </row>
    <row r="459" spans="1:33" x14ac:dyDescent="0.2">
      <c r="A459">
        <f>+DB!C459</f>
        <v>0</v>
      </c>
      <c r="B459">
        <f>+DB!D459</f>
        <v>0</v>
      </c>
      <c r="C459">
        <f>+DB!E459</f>
        <v>0</v>
      </c>
      <c r="D459">
        <f t="shared" si="21"/>
        <v>0</v>
      </c>
      <c r="E459">
        <f>+DB!G459</f>
        <v>0</v>
      </c>
      <c r="F459">
        <f>+DB!H459</f>
        <v>0</v>
      </c>
      <c r="G459">
        <f>+DB!N459</f>
        <v>0</v>
      </c>
      <c r="H459">
        <f>+DB!O459</f>
        <v>0</v>
      </c>
      <c r="I459">
        <f>+DB!I459</f>
        <v>0</v>
      </c>
      <c r="J459">
        <f>+DB!J459</f>
        <v>0</v>
      </c>
      <c r="K459">
        <f>+DB!L459</f>
        <v>0</v>
      </c>
      <c r="L459" t="str">
        <f t="shared" si="22"/>
        <v/>
      </c>
      <c r="M459" t="str">
        <f>+IF(LEFT(DB!M459,3)="13/","CAC","MAD")</f>
        <v>MAD</v>
      </c>
      <c r="N459" t="str">
        <f>+RIGHT(DB!M459,6)</f>
        <v/>
      </c>
      <c r="O459">
        <v>95</v>
      </c>
      <c r="P459">
        <v>5</v>
      </c>
      <c r="Q459">
        <f>+DB!AB459</f>
        <v>0</v>
      </c>
      <c r="R459">
        <f>+DB!K459</f>
        <v>0</v>
      </c>
      <c r="S459">
        <f>+DB!F459</f>
        <v>0</v>
      </c>
      <c r="T459">
        <f>+IF(DB!F459="AAAC-35",1,3)</f>
        <v>3</v>
      </c>
      <c r="U459">
        <f>+DB!R459</f>
        <v>0</v>
      </c>
      <c r="V459">
        <f>+IF(DB!P459="1RI",1,0)+IF(DB!P459="2RI",2,0)</f>
        <v>0</v>
      </c>
      <c r="W459">
        <f>+IF(DB!P459="1RV",1,0)+IF(DB!P459="2RV",2,0)</f>
        <v>0</v>
      </c>
      <c r="X459">
        <f>+IF(DB!P459="RYI",1,0)</f>
        <v>0</v>
      </c>
      <c r="Y459">
        <f>+IF(DB!P459="RYV",1,0)</f>
        <v>0</v>
      </c>
      <c r="Z459">
        <f>+DB!U459</f>
        <v>0</v>
      </c>
      <c r="AA459">
        <f>+IF(DB!F459="AAAC-35",19.5,33)</f>
        <v>33</v>
      </c>
      <c r="AB459">
        <f>+DB!V459</f>
        <v>0</v>
      </c>
      <c r="AC459" t="str">
        <f t="shared" si="23"/>
        <v>56-4</v>
      </c>
      <c r="AD459" s="21" t="s">
        <v>72</v>
      </c>
      <c r="AE459">
        <f>+DB!X459</f>
        <v>0</v>
      </c>
      <c r="AF459" s="22">
        <f>+DB!Y459</f>
        <v>0</v>
      </c>
      <c r="AG459">
        <f>+DB!AK459</f>
        <v>0</v>
      </c>
    </row>
    <row r="460" spans="1:33" x14ac:dyDescent="0.2">
      <c r="A460">
        <f>+DB!C460</f>
        <v>0</v>
      </c>
      <c r="B460">
        <f>+DB!D460</f>
        <v>0</v>
      </c>
      <c r="C460">
        <f>+DB!E460</f>
        <v>0</v>
      </c>
      <c r="D460">
        <f t="shared" si="21"/>
        <v>0</v>
      </c>
      <c r="E460">
        <f>+DB!G460</f>
        <v>0</v>
      </c>
      <c r="F460">
        <f>+DB!H460</f>
        <v>0</v>
      </c>
      <c r="G460">
        <f>+DB!N460</f>
        <v>0</v>
      </c>
      <c r="H460">
        <f>+DB!O460</f>
        <v>0</v>
      </c>
      <c r="I460">
        <f>+DB!I460</f>
        <v>0</v>
      </c>
      <c r="J460">
        <f>+DB!J460</f>
        <v>0</v>
      </c>
      <c r="K460">
        <f>+DB!L460</f>
        <v>0</v>
      </c>
      <c r="L460" t="str">
        <f t="shared" si="22"/>
        <v/>
      </c>
      <c r="M460" t="str">
        <f>+IF(LEFT(DB!M460,3)="13/","CAC","MAD")</f>
        <v>MAD</v>
      </c>
      <c r="N460" t="str">
        <f>+RIGHT(DB!M460,6)</f>
        <v/>
      </c>
      <c r="O460">
        <v>95</v>
      </c>
      <c r="P460">
        <v>5</v>
      </c>
      <c r="Q460">
        <f>+DB!AB460</f>
        <v>0</v>
      </c>
      <c r="R460">
        <f>+DB!K460</f>
        <v>0</v>
      </c>
      <c r="S460">
        <f>+DB!F460</f>
        <v>0</v>
      </c>
      <c r="T460">
        <f>+IF(DB!F460="AAAC-35",1,3)</f>
        <v>3</v>
      </c>
      <c r="U460">
        <f>+DB!R460</f>
        <v>0</v>
      </c>
      <c r="V460">
        <f>+IF(DB!P460="1RI",1,0)+IF(DB!P460="2RI",2,0)</f>
        <v>0</v>
      </c>
      <c r="W460">
        <f>+IF(DB!P460="1RV",1,0)+IF(DB!P460="2RV",2,0)</f>
        <v>0</v>
      </c>
      <c r="X460">
        <f>+IF(DB!P460="RYI",1,0)</f>
        <v>0</v>
      </c>
      <c r="Y460">
        <f>+IF(DB!P460="RYV",1,0)</f>
        <v>0</v>
      </c>
      <c r="Z460">
        <f>+DB!U460</f>
        <v>0</v>
      </c>
      <c r="AA460">
        <f>+IF(DB!F460="AAAC-35",19.5,33)</f>
        <v>33</v>
      </c>
      <c r="AB460">
        <f>+DB!V460</f>
        <v>0</v>
      </c>
      <c r="AC460" t="str">
        <f t="shared" si="23"/>
        <v>56-4</v>
      </c>
      <c r="AD460" s="21" t="s">
        <v>72</v>
      </c>
      <c r="AE460">
        <f>+DB!X460</f>
        <v>0</v>
      </c>
      <c r="AF460" s="22">
        <f>+DB!Y460</f>
        <v>0</v>
      </c>
      <c r="AG460">
        <f>+DB!AK460</f>
        <v>0</v>
      </c>
    </row>
    <row r="461" spans="1:33" x14ac:dyDescent="0.2">
      <c r="A461">
        <f>+DB!C461</f>
        <v>0</v>
      </c>
      <c r="B461">
        <f>+DB!D461</f>
        <v>0</v>
      </c>
      <c r="C461">
        <f>+DB!E461</f>
        <v>0</v>
      </c>
      <c r="D461">
        <f t="shared" si="21"/>
        <v>0</v>
      </c>
      <c r="E461">
        <f>+DB!G461</f>
        <v>0</v>
      </c>
      <c r="F461">
        <f>+DB!H461</f>
        <v>0</v>
      </c>
      <c r="G461">
        <f>+DB!N461</f>
        <v>0</v>
      </c>
      <c r="H461">
        <f>+DB!O461</f>
        <v>0</v>
      </c>
      <c r="I461">
        <f>+DB!I461</f>
        <v>0</v>
      </c>
      <c r="J461">
        <f>+DB!J461</f>
        <v>0</v>
      </c>
      <c r="K461">
        <f>+DB!L461</f>
        <v>0</v>
      </c>
      <c r="L461" t="str">
        <f t="shared" si="22"/>
        <v/>
      </c>
      <c r="M461" t="str">
        <f>+IF(LEFT(DB!M461,3)="13/","CAC","MAD")</f>
        <v>MAD</v>
      </c>
      <c r="N461" t="str">
        <f>+RIGHT(DB!M461,6)</f>
        <v/>
      </c>
      <c r="O461">
        <v>95</v>
      </c>
      <c r="P461">
        <v>5</v>
      </c>
      <c r="Q461">
        <f>+DB!AB461</f>
        <v>0</v>
      </c>
      <c r="R461">
        <f>+DB!K461</f>
        <v>0</v>
      </c>
      <c r="S461">
        <f>+DB!F461</f>
        <v>0</v>
      </c>
      <c r="T461">
        <f>+IF(DB!F461="AAAC-35",1,3)</f>
        <v>3</v>
      </c>
      <c r="U461">
        <f>+DB!R461</f>
        <v>0</v>
      </c>
      <c r="V461">
        <f>+IF(DB!P461="1RI",1,0)+IF(DB!P461="2RI",2,0)</f>
        <v>0</v>
      </c>
      <c r="W461">
        <f>+IF(DB!P461="1RV",1,0)+IF(DB!P461="2RV",2,0)</f>
        <v>0</v>
      </c>
      <c r="X461">
        <f>+IF(DB!P461="RYI",1,0)</f>
        <v>0</v>
      </c>
      <c r="Y461">
        <f>+IF(DB!P461="RYV",1,0)</f>
        <v>0</v>
      </c>
      <c r="Z461">
        <f>+DB!U461</f>
        <v>0</v>
      </c>
      <c r="AA461">
        <f>+IF(DB!F461="AAAC-35",19.5,33)</f>
        <v>33</v>
      </c>
      <c r="AB461">
        <f>+DB!V461</f>
        <v>0</v>
      </c>
      <c r="AC461" t="str">
        <f t="shared" si="23"/>
        <v>56-4</v>
      </c>
      <c r="AD461" s="21" t="s">
        <v>72</v>
      </c>
      <c r="AE461">
        <f>+DB!X461</f>
        <v>0</v>
      </c>
      <c r="AF461" s="22">
        <f>+DB!Y461</f>
        <v>0</v>
      </c>
      <c r="AG461">
        <f>+DB!AK461</f>
        <v>0</v>
      </c>
    </row>
    <row r="462" spans="1:33" x14ac:dyDescent="0.2">
      <c r="A462">
        <f>+DB!C462</f>
        <v>0</v>
      </c>
      <c r="B462">
        <f>+DB!D462</f>
        <v>0</v>
      </c>
      <c r="C462">
        <f>+DB!E462</f>
        <v>0</v>
      </c>
      <c r="D462">
        <f t="shared" si="21"/>
        <v>0</v>
      </c>
      <c r="E462">
        <f>+DB!G462</f>
        <v>0</v>
      </c>
      <c r="F462">
        <f>+DB!H462</f>
        <v>0</v>
      </c>
      <c r="G462">
        <f>+DB!N462</f>
        <v>0</v>
      </c>
      <c r="H462">
        <f>+DB!O462</f>
        <v>0</v>
      </c>
      <c r="I462">
        <f>+DB!I462</f>
        <v>0</v>
      </c>
      <c r="J462">
        <f>+DB!J462</f>
        <v>0</v>
      </c>
      <c r="K462">
        <f>+DB!L462</f>
        <v>0</v>
      </c>
      <c r="L462" t="str">
        <f t="shared" si="22"/>
        <v/>
      </c>
      <c r="M462" t="str">
        <f>+IF(LEFT(DB!M462,3)="13/","CAC","MAD")</f>
        <v>MAD</v>
      </c>
      <c r="N462" t="str">
        <f>+RIGHT(DB!M462,6)</f>
        <v/>
      </c>
      <c r="O462">
        <v>95</v>
      </c>
      <c r="P462">
        <v>5</v>
      </c>
      <c r="Q462">
        <f>+DB!AB462</f>
        <v>0</v>
      </c>
      <c r="R462">
        <f>+DB!K462</f>
        <v>0</v>
      </c>
      <c r="S462">
        <f>+DB!F462</f>
        <v>0</v>
      </c>
      <c r="T462">
        <f>+IF(DB!F462="AAAC-35",1,3)</f>
        <v>3</v>
      </c>
      <c r="U462">
        <f>+DB!R462</f>
        <v>0</v>
      </c>
      <c r="V462">
        <f>+IF(DB!P462="1RI",1,0)+IF(DB!P462="2RI",2,0)</f>
        <v>0</v>
      </c>
      <c r="W462">
        <f>+IF(DB!P462="1RV",1,0)+IF(DB!P462="2RV",2,0)</f>
        <v>0</v>
      </c>
      <c r="X462">
        <f>+IF(DB!P462="RYI",1,0)</f>
        <v>0</v>
      </c>
      <c r="Y462">
        <f>+IF(DB!P462="RYV",1,0)</f>
        <v>0</v>
      </c>
      <c r="Z462">
        <f>+DB!U462</f>
        <v>0</v>
      </c>
      <c r="AA462">
        <f>+IF(DB!F462="AAAC-35",19.5,33)</f>
        <v>33</v>
      </c>
      <c r="AB462">
        <f>+DB!V462</f>
        <v>0</v>
      </c>
      <c r="AC462" t="str">
        <f t="shared" si="23"/>
        <v>56-4</v>
      </c>
      <c r="AD462" s="21" t="s">
        <v>72</v>
      </c>
      <c r="AE462">
        <f>+DB!X462</f>
        <v>0</v>
      </c>
      <c r="AF462" s="22">
        <f>+DB!Y462</f>
        <v>0</v>
      </c>
      <c r="AG462">
        <f>+DB!AK462</f>
        <v>0</v>
      </c>
    </row>
    <row r="463" spans="1:33" x14ac:dyDescent="0.2">
      <c r="A463">
        <f>+DB!C463</f>
        <v>0</v>
      </c>
      <c r="B463">
        <f>+DB!D463</f>
        <v>0</v>
      </c>
      <c r="C463">
        <f>+DB!E463</f>
        <v>0</v>
      </c>
      <c r="D463">
        <f t="shared" si="21"/>
        <v>0</v>
      </c>
      <c r="E463">
        <f>+DB!G463</f>
        <v>0</v>
      </c>
      <c r="F463">
        <f>+DB!H463</f>
        <v>0</v>
      </c>
      <c r="G463">
        <f>+DB!N463</f>
        <v>0</v>
      </c>
      <c r="H463">
        <f>+DB!O463</f>
        <v>0</v>
      </c>
      <c r="I463">
        <f>+DB!I463</f>
        <v>0</v>
      </c>
      <c r="J463">
        <f>+DB!J463</f>
        <v>0</v>
      </c>
      <c r="K463">
        <f>+DB!L463</f>
        <v>0</v>
      </c>
      <c r="L463" t="str">
        <f t="shared" si="22"/>
        <v/>
      </c>
      <c r="M463" t="str">
        <f>+IF(LEFT(DB!M463,3)="13/","CAC","MAD")</f>
        <v>MAD</v>
      </c>
      <c r="N463" t="str">
        <f>+RIGHT(DB!M463,6)</f>
        <v/>
      </c>
      <c r="O463">
        <v>95</v>
      </c>
      <c r="P463">
        <v>5</v>
      </c>
      <c r="Q463">
        <f>+DB!AB463</f>
        <v>0</v>
      </c>
      <c r="R463">
        <f>+DB!K463</f>
        <v>0</v>
      </c>
      <c r="S463">
        <f>+DB!F463</f>
        <v>0</v>
      </c>
      <c r="T463">
        <f>+IF(DB!F463="AAAC-35",1,3)</f>
        <v>3</v>
      </c>
      <c r="U463">
        <f>+DB!R463</f>
        <v>0</v>
      </c>
      <c r="V463">
        <f>+IF(DB!P463="1RI",1,0)+IF(DB!P463="2RI",2,0)</f>
        <v>0</v>
      </c>
      <c r="W463">
        <f>+IF(DB!P463="1RV",1,0)+IF(DB!P463="2RV",2,0)</f>
        <v>0</v>
      </c>
      <c r="X463">
        <f>+IF(DB!P463="RYI",1,0)</f>
        <v>0</v>
      </c>
      <c r="Y463">
        <f>+IF(DB!P463="RYV",1,0)</f>
        <v>0</v>
      </c>
      <c r="Z463">
        <f>+DB!U463</f>
        <v>0</v>
      </c>
      <c r="AA463">
        <f>+IF(DB!F463="AAAC-35",19.5,33)</f>
        <v>33</v>
      </c>
      <c r="AB463">
        <f>+DB!V463</f>
        <v>0</v>
      </c>
      <c r="AC463" t="str">
        <f t="shared" si="23"/>
        <v>56-4</v>
      </c>
      <c r="AD463" s="21" t="s">
        <v>72</v>
      </c>
      <c r="AE463">
        <f>+DB!X463</f>
        <v>0</v>
      </c>
      <c r="AF463" s="22">
        <f>+DB!Y463</f>
        <v>0</v>
      </c>
      <c r="AG463">
        <f>+DB!AK463</f>
        <v>0</v>
      </c>
    </row>
    <row r="464" spans="1:33" x14ac:dyDescent="0.2">
      <c r="A464">
        <f>+DB!C464</f>
        <v>0</v>
      </c>
      <c r="B464">
        <f>+DB!D464</f>
        <v>0</v>
      </c>
      <c r="C464">
        <f>+DB!E464</f>
        <v>0</v>
      </c>
      <c r="D464">
        <f t="shared" si="21"/>
        <v>0</v>
      </c>
      <c r="E464">
        <f>+DB!G464</f>
        <v>0</v>
      </c>
      <c r="F464">
        <f>+DB!H464</f>
        <v>0</v>
      </c>
      <c r="G464">
        <f>+DB!N464</f>
        <v>0</v>
      </c>
      <c r="H464">
        <f>+DB!O464</f>
        <v>0</v>
      </c>
      <c r="I464">
        <f>+DB!I464</f>
        <v>0</v>
      </c>
      <c r="J464">
        <f>+DB!J464</f>
        <v>0</v>
      </c>
      <c r="K464">
        <f>+DB!L464</f>
        <v>0</v>
      </c>
      <c r="L464" t="str">
        <f t="shared" si="22"/>
        <v/>
      </c>
      <c r="M464" t="str">
        <f>+IF(LEFT(DB!M464,3)="13/","CAC","MAD")</f>
        <v>MAD</v>
      </c>
      <c r="N464" t="str">
        <f>+RIGHT(DB!M464,6)</f>
        <v/>
      </c>
      <c r="O464">
        <v>95</v>
      </c>
      <c r="P464">
        <v>5</v>
      </c>
      <c r="Q464">
        <f>+DB!AB464</f>
        <v>0</v>
      </c>
      <c r="R464">
        <f>+DB!K464</f>
        <v>0</v>
      </c>
      <c r="S464">
        <f>+DB!F464</f>
        <v>0</v>
      </c>
      <c r="T464">
        <f>+IF(DB!F464="AAAC-35",1,3)</f>
        <v>3</v>
      </c>
      <c r="U464">
        <f>+DB!R464</f>
        <v>0</v>
      </c>
      <c r="V464">
        <f>+IF(DB!P464="1RI",1,0)+IF(DB!P464="2RI",2,0)</f>
        <v>0</v>
      </c>
      <c r="W464">
        <f>+IF(DB!P464="1RV",1,0)+IF(DB!P464="2RV",2,0)</f>
        <v>0</v>
      </c>
      <c r="X464">
        <f>+IF(DB!P464="RYI",1,0)</f>
        <v>0</v>
      </c>
      <c r="Y464">
        <f>+IF(DB!P464="RYV",1,0)</f>
        <v>0</v>
      </c>
      <c r="Z464">
        <f>+DB!U464</f>
        <v>0</v>
      </c>
      <c r="AA464">
        <f>+IF(DB!F464="AAAC-35",19.5,33)</f>
        <v>33</v>
      </c>
      <c r="AB464">
        <f>+DB!V464</f>
        <v>0</v>
      </c>
      <c r="AC464" t="str">
        <f t="shared" si="23"/>
        <v>56-4</v>
      </c>
      <c r="AD464" s="21" t="s">
        <v>72</v>
      </c>
      <c r="AE464">
        <f>+DB!X464</f>
        <v>0</v>
      </c>
      <c r="AF464" s="22">
        <f>+DB!Y464</f>
        <v>0</v>
      </c>
      <c r="AG464">
        <f>+DB!AK464</f>
        <v>0</v>
      </c>
    </row>
    <row r="465" spans="1:33" x14ac:dyDescent="0.2">
      <c r="A465">
        <f>+DB!C465</f>
        <v>0</v>
      </c>
      <c r="B465">
        <f>+DB!D465</f>
        <v>0</v>
      </c>
      <c r="C465">
        <f>+DB!E465</f>
        <v>0</v>
      </c>
      <c r="D465">
        <f t="shared" si="21"/>
        <v>0</v>
      </c>
      <c r="E465">
        <f>+DB!G465</f>
        <v>0</v>
      </c>
      <c r="F465">
        <f>+DB!H465</f>
        <v>0</v>
      </c>
      <c r="G465">
        <f>+DB!N465</f>
        <v>0</v>
      </c>
      <c r="H465">
        <f>+DB!O465</f>
        <v>0</v>
      </c>
      <c r="I465">
        <f>+DB!I465</f>
        <v>0</v>
      </c>
      <c r="J465">
        <f>+DB!J465</f>
        <v>0</v>
      </c>
      <c r="K465">
        <f>+DB!L465</f>
        <v>0</v>
      </c>
      <c r="L465" t="str">
        <f t="shared" si="22"/>
        <v/>
      </c>
      <c r="M465" t="str">
        <f>+IF(LEFT(DB!M465,3)="13/","CAC","MAD")</f>
        <v>MAD</v>
      </c>
      <c r="N465" t="str">
        <f>+RIGHT(DB!M465,6)</f>
        <v/>
      </c>
      <c r="O465">
        <v>95</v>
      </c>
      <c r="P465">
        <v>5</v>
      </c>
      <c r="Q465">
        <f>+DB!AB465</f>
        <v>0</v>
      </c>
      <c r="R465">
        <f>+DB!K465</f>
        <v>0</v>
      </c>
      <c r="S465">
        <f>+DB!F465</f>
        <v>0</v>
      </c>
      <c r="T465">
        <f>+IF(DB!F465="AAAC-35",1,3)</f>
        <v>3</v>
      </c>
      <c r="U465">
        <f>+DB!R465</f>
        <v>0</v>
      </c>
      <c r="V465">
        <f>+IF(DB!P465="1RI",1,0)+IF(DB!P465="2RI",2,0)</f>
        <v>0</v>
      </c>
      <c r="W465">
        <f>+IF(DB!P465="1RV",1,0)+IF(DB!P465="2RV",2,0)</f>
        <v>0</v>
      </c>
      <c r="X465">
        <f>+IF(DB!P465="RYI",1,0)</f>
        <v>0</v>
      </c>
      <c r="Y465">
        <f>+IF(DB!P465="RYV",1,0)</f>
        <v>0</v>
      </c>
      <c r="Z465">
        <f>+DB!U465</f>
        <v>0</v>
      </c>
      <c r="AA465">
        <f>+IF(DB!F465="AAAC-35",19.5,33)</f>
        <v>33</v>
      </c>
      <c r="AB465">
        <f>+DB!V465</f>
        <v>0</v>
      </c>
      <c r="AC465" t="str">
        <f t="shared" si="23"/>
        <v>56-4</v>
      </c>
      <c r="AD465" s="21" t="s">
        <v>72</v>
      </c>
      <c r="AE465">
        <f>+DB!X465</f>
        <v>0</v>
      </c>
      <c r="AF465" s="22">
        <f>+DB!Y465</f>
        <v>0</v>
      </c>
      <c r="AG465">
        <f>+DB!AK465</f>
        <v>0</v>
      </c>
    </row>
    <row r="466" spans="1:33" x14ac:dyDescent="0.2">
      <c r="A466">
        <f>+DB!C466</f>
        <v>0</v>
      </c>
      <c r="B466">
        <f>+DB!D466</f>
        <v>0</v>
      </c>
      <c r="C466">
        <f>+DB!E466</f>
        <v>0</v>
      </c>
      <c r="D466">
        <f t="shared" si="21"/>
        <v>0</v>
      </c>
      <c r="E466">
        <f>+DB!G466</f>
        <v>0</v>
      </c>
      <c r="F466">
        <f>+DB!H466</f>
        <v>0</v>
      </c>
      <c r="G466">
        <f>+DB!N466</f>
        <v>0</v>
      </c>
      <c r="H466">
        <f>+DB!O466</f>
        <v>0</v>
      </c>
      <c r="I466">
        <f>+DB!I466</f>
        <v>0</v>
      </c>
      <c r="J466">
        <f>+DB!J466</f>
        <v>0</v>
      </c>
      <c r="K466">
        <f>+DB!L466</f>
        <v>0</v>
      </c>
      <c r="L466" t="str">
        <f t="shared" si="22"/>
        <v/>
      </c>
      <c r="M466" t="str">
        <f>+IF(LEFT(DB!M466,3)="13/","CAC","MAD")</f>
        <v>MAD</v>
      </c>
      <c r="N466" t="str">
        <f>+RIGHT(DB!M466,6)</f>
        <v/>
      </c>
      <c r="O466">
        <v>95</v>
      </c>
      <c r="P466">
        <v>5</v>
      </c>
      <c r="Q466">
        <f>+DB!AB466</f>
        <v>0</v>
      </c>
      <c r="R466">
        <f>+DB!K466</f>
        <v>0</v>
      </c>
      <c r="S466">
        <f>+DB!F466</f>
        <v>0</v>
      </c>
      <c r="T466">
        <f>+IF(DB!F466="AAAC-35",1,3)</f>
        <v>3</v>
      </c>
      <c r="U466">
        <f>+DB!R466</f>
        <v>0</v>
      </c>
      <c r="V466">
        <f>+IF(DB!P466="1RI",1,0)+IF(DB!P466="2RI",2,0)</f>
        <v>0</v>
      </c>
      <c r="W466">
        <f>+IF(DB!P466="1RV",1,0)+IF(DB!P466="2RV",2,0)</f>
        <v>0</v>
      </c>
      <c r="X466">
        <f>+IF(DB!P466="RYI",1,0)</f>
        <v>0</v>
      </c>
      <c r="Y466">
        <f>+IF(DB!P466="RYV",1,0)</f>
        <v>0</v>
      </c>
      <c r="Z466">
        <f>+DB!U466</f>
        <v>0</v>
      </c>
      <c r="AA466">
        <f>+IF(DB!F466="AAAC-35",19.5,33)</f>
        <v>33</v>
      </c>
      <c r="AB466">
        <f>+DB!V466</f>
        <v>0</v>
      </c>
      <c r="AC466" t="str">
        <f t="shared" si="23"/>
        <v>56-4</v>
      </c>
      <c r="AD466" s="21" t="s">
        <v>72</v>
      </c>
      <c r="AE466">
        <f>+DB!X466</f>
        <v>0</v>
      </c>
      <c r="AF466" s="22">
        <f>+DB!Y466</f>
        <v>0</v>
      </c>
      <c r="AG466">
        <f>+DB!AK466</f>
        <v>0</v>
      </c>
    </row>
    <row r="467" spans="1:33" x14ac:dyDescent="0.2">
      <c r="A467">
        <f>+DB!C467</f>
        <v>0</v>
      </c>
      <c r="B467">
        <f>+DB!D467</f>
        <v>0</v>
      </c>
      <c r="C467">
        <f>+DB!E467</f>
        <v>0</v>
      </c>
      <c r="D467">
        <f t="shared" si="21"/>
        <v>0</v>
      </c>
      <c r="E467">
        <f>+DB!G467</f>
        <v>0</v>
      </c>
      <c r="F467">
        <f>+DB!H467</f>
        <v>0</v>
      </c>
      <c r="G467">
        <f>+DB!N467</f>
        <v>0</v>
      </c>
      <c r="H467">
        <f>+DB!O467</f>
        <v>0</v>
      </c>
      <c r="I467">
        <f>+DB!I467</f>
        <v>0</v>
      </c>
      <c r="J467">
        <f>+DB!J467</f>
        <v>0</v>
      </c>
      <c r="K467">
        <f>+DB!L467</f>
        <v>0</v>
      </c>
      <c r="L467" t="str">
        <f t="shared" si="22"/>
        <v/>
      </c>
      <c r="M467" t="str">
        <f>+IF(LEFT(DB!M467,3)="13/","CAC","MAD")</f>
        <v>MAD</v>
      </c>
      <c r="N467" t="str">
        <f>+RIGHT(DB!M467,6)</f>
        <v/>
      </c>
      <c r="O467">
        <v>95</v>
      </c>
      <c r="P467">
        <v>5</v>
      </c>
      <c r="Q467">
        <f>+DB!AB467</f>
        <v>0</v>
      </c>
      <c r="R467">
        <f>+DB!K467</f>
        <v>0</v>
      </c>
      <c r="S467">
        <f>+DB!F467</f>
        <v>0</v>
      </c>
      <c r="T467">
        <f>+IF(DB!F467="AAAC-35",1,3)</f>
        <v>3</v>
      </c>
      <c r="U467">
        <f>+DB!R467</f>
        <v>0</v>
      </c>
      <c r="V467">
        <f>+IF(DB!P467="1RI",1,0)+IF(DB!P467="2RI",2,0)</f>
        <v>0</v>
      </c>
      <c r="W467">
        <f>+IF(DB!P467="1RV",1,0)+IF(DB!P467="2RV",2,0)</f>
        <v>0</v>
      </c>
      <c r="X467">
        <f>+IF(DB!P467="RYI",1,0)</f>
        <v>0</v>
      </c>
      <c r="Y467">
        <f>+IF(DB!P467="RYV",1,0)</f>
        <v>0</v>
      </c>
      <c r="Z467">
        <f>+DB!U467</f>
        <v>0</v>
      </c>
      <c r="AA467">
        <f>+IF(DB!F467="AAAC-35",19.5,33)</f>
        <v>33</v>
      </c>
      <c r="AB467">
        <f>+DB!V467</f>
        <v>0</v>
      </c>
      <c r="AC467" t="str">
        <f t="shared" si="23"/>
        <v>56-4</v>
      </c>
      <c r="AD467" s="21" t="s">
        <v>72</v>
      </c>
      <c r="AE467">
        <f>+DB!X467</f>
        <v>0</v>
      </c>
      <c r="AF467" s="22">
        <f>+DB!Y467</f>
        <v>0</v>
      </c>
      <c r="AG467">
        <f>+DB!AK467</f>
        <v>0</v>
      </c>
    </row>
    <row r="468" spans="1:33" x14ac:dyDescent="0.2">
      <c r="A468">
        <f>+DB!C468</f>
        <v>0</v>
      </c>
      <c r="B468">
        <f>+DB!D468</f>
        <v>0</v>
      </c>
      <c r="C468">
        <f>+DB!E468</f>
        <v>0</v>
      </c>
      <c r="D468">
        <f t="shared" si="21"/>
        <v>0</v>
      </c>
      <c r="E468">
        <f>+DB!G468</f>
        <v>0</v>
      </c>
      <c r="F468">
        <f>+DB!H468</f>
        <v>0</v>
      </c>
      <c r="G468">
        <f>+DB!N468</f>
        <v>0</v>
      </c>
      <c r="H468">
        <f>+DB!O468</f>
        <v>0</v>
      </c>
      <c r="I468">
        <f>+DB!I468</f>
        <v>0</v>
      </c>
      <c r="J468">
        <f>+DB!J468</f>
        <v>0</v>
      </c>
      <c r="K468">
        <f>+DB!L468</f>
        <v>0</v>
      </c>
      <c r="L468" t="str">
        <f t="shared" si="22"/>
        <v/>
      </c>
      <c r="M468" t="str">
        <f>+IF(LEFT(DB!M468,3)="13/","CAC","MAD")</f>
        <v>MAD</v>
      </c>
      <c r="N468" t="str">
        <f>+RIGHT(DB!M468,6)</f>
        <v/>
      </c>
      <c r="O468">
        <v>95</v>
      </c>
      <c r="P468">
        <v>5</v>
      </c>
      <c r="Q468">
        <f>+DB!AB468</f>
        <v>0</v>
      </c>
      <c r="R468">
        <f>+DB!K468</f>
        <v>0</v>
      </c>
      <c r="S468">
        <f>+DB!F468</f>
        <v>0</v>
      </c>
      <c r="T468">
        <f>+IF(DB!F468="AAAC-35",1,3)</f>
        <v>3</v>
      </c>
      <c r="U468">
        <f>+DB!R468</f>
        <v>0</v>
      </c>
      <c r="V468">
        <f>+IF(DB!P468="1RI",1,0)+IF(DB!P468="2RI",2,0)</f>
        <v>0</v>
      </c>
      <c r="W468">
        <f>+IF(DB!P468="1RV",1,0)+IF(DB!P468="2RV",2,0)</f>
        <v>0</v>
      </c>
      <c r="X468">
        <f>+IF(DB!P468="RYI",1,0)</f>
        <v>0</v>
      </c>
      <c r="Y468">
        <f>+IF(DB!P468="RYV",1,0)</f>
        <v>0</v>
      </c>
      <c r="Z468">
        <f>+DB!U468</f>
        <v>0</v>
      </c>
      <c r="AA468">
        <f>+IF(DB!F468="AAAC-35",19.5,33)</f>
        <v>33</v>
      </c>
      <c r="AB468">
        <f>+DB!V468</f>
        <v>0</v>
      </c>
      <c r="AC468" t="str">
        <f t="shared" si="23"/>
        <v>56-4</v>
      </c>
      <c r="AD468" s="21" t="s">
        <v>72</v>
      </c>
      <c r="AE468">
        <f>+DB!X468</f>
        <v>0</v>
      </c>
      <c r="AF468" s="22">
        <f>+DB!Y468</f>
        <v>0</v>
      </c>
      <c r="AG468">
        <f>+DB!AK468</f>
        <v>0</v>
      </c>
    </row>
    <row r="469" spans="1:33" x14ac:dyDescent="0.2">
      <c r="A469">
        <f>+DB!C469</f>
        <v>0</v>
      </c>
      <c r="B469">
        <f>+DB!D469</f>
        <v>0</v>
      </c>
      <c r="C469">
        <f>+DB!E469</f>
        <v>0</v>
      </c>
      <c r="D469">
        <f t="shared" si="21"/>
        <v>0</v>
      </c>
      <c r="E469">
        <f>+DB!G469</f>
        <v>0</v>
      </c>
      <c r="F469">
        <f>+DB!H469</f>
        <v>0</v>
      </c>
      <c r="G469">
        <f>+DB!N469</f>
        <v>0</v>
      </c>
      <c r="H469">
        <f>+DB!O469</f>
        <v>0</v>
      </c>
      <c r="I469">
        <f>+DB!I469</f>
        <v>0</v>
      </c>
      <c r="J469">
        <f>+DB!J469</f>
        <v>0</v>
      </c>
      <c r="K469">
        <f>+DB!L469</f>
        <v>0</v>
      </c>
      <c r="L469" t="str">
        <f t="shared" si="22"/>
        <v/>
      </c>
      <c r="M469" t="str">
        <f>+IF(LEFT(DB!M469,3)="13/","CAC","MAD")</f>
        <v>MAD</v>
      </c>
      <c r="N469" t="str">
        <f>+RIGHT(DB!M469,6)</f>
        <v/>
      </c>
      <c r="O469">
        <v>95</v>
      </c>
      <c r="P469">
        <v>5</v>
      </c>
      <c r="Q469">
        <f>+DB!AB469</f>
        <v>0</v>
      </c>
      <c r="R469">
        <f>+DB!K469</f>
        <v>0</v>
      </c>
      <c r="S469">
        <f>+DB!F469</f>
        <v>0</v>
      </c>
      <c r="T469">
        <f>+IF(DB!F469="AAAC-35",1,3)</f>
        <v>3</v>
      </c>
      <c r="U469">
        <f>+DB!R469</f>
        <v>0</v>
      </c>
      <c r="V469">
        <f>+IF(DB!P469="1RI",1,0)+IF(DB!P469="2RI",2,0)</f>
        <v>0</v>
      </c>
      <c r="W469">
        <f>+IF(DB!P469="1RV",1,0)+IF(DB!P469="2RV",2,0)</f>
        <v>0</v>
      </c>
      <c r="X469">
        <f>+IF(DB!P469="RYI",1,0)</f>
        <v>0</v>
      </c>
      <c r="Y469">
        <f>+IF(DB!P469="RYV",1,0)</f>
        <v>0</v>
      </c>
      <c r="Z469">
        <f>+DB!U469</f>
        <v>0</v>
      </c>
      <c r="AA469">
        <f>+IF(DB!F469="AAAC-35",19.5,33)</f>
        <v>33</v>
      </c>
      <c r="AB469">
        <f>+DB!V469</f>
        <v>0</v>
      </c>
      <c r="AC469" t="str">
        <f t="shared" si="23"/>
        <v>56-4</v>
      </c>
      <c r="AD469" s="21" t="s">
        <v>72</v>
      </c>
      <c r="AE469">
        <f>+DB!X469</f>
        <v>0</v>
      </c>
      <c r="AF469" s="22">
        <f>+DB!Y469</f>
        <v>0</v>
      </c>
      <c r="AG469">
        <f>+DB!AK469</f>
        <v>0</v>
      </c>
    </row>
    <row r="470" spans="1:33" x14ac:dyDescent="0.2">
      <c r="A470">
        <f>+DB!C470</f>
        <v>0</v>
      </c>
      <c r="B470">
        <f>+DB!D470</f>
        <v>0</v>
      </c>
      <c r="C470">
        <f>+DB!E470</f>
        <v>0</v>
      </c>
      <c r="D470">
        <f t="shared" si="21"/>
        <v>0</v>
      </c>
      <c r="E470">
        <f>+DB!G470</f>
        <v>0</v>
      </c>
      <c r="F470">
        <f>+DB!H470</f>
        <v>0</v>
      </c>
      <c r="G470">
        <f>+DB!N470</f>
        <v>0</v>
      </c>
      <c r="H470">
        <f>+DB!O470</f>
        <v>0</v>
      </c>
      <c r="I470">
        <f>+DB!I470</f>
        <v>0</v>
      </c>
      <c r="J470">
        <f>+DB!J470</f>
        <v>0</v>
      </c>
      <c r="K470">
        <f>+DB!L470</f>
        <v>0</v>
      </c>
      <c r="L470" t="str">
        <f t="shared" si="22"/>
        <v/>
      </c>
      <c r="M470" t="str">
        <f>+IF(LEFT(DB!M470,3)="13/","CAC","MAD")</f>
        <v>MAD</v>
      </c>
      <c r="N470" t="str">
        <f>+RIGHT(DB!M470,6)</f>
        <v/>
      </c>
      <c r="O470">
        <v>95</v>
      </c>
      <c r="P470">
        <v>5</v>
      </c>
      <c r="Q470">
        <f>+DB!AB470</f>
        <v>0</v>
      </c>
      <c r="R470">
        <f>+DB!K470</f>
        <v>0</v>
      </c>
      <c r="S470">
        <f>+DB!F470</f>
        <v>0</v>
      </c>
      <c r="T470">
        <f>+IF(DB!F470="AAAC-35",1,3)</f>
        <v>3</v>
      </c>
      <c r="U470">
        <f>+DB!R470</f>
        <v>0</v>
      </c>
      <c r="V470">
        <f>+IF(DB!P470="1RI",1,0)+IF(DB!P470="2RI",2,0)</f>
        <v>0</v>
      </c>
      <c r="W470">
        <f>+IF(DB!P470="1RV",1,0)+IF(DB!P470="2RV",2,0)</f>
        <v>0</v>
      </c>
      <c r="X470">
        <f>+IF(DB!P470="RYI",1,0)</f>
        <v>0</v>
      </c>
      <c r="Y470">
        <f>+IF(DB!P470="RYV",1,0)</f>
        <v>0</v>
      </c>
      <c r="Z470">
        <f>+DB!U470</f>
        <v>0</v>
      </c>
      <c r="AA470">
        <f>+IF(DB!F470="AAAC-35",19.5,33)</f>
        <v>33</v>
      </c>
      <c r="AB470">
        <f>+DB!V470</f>
        <v>0</v>
      </c>
      <c r="AC470" t="str">
        <f t="shared" si="23"/>
        <v>56-4</v>
      </c>
      <c r="AD470" s="21" t="s">
        <v>72</v>
      </c>
      <c r="AE470">
        <f>+DB!X470</f>
        <v>0</v>
      </c>
      <c r="AF470" s="22">
        <f>+DB!Y470</f>
        <v>0</v>
      </c>
      <c r="AG470">
        <f>+DB!AK470</f>
        <v>0</v>
      </c>
    </row>
    <row r="471" spans="1:33" x14ac:dyDescent="0.2">
      <c r="A471">
        <f>+DB!C471</f>
        <v>0</v>
      </c>
      <c r="B471">
        <f>+DB!D471</f>
        <v>0</v>
      </c>
      <c r="C471">
        <f>+DB!E471</f>
        <v>0</v>
      </c>
      <c r="D471">
        <f t="shared" si="21"/>
        <v>0</v>
      </c>
      <c r="E471">
        <f>+DB!G471</f>
        <v>0</v>
      </c>
      <c r="F471">
        <f>+DB!H471</f>
        <v>0</v>
      </c>
      <c r="G471">
        <f>+DB!N471</f>
        <v>0</v>
      </c>
      <c r="H471">
        <f>+DB!O471</f>
        <v>0</v>
      </c>
      <c r="I471">
        <f>+DB!I471</f>
        <v>0</v>
      </c>
      <c r="J471">
        <f>+DB!J471</f>
        <v>0</v>
      </c>
      <c r="K471">
        <f>+DB!L471</f>
        <v>0</v>
      </c>
      <c r="L471" t="str">
        <f t="shared" si="22"/>
        <v/>
      </c>
      <c r="M471" t="str">
        <f>+IF(LEFT(DB!M471,3)="13/","CAC","MAD")</f>
        <v>MAD</v>
      </c>
      <c r="N471" t="str">
        <f>+RIGHT(DB!M471,6)</f>
        <v/>
      </c>
      <c r="O471">
        <v>95</v>
      </c>
      <c r="P471">
        <v>5</v>
      </c>
      <c r="Q471">
        <f>+DB!AB471</f>
        <v>0</v>
      </c>
      <c r="R471">
        <f>+DB!K471</f>
        <v>0</v>
      </c>
      <c r="S471">
        <f>+DB!F471</f>
        <v>0</v>
      </c>
      <c r="T471">
        <f>+IF(DB!F471="AAAC-35",1,3)</f>
        <v>3</v>
      </c>
      <c r="U471">
        <f>+DB!R471</f>
        <v>0</v>
      </c>
      <c r="V471">
        <f>+IF(DB!P471="1RI",1,0)+IF(DB!P471="2RI",2,0)</f>
        <v>0</v>
      </c>
      <c r="W471">
        <f>+IF(DB!P471="1RV",1,0)+IF(DB!P471="2RV",2,0)</f>
        <v>0</v>
      </c>
      <c r="X471">
        <f>+IF(DB!P471="RYI",1,0)</f>
        <v>0</v>
      </c>
      <c r="Y471">
        <f>+IF(DB!P471="RYV",1,0)</f>
        <v>0</v>
      </c>
      <c r="Z471">
        <f>+DB!U471</f>
        <v>0</v>
      </c>
      <c r="AA471">
        <f>+IF(DB!F471="AAAC-35",19.5,33)</f>
        <v>33</v>
      </c>
      <c r="AB471">
        <f>+DB!V471</f>
        <v>0</v>
      </c>
      <c r="AC471" t="str">
        <f t="shared" si="23"/>
        <v>56-4</v>
      </c>
      <c r="AD471" s="21" t="s">
        <v>72</v>
      </c>
      <c r="AE471">
        <f>+DB!X471</f>
        <v>0</v>
      </c>
      <c r="AF471" s="22">
        <f>+DB!Y471</f>
        <v>0</v>
      </c>
      <c r="AG471">
        <f>+DB!AK471</f>
        <v>0</v>
      </c>
    </row>
    <row r="472" spans="1:33" x14ac:dyDescent="0.2">
      <c r="A472">
        <f>+DB!C472</f>
        <v>0</v>
      </c>
      <c r="B472">
        <f>+DB!D472</f>
        <v>0</v>
      </c>
      <c r="C472">
        <f>+DB!E472</f>
        <v>0</v>
      </c>
      <c r="D472">
        <f t="shared" si="21"/>
        <v>0</v>
      </c>
      <c r="E472">
        <f>+DB!G472</f>
        <v>0</v>
      </c>
      <c r="F472">
        <f>+DB!H472</f>
        <v>0</v>
      </c>
      <c r="G472">
        <f>+DB!N472</f>
        <v>0</v>
      </c>
      <c r="H472">
        <f>+DB!O472</f>
        <v>0</v>
      </c>
      <c r="I472">
        <f>+DB!I472</f>
        <v>0</v>
      </c>
      <c r="J472">
        <f>+DB!J472</f>
        <v>0</v>
      </c>
      <c r="K472">
        <f>+DB!L472</f>
        <v>0</v>
      </c>
      <c r="L472" t="str">
        <f t="shared" si="22"/>
        <v/>
      </c>
      <c r="M472" t="str">
        <f>+IF(LEFT(DB!M472,3)="13/","CAC","MAD")</f>
        <v>MAD</v>
      </c>
      <c r="N472" t="str">
        <f>+RIGHT(DB!M472,6)</f>
        <v/>
      </c>
      <c r="O472">
        <v>95</v>
      </c>
      <c r="P472">
        <v>5</v>
      </c>
      <c r="Q472">
        <f>+DB!AB472</f>
        <v>0</v>
      </c>
      <c r="R472">
        <f>+DB!K472</f>
        <v>0</v>
      </c>
      <c r="S472">
        <f>+DB!F472</f>
        <v>0</v>
      </c>
      <c r="T472">
        <f>+IF(DB!F472="AAAC-35",1,3)</f>
        <v>3</v>
      </c>
      <c r="U472">
        <f>+DB!R472</f>
        <v>0</v>
      </c>
      <c r="V472">
        <f>+IF(DB!P472="1RI",1,0)+IF(DB!P472="2RI",2,0)</f>
        <v>0</v>
      </c>
      <c r="W472">
        <f>+IF(DB!P472="1RV",1,0)+IF(DB!P472="2RV",2,0)</f>
        <v>0</v>
      </c>
      <c r="X472">
        <f>+IF(DB!P472="RYI",1,0)</f>
        <v>0</v>
      </c>
      <c r="Y472">
        <f>+IF(DB!P472="RYV",1,0)</f>
        <v>0</v>
      </c>
      <c r="Z472">
        <f>+DB!U472</f>
        <v>0</v>
      </c>
      <c r="AA472">
        <f>+IF(DB!F472="AAAC-35",19.5,33)</f>
        <v>33</v>
      </c>
      <c r="AB472">
        <f>+DB!V472</f>
        <v>0</v>
      </c>
      <c r="AC472" t="str">
        <f t="shared" si="23"/>
        <v>56-4</v>
      </c>
      <c r="AD472" s="21" t="s">
        <v>72</v>
      </c>
      <c r="AE472">
        <f>+DB!X472</f>
        <v>0</v>
      </c>
      <c r="AF472" s="22">
        <f>+DB!Y472</f>
        <v>0</v>
      </c>
      <c r="AG472">
        <f>+DB!AK472</f>
        <v>0</v>
      </c>
    </row>
    <row r="473" spans="1:33" x14ac:dyDescent="0.2">
      <c r="A473">
        <f>+DB!C473</f>
        <v>0</v>
      </c>
      <c r="B473">
        <f>+DB!D473</f>
        <v>0</v>
      </c>
      <c r="C473">
        <f>+DB!E473</f>
        <v>0</v>
      </c>
      <c r="D473">
        <f t="shared" si="21"/>
        <v>0</v>
      </c>
      <c r="E473">
        <f>+DB!G473</f>
        <v>0</v>
      </c>
      <c r="F473">
        <f>+DB!H473</f>
        <v>0</v>
      </c>
      <c r="G473">
        <f>+DB!N473</f>
        <v>0</v>
      </c>
      <c r="H473">
        <f>+DB!O473</f>
        <v>0</v>
      </c>
      <c r="I473">
        <f>+DB!I473</f>
        <v>0</v>
      </c>
      <c r="J473">
        <f>+DB!J473</f>
        <v>0</v>
      </c>
      <c r="K473">
        <f>+DB!L473</f>
        <v>0</v>
      </c>
      <c r="L473" t="str">
        <f t="shared" si="22"/>
        <v/>
      </c>
      <c r="M473" t="str">
        <f>+IF(LEFT(DB!M473,3)="13/","CAC","MAD")</f>
        <v>MAD</v>
      </c>
      <c r="N473" t="str">
        <f>+RIGHT(DB!M473,6)</f>
        <v/>
      </c>
      <c r="O473">
        <v>95</v>
      </c>
      <c r="P473">
        <v>5</v>
      </c>
      <c r="Q473">
        <f>+DB!AB473</f>
        <v>0</v>
      </c>
      <c r="R473">
        <f>+DB!K473</f>
        <v>0</v>
      </c>
      <c r="S473">
        <f>+DB!F473</f>
        <v>0</v>
      </c>
      <c r="T473">
        <f>+IF(DB!F473="AAAC-35",1,3)</f>
        <v>3</v>
      </c>
      <c r="U473">
        <f>+DB!R473</f>
        <v>0</v>
      </c>
      <c r="V473">
        <f>+IF(DB!P473="1RI",1,0)+IF(DB!P473="2RI",2,0)</f>
        <v>0</v>
      </c>
      <c r="W473">
        <f>+IF(DB!P473="1RV",1,0)+IF(DB!P473="2RV",2,0)</f>
        <v>0</v>
      </c>
      <c r="X473">
        <f>+IF(DB!P473="RYI",1,0)</f>
        <v>0</v>
      </c>
      <c r="Y473">
        <f>+IF(DB!P473="RYV",1,0)</f>
        <v>0</v>
      </c>
      <c r="Z473">
        <f>+DB!U473</f>
        <v>0</v>
      </c>
      <c r="AA473">
        <f>+IF(DB!F473="AAAC-35",19.5,33)</f>
        <v>33</v>
      </c>
      <c r="AB473">
        <f>+DB!V473</f>
        <v>0</v>
      </c>
      <c r="AC473" t="str">
        <f t="shared" si="23"/>
        <v>56-4</v>
      </c>
      <c r="AD473" s="21" t="s">
        <v>72</v>
      </c>
      <c r="AE473">
        <f>+DB!X473</f>
        <v>0</v>
      </c>
      <c r="AF473" s="22">
        <f>+DB!Y473</f>
        <v>0</v>
      </c>
      <c r="AG473">
        <f>+DB!AK473</f>
        <v>0</v>
      </c>
    </row>
    <row r="474" spans="1:33" x14ac:dyDescent="0.2">
      <c r="A474">
        <f>+DB!C474</f>
        <v>0</v>
      </c>
      <c r="B474">
        <f>+DB!D474</f>
        <v>0</v>
      </c>
      <c r="C474">
        <f>+DB!E474</f>
        <v>0</v>
      </c>
      <c r="D474">
        <f t="shared" si="21"/>
        <v>0</v>
      </c>
      <c r="E474">
        <f>+DB!G474</f>
        <v>0</v>
      </c>
      <c r="F474">
        <f>+DB!H474</f>
        <v>0</v>
      </c>
      <c r="G474">
        <f>+DB!N474</f>
        <v>0</v>
      </c>
      <c r="H474">
        <f>+DB!O474</f>
        <v>0</v>
      </c>
      <c r="I474">
        <f>+DB!I474</f>
        <v>0</v>
      </c>
      <c r="J474">
        <f>+DB!J474</f>
        <v>0</v>
      </c>
      <c r="K474">
        <f>+DB!L474</f>
        <v>0</v>
      </c>
      <c r="L474" t="str">
        <f t="shared" si="22"/>
        <v/>
      </c>
      <c r="M474" t="str">
        <f>+IF(LEFT(DB!M474,3)="13/","CAC","MAD")</f>
        <v>MAD</v>
      </c>
      <c r="N474" t="str">
        <f>+RIGHT(DB!M474,6)</f>
        <v/>
      </c>
      <c r="O474">
        <v>95</v>
      </c>
      <c r="P474">
        <v>5</v>
      </c>
      <c r="Q474">
        <f>+DB!AB474</f>
        <v>0</v>
      </c>
      <c r="R474">
        <f>+DB!K474</f>
        <v>0</v>
      </c>
      <c r="S474">
        <f>+DB!F474</f>
        <v>0</v>
      </c>
      <c r="T474">
        <f>+IF(DB!F474="AAAC-35",1,3)</f>
        <v>3</v>
      </c>
      <c r="U474">
        <f>+DB!R474</f>
        <v>0</v>
      </c>
      <c r="V474">
        <f>+IF(DB!P474="1RI",1,0)+IF(DB!P474="2RI",2,0)</f>
        <v>0</v>
      </c>
      <c r="W474">
        <f>+IF(DB!P474="1RV",1,0)+IF(DB!P474="2RV",2,0)</f>
        <v>0</v>
      </c>
      <c r="X474">
        <f>+IF(DB!P474="RYI",1,0)</f>
        <v>0</v>
      </c>
      <c r="Y474">
        <f>+IF(DB!P474="RYV",1,0)</f>
        <v>0</v>
      </c>
      <c r="Z474">
        <f>+DB!U474</f>
        <v>0</v>
      </c>
      <c r="AA474">
        <f>+IF(DB!F474="AAAC-35",19.5,33)</f>
        <v>33</v>
      </c>
      <c r="AB474">
        <f>+DB!V474</f>
        <v>0</v>
      </c>
      <c r="AC474" t="str">
        <f t="shared" si="23"/>
        <v>56-4</v>
      </c>
      <c r="AD474" s="21" t="s">
        <v>72</v>
      </c>
      <c r="AE474">
        <f>+DB!X474</f>
        <v>0</v>
      </c>
      <c r="AF474" s="22">
        <f>+DB!Y474</f>
        <v>0</v>
      </c>
      <c r="AG474">
        <f>+DB!AK474</f>
        <v>0</v>
      </c>
    </row>
    <row r="475" spans="1:33" x14ac:dyDescent="0.2">
      <c r="A475">
        <f>+DB!C475</f>
        <v>0</v>
      </c>
      <c r="B475">
        <f>+DB!D475</f>
        <v>0</v>
      </c>
      <c r="C475">
        <f>+DB!E475</f>
        <v>0</v>
      </c>
      <c r="D475">
        <f t="shared" si="21"/>
        <v>0</v>
      </c>
      <c r="E475">
        <f>+DB!G475</f>
        <v>0</v>
      </c>
      <c r="F475">
        <f>+DB!H475</f>
        <v>0</v>
      </c>
      <c r="G475">
        <f>+DB!N475</f>
        <v>0</v>
      </c>
      <c r="H475">
        <f>+DB!O475</f>
        <v>0</v>
      </c>
      <c r="I475">
        <f>+DB!I475</f>
        <v>0</v>
      </c>
      <c r="J475">
        <f>+DB!J475</f>
        <v>0</v>
      </c>
      <c r="K475">
        <f>+DB!L475</f>
        <v>0</v>
      </c>
      <c r="L475" t="str">
        <f t="shared" si="22"/>
        <v/>
      </c>
      <c r="M475" t="str">
        <f>+IF(LEFT(DB!M475,3)="13/","CAC","MAD")</f>
        <v>MAD</v>
      </c>
      <c r="N475" t="str">
        <f>+RIGHT(DB!M475,6)</f>
        <v/>
      </c>
      <c r="O475">
        <v>95</v>
      </c>
      <c r="P475">
        <v>5</v>
      </c>
      <c r="Q475">
        <f>+DB!AB475</f>
        <v>0</v>
      </c>
      <c r="R475">
        <f>+DB!K475</f>
        <v>0</v>
      </c>
      <c r="S475">
        <f>+DB!F475</f>
        <v>0</v>
      </c>
      <c r="T475">
        <f>+IF(DB!F475="AAAC-35",1,3)</f>
        <v>3</v>
      </c>
      <c r="U475">
        <f>+DB!R475</f>
        <v>0</v>
      </c>
      <c r="V475">
        <f>+IF(DB!P475="1RI",1,0)+IF(DB!P475="2RI",2,0)</f>
        <v>0</v>
      </c>
      <c r="W475">
        <f>+IF(DB!P475="1RV",1,0)+IF(DB!P475="2RV",2,0)</f>
        <v>0</v>
      </c>
      <c r="X475">
        <f>+IF(DB!P475="RYI",1,0)</f>
        <v>0</v>
      </c>
      <c r="Y475">
        <f>+IF(DB!P475="RYV",1,0)</f>
        <v>0</v>
      </c>
      <c r="Z475">
        <f>+DB!U475</f>
        <v>0</v>
      </c>
      <c r="AA475">
        <f>+IF(DB!F475="AAAC-35",19.5,33)</f>
        <v>33</v>
      </c>
      <c r="AB475">
        <f>+DB!V475</f>
        <v>0</v>
      </c>
      <c r="AC475" t="str">
        <f t="shared" si="23"/>
        <v>56-4</v>
      </c>
      <c r="AD475" s="21" t="s">
        <v>72</v>
      </c>
      <c r="AE475">
        <f>+DB!X475</f>
        <v>0</v>
      </c>
      <c r="AF475" s="22">
        <f>+DB!Y475</f>
        <v>0</v>
      </c>
      <c r="AG475">
        <f>+DB!AK475</f>
        <v>0</v>
      </c>
    </row>
    <row r="476" spans="1:33" x14ac:dyDescent="0.2">
      <c r="A476">
        <f>+DB!C476</f>
        <v>0</v>
      </c>
      <c r="B476">
        <f>+DB!D476</f>
        <v>0</v>
      </c>
      <c r="C476">
        <f>+DB!E476</f>
        <v>0</v>
      </c>
      <c r="D476">
        <f t="shared" si="21"/>
        <v>0</v>
      </c>
      <c r="E476">
        <f>+DB!G476</f>
        <v>0</v>
      </c>
      <c r="F476">
        <f>+DB!H476</f>
        <v>0</v>
      </c>
      <c r="G476">
        <f>+DB!N476</f>
        <v>0</v>
      </c>
      <c r="H476">
        <f>+DB!O476</f>
        <v>0</v>
      </c>
      <c r="I476">
        <f>+DB!I476</f>
        <v>0</v>
      </c>
      <c r="J476">
        <f>+DB!J476</f>
        <v>0</v>
      </c>
      <c r="K476">
        <f>+DB!L476</f>
        <v>0</v>
      </c>
      <c r="L476" t="str">
        <f t="shared" si="22"/>
        <v/>
      </c>
      <c r="M476" t="str">
        <f>+IF(LEFT(DB!M476,3)="13/","CAC","MAD")</f>
        <v>MAD</v>
      </c>
      <c r="N476" t="str">
        <f>+RIGHT(DB!M476,6)</f>
        <v/>
      </c>
      <c r="O476">
        <v>95</v>
      </c>
      <c r="P476">
        <v>5</v>
      </c>
      <c r="Q476">
        <f>+DB!AB476</f>
        <v>0</v>
      </c>
      <c r="R476">
        <f>+DB!K476</f>
        <v>0</v>
      </c>
      <c r="S476">
        <f>+DB!F476</f>
        <v>0</v>
      </c>
      <c r="T476">
        <f>+IF(DB!F476="AAAC-35",1,3)</f>
        <v>3</v>
      </c>
      <c r="U476">
        <f>+DB!R476</f>
        <v>0</v>
      </c>
      <c r="V476">
        <f>+IF(DB!P476="1RI",1,0)+IF(DB!P476="2RI",2,0)</f>
        <v>0</v>
      </c>
      <c r="W476">
        <f>+IF(DB!P476="1RV",1,0)+IF(DB!P476="2RV",2,0)</f>
        <v>0</v>
      </c>
      <c r="X476">
        <f>+IF(DB!P476="RYI",1,0)</f>
        <v>0</v>
      </c>
      <c r="Y476">
        <f>+IF(DB!P476="RYV",1,0)</f>
        <v>0</v>
      </c>
      <c r="Z476">
        <f>+DB!U476</f>
        <v>0</v>
      </c>
      <c r="AA476">
        <f>+IF(DB!F476="AAAC-35",19.5,33)</f>
        <v>33</v>
      </c>
      <c r="AB476">
        <f>+DB!V476</f>
        <v>0</v>
      </c>
      <c r="AC476" t="str">
        <f t="shared" si="23"/>
        <v>56-4</v>
      </c>
      <c r="AD476" s="21" t="s">
        <v>72</v>
      </c>
      <c r="AE476">
        <f>+DB!X476</f>
        <v>0</v>
      </c>
      <c r="AF476" s="22">
        <f>+DB!Y476</f>
        <v>0</v>
      </c>
      <c r="AG476">
        <f>+DB!AK476</f>
        <v>0</v>
      </c>
    </row>
    <row r="477" spans="1:33" x14ac:dyDescent="0.2">
      <c r="A477">
        <f>+DB!C477</f>
        <v>0</v>
      </c>
      <c r="B477">
        <f>+DB!D477</f>
        <v>0</v>
      </c>
      <c r="C477">
        <f>+DB!E477</f>
        <v>0</v>
      </c>
      <c r="D477">
        <f t="shared" si="21"/>
        <v>0</v>
      </c>
      <c r="E477">
        <f>+DB!G477</f>
        <v>0</v>
      </c>
      <c r="F477">
        <f>+DB!H477</f>
        <v>0</v>
      </c>
      <c r="G477">
        <f>+DB!N477</f>
        <v>0</v>
      </c>
      <c r="H477">
        <f>+DB!O477</f>
        <v>0</v>
      </c>
      <c r="I477">
        <f>+DB!I477</f>
        <v>0</v>
      </c>
      <c r="J477">
        <f>+DB!J477</f>
        <v>0</v>
      </c>
      <c r="K477">
        <f>+DB!L477</f>
        <v>0</v>
      </c>
      <c r="L477" t="str">
        <f t="shared" si="22"/>
        <v/>
      </c>
      <c r="M477" t="str">
        <f>+IF(LEFT(DB!M477,3)="13/","CAC","MAD")</f>
        <v>MAD</v>
      </c>
      <c r="N477" t="str">
        <f>+RIGHT(DB!M477,6)</f>
        <v/>
      </c>
      <c r="O477">
        <v>95</v>
      </c>
      <c r="P477">
        <v>5</v>
      </c>
      <c r="Q477">
        <f>+DB!AB477</f>
        <v>0</v>
      </c>
      <c r="R477">
        <f>+DB!K477</f>
        <v>0</v>
      </c>
      <c r="S477">
        <f>+DB!F477</f>
        <v>0</v>
      </c>
      <c r="T477">
        <f>+IF(DB!F477="AAAC-35",1,3)</f>
        <v>3</v>
      </c>
      <c r="U477">
        <f>+DB!R477</f>
        <v>0</v>
      </c>
      <c r="V477">
        <f>+IF(DB!P477="1RI",1,0)+IF(DB!P477="2RI",2,0)</f>
        <v>0</v>
      </c>
      <c r="W477">
        <f>+IF(DB!P477="1RV",1,0)+IF(DB!P477="2RV",2,0)</f>
        <v>0</v>
      </c>
      <c r="X477">
        <f>+IF(DB!P477="RYI",1,0)</f>
        <v>0</v>
      </c>
      <c r="Y477">
        <f>+IF(DB!P477="RYV",1,0)</f>
        <v>0</v>
      </c>
      <c r="Z477">
        <f>+DB!U477</f>
        <v>0</v>
      </c>
      <c r="AA477">
        <f>+IF(DB!F477="AAAC-35",19.5,33)</f>
        <v>33</v>
      </c>
      <c r="AB477">
        <f>+DB!V477</f>
        <v>0</v>
      </c>
      <c r="AC477" t="str">
        <f t="shared" si="23"/>
        <v>56-4</v>
      </c>
      <c r="AD477" s="21" t="s">
        <v>72</v>
      </c>
      <c r="AE477">
        <f>+DB!X477</f>
        <v>0</v>
      </c>
      <c r="AF477" s="22">
        <f>+DB!Y477</f>
        <v>0</v>
      </c>
      <c r="AG477">
        <f>+DB!AK477</f>
        <v>0</v>
      </c>
    </row>
    <row r="478" spans="1:33" x14ac:dyDescent="0.2">
      <c r="A478">
        <f>+DB!C478</f>
        <v>0</v>
      </c>
      <c r="B478">
        <f>+DB!D478</f>
        <v>0</v>
      </c>
      <c r="C478">
        <f>+DB!E478</f>
        <v>0</v>
      </c>
      <c r="D478">
        <f t="shared" si="21"/>
        <v>0</v>
      </c>
      <c r="E478">
        <f>+DB!G478</f>
        <v>0</v>
      </c>
      <c r="F478">
        <f>+DB!H478</f>
        <v>0</v>
      </c>
      <c r="G478">
        <f>+DB!N478</f>
        <v>0</v>
      </c>
      <c r="H478">
        <f>+DB!O478</f>
        <v>0</v>
      </c>
      <c r="I478">
        <f>+DB!I478</f>
        <v>0</v>
      </c>
      <c r="J478">
        <f>+DB!J478</f>
        <v>0</v>
      </c>
      <c r="K478">
        <f>+DB!L478</f>
        <v>0</v>
      </c>
      <c r="L478" t="str">
        <f t="shared" si="22"/>
        <v/>
      </c>
      <c r="M478" t="str">
        <f>+IF(LEFT(DB!M478,3)="13/","CAC","MAD")</f>
        <v>MAD</v>
      </c>
      <c r="N478" t="str">
        <f>+RIGHT(DB!M478,6)</f>
        <v/>
      </c>
      <c r="O478">
        <v>95</v>
      </c>
      <c r="P478">
        <v>5</v>
      </c>
      <c r="Q478">
        <f>+DB!AB478</f>
        <v>0</v>
      </c>
      <c r="R478">
        <f>+DB!K478</f>
        <v>0</v>
      </c>
      <c r="S478">
        <f>+DB!F478</f>
        <v>0</v>
      </c>
      <c r="T478">
        <f>+IF(DB!F478="AAAC-35",1,3)</f>
        <v>3</v>
      </c>
      <c r="U478">
        <f>+DB!R478</f>
        <v>0</v>
      </c>
      <c r="V478">
        <f>+IF(DB!P478="1RI",1,0)+IF(DB!P478="2RI",2,0)</f>
        <v>0</v>
      </c>
      <c r="W478">
        <f>+IF(DB!P478="1RV",1,0)+IF(DB!P478="2RV",2,0)</f>
        <v>0</v>
      </c>
      <c r="X478">
        <f>+IF(DB!P478="RYI",1,0)</f>
        <v>0</v>
      </c>
      <c r="Y478">
        <f>+IF(DB!P478="RYV",1,0)</f>
        <v>0</v>
      </c>
      <c r="Z478">
        <f>+DB!U478</f>
        <v>0</v>
      </c>
      <c r="AA478">
        <f>+IF(DB!F478="AAAC-35",19.5,33)</f>
        <v>33</v>
      </c>
      <c r="AB478">
        <f>+DB!V478</f>
        <v>0</v>
      </c>
      <c r="AC478" t="str">
        <f t="shared" si="23"/>
        <v>56-4</v>
      </c>
      <c r="AD478" s="21" t="s">
        <v>72</v>
      </c>
      <c r="AE478">
        <f>+DB!X478</f>
        <v>0</v>
      </c>
      <c r="AF478" s="22">
        <f>+DB!Y478</f>
        <v>0</v>
      </c>
      <c r="AG478">
        <f>+DB!AK478</f>
        <v>0</v>
      </c>
    </row>
    <row r="479" spans="1:33" x14ac:dyDescent="0.2">
      <c r="A479">
        <f>+DB!C479</f>
        <v>0</v>
      </c>
      <c r="B479">
        <f>+DB!D479</f>
        <v>0</v>
      </c>
      <c r="C479">
        <f>+DB!E479</f>
        <v>0</v>
      </c>
      <c r="D479">
        <f t="shared" si="21"/>
        <v>0</v>
      </c>
      <c r="E479">
        <f>+DB!G479</f>
        <v>0</v>
      </c>
      <c r="F479">
        <f>+DB!H479</f>
        <v>0</v>
      </c>
      <c r="G479">
        <f>+DB!N479</f>
        <v>0</v>
      </c>
      <c r="H479">
        <f>+DB!O479</f>
        <v>0</v>
      </c>
      <c r="I479">
        <f>+DB!I479</f>
        <v>0</v>
      </c>
      <c r="J479">
        <f>+DB!J479</f>
        <v>0</v>
      </c>
      <c r="K479">
        <f>+DB!L479</f>
        <v>0</v>
      </c>
      <c r="L479" t="str">
        <f t="shared" si="22"/>
        <v/>
      </c>
      <c r="M479" t="str">
        <f>+IF(LEFT(DB!M479,3)="13/","CAC","MAD")</f>
        <v>MAD</v>
      </c>
      <c r="N479" t="str">
        <f>+RIGHT(DB!M479,6)</f>
        <v/>
      </c>
      <c r="O479">
        <v>95</v>
      </c>
      <c r="P479">
        <v>5</v>
      </c>
      <c r="Q479">
        <f>+DB!AB479</f>
        <v>0</v>
      </c>
      <c r="R479">
        <f>+DB!K479</f>
        <v>0</v>
      </c>
      <c r="S479">
        <f>+DB!F479</f>
        <v>0</v>
      </c>
      <c r="T479">
        <f>+IF(DB!F479="AAAC-35",1,3)</f>
        <v>3</v>
      </c>
      <c r="U479">
        <f>+DB!R479</f>
        <v>0</v>
      </c>
      <c r="V479">
        <f>+IF(DB!P479="1RI",1,0)+IF(DB!P479="2RI",2,0)</f>
        <v>0</v>
      </c>
      <c r="W479">
        <f>+IF(DB!P479="1RV",1,0)+IF(DB!P479="2RV",2,0)</f>
        <v>0</v>
      </c>
      <c r="X479">
        <f>+IF(DB!P479="RYI",1,0)</f>
        <v>0</v>
      </c>
      <c r="Y479">
        <f>+IF(DB!P479="RYV",1,0)</f>
        <v>0</v>
      </c>
      <c r="Z479">
        <f>+DB!U479</f>
        <v>0</v>
      </c>
      <c r="AA479">
        <f>+IF(DB!F479="AAAC-35",19.5,33)</f>
        <v>33</v>
      </c>
      <c r="AB479">
        <f>+DB!V479</f>
        <v>0</v>
      </c>
      <c r="AC479" t="str">
        <f t="shared" si="23"/>
        <v>56-4</v>
      </c>
      <c r="AD479" s="21" t="s">
        <v>72</v>
      </c>
      <c r="AE479">
        <f>+DB!X479</f>
        <v>0</v>
      </c>
      <c r="AF479" s="22">
        <f>+DB!Y479</f>
        <v>0</v>
      </c>
      <c r="AG479">
        <f>+DB!AK479</f>
        <v>0</v>
      </c>
    </row>
    <row r="480" spans="1:33" x14ac:dyDescent="0.2">
      <c r="A480">
        <f>+DB!C480</f>
        <v>0</v>
      </c>
      <c r="B480">
        <f>+DB!D480</f>
        <v>0</v>
      </c>
      <c r="C480">
        <f>+DB!E480</f>
        <v>0</v>
      </c>
      <c r="D480">
        <f t="shared" si="21"/>
        <v>0</v>
      </c>
      <c r="E480">
        <f>+DB!G480</f>
        <v>0</v>
      </c>
      <c r="F480">
        <f>+DB!H480</f>
        <v>0</v>
      </c>
      <c r="G480">
        <f>+DB!N480</f>
        <v>0</v>
      </c>
      <c r="H480">
        <f>+DB!O480</f>
        <v>0</v>
      </c>
      <c r="I480">
        <f>+DB!I480</f>
        <v>0</v>
      </c>
      <c r="J480">
        <f>+DB!J480</f>
        <v>0</v>
      </c>
      <c r="K480">
        <f>+DB!L480</f>
        <v>0</v>
      </c>
      <c r="L480" t="str">
        <f t="shared" si="22"/>
        <v/>
      </c>
      <c r="M480" t="str">
        <f>+IF(LEFT(DB!M480,3)="13/","CAC","MAD")</f>
        <v>MAD</v>
      </c>
      <c r="N480" t="str">
        <f>+RIGHT(DB!M480,6)</f>
        <v/>
      </c>
      <c r="O480">
        <v>95</v>
      </c>
      <c r="P480">
        <v>5</v>
      </c>
      <c r="Q480">
        <f>+DB!AB480</f>
        <v>0</v>
      </c>
      <c r="R480">
        <f>+DB!K480</f>
        <v>0</v>
      </c>
      <c r="S480">
        <f>+DB!F480</f>
        <v>0</v>
      </c>
      <c r="T480">
        <f>+IF(DB!F480="AAAC-35",1,3)</f>
        <v>3</v>
      </c>
      <c r="U480">
        <f>+DB!R480</f>
        <v>0</v>
      </c>
      <c r="V480">
        <f>+IF(DB!P480="1RI",1,0)+IF(DB!P480="2RI",2,0)</f>
        <v>0</v>
      </c>
      <c r="W480">
        <f>+IF(DB!P480="1RV",1,0)+IF(DB!P480="2RV",2,0)</f>
        <v>0</v>
      </c>
      <c r="X480">
        <f>+IF(DB!P480="RYI",1,0)</f>
        <v>0</v>
      </c>
      <c r="Y480">
        <f>+IF(DB!P480="RYV",1,0)</f>
        <v>0</v>
      </c>
      <c r="Z480">
        <f>+DB!U480</f>
        <v>0</v>
      </c>
      <c r="AA480">
        <f>+IF(DB!F480="AAAC-35",19.5,33)</f>
        <v>33</v>
      </c>
      <c r="AB480">
        <f>+DB!V480</f>
        <v>0</v>
      </c>
      <c r="AC480" t="str">
        <f t="shared" si="23"/>
        <v>56-4</v>
      </c>
      <c r="AD480" s="21" t="s">
        <v>72</v>
      </c>
      <c r="AE480">
        <f>+DB!X480</f>
        <v>0</v>
      </c>
      <c r="AF480" s="22">
        <f>+DB!Y480</f>
        <v>0</v>
      </c>
      <c r="AG480">
        <f>+DB!AK480</f>
        <v>0</v>
      </c>
    </row>
    <row r="481" spans="1:33" x14ac:dyDescent="0.2">
      <c r="A481">
        <f>+DB!C481</f>
        <v>0</v>
      </c>
      <c r="B481">
        <f>+DB!D481</f>
        <v>0</v>
      </c>
      <c r="C481">
        <f>+DB!E481</f>
        <v>0</v>
      </c>
      <c r="D481">
        <f t="shared" si="21"/>
        <v>0</v>
      </c>
      <c r="E481">
        <f>+DB!G481</f>
        <v>0</v>
      </c>
      <c r="F481">
        <f>+DB!H481</f>
        <v>0</v>
      </c>
      <c r="G481">
        <f>+DB!N481</f>
        <v>0</v>
      </c>
      <c r="H481">
        <f>+DB!O481</f>
        <v>0</v>
      </c>
      <c r="I481">
        <f>+DB!I481</f>
        <v>0</v>
      </c>
      <c r="J481">
        <f>+DB!J481</f>
        <v>0</v>
      </c>
      <c r="K481">
        <f>+DB!L481</f>
        <v>0</v>
      </c>
      <c r="L481" t="str">
        <f t="shared" si="22"/>
        <v/>
      </c>
      <c r="M481" t="str">
        <f>+IF(LEFT(DB!M481,3)="13/","CAC","MAD")</f>
        <v>MAD</v>
      </c>
      <c r="N481" t="str">
        <f>+RIGHT(DB!M481,6)</f>
        <v/>
      </c>
      <c r="O481">
        <v>95</v>
      </c>
      <c r="P481">
        <v>5</v>
      </c>
      <c r="Q481">
        <f>+DB!AB481</f>
        <v>0</v>
      </c>
      <c r="R481">
        <f>+DB!K481</f>
        <v>0</v>
      </c>
      <c r="S481">
        <f>+DB!F481</f>
        <v>0</v>
      </c>
      <c r="T481">
        <f>+IF(DB!F481="AAAC-35",1,3)</f>
        <v>3</v>
      </c>
      <c r="U481">
        <f>+DB!R481</f>
        <v>0</v>
      </c>
      <c r="V481">
        <f>+IF(DB!P481="1RI",1,0)+IF(DB!P481="2RI",2,0)</f>
        <v>0</v>
      </c>
      <c r="W481">
        <f>+IF(DB!P481="1RV",1,0)+IF(DB!P481="2RV",2,0)</f>
        <v>0</v>
      </c>
      <c r="X481">
        <f>+IF(DB!P481="RYI",1,0)</f>
        <v>0</v>
      </c>
      <c r="Y481">
        <f>+IF(DB!P481="RYV",1,0)</f>
        <v>0</v>
      </c>
      <c r="Z481">
        <f>+DB!U481</f>
        <v>0</v>
      </c>
      <c r="AA481">
        <f>+IF(DB!F481="AAAC-35",19.5,33)</f>
        <v>33</v>
      </c>
      <c r="AB481">
        <f>+DB!V481</f>
        <v>0</v>
      </c>
      <c r="AC481" t="str">
        <f t="shared" si="23"/>
        <v>56-4</v>
      </c>
      <c r="AD481" s="21" t="s">
        <v>72</v>
      </c>
      <c r="AE481">
        <f>+DB!X481</f>
        <v>0</v>
      </c>
      <c r="AF481" s="22">
        <f>+DB!Y481</f>
        <v>0</v>
      </c>
      <c r="AG481">
        <f>+DB!AK481</f>
        <v>0</v>
      </c>
    </row>
    <row r="482" spans="1:33" x14ac:dyDescent="0.2">
      <c r="A482">
        <f>+DB!C482</f>
        <v>0</v>
      </c>
      <c r="B482">
        <f>+DB!D482</f>
        <v>0</v>
      </c>
      <c r="C482">
        <f>+DB!E482</f>
        <v>0</v>
      </c>
      <c r="D482">
        <f t="shared" si="21"/>
        <v>0</v>
      </c>
      <c r="E482">
        <f>+DB!G482</f>
        <v>0</v>
      </c>
      <c r="F482">
        <f>+DB!H482</f>
        <v>0</v>
      </c>
      <c r="G482">
        <f>+DB!N482</f>
        <v>0</v>
      </c>
      <c r="H482">
        <f>+DB!O482</f>
        <v>0</v>
      </c>
      <c r="I482">
        <f>+DB!I482</f>
        <v>0</v>
      </c>
      <c r="J482">
        <f>+DB!J482</f>
        <v>0</v>
      </c>
      <c r="K482">
        <f>+DB!L482</f>
        <v>0</v>
      </c>
      <c r="L482" t="str">
        <f t="shared" si="22"/>
        <v/>
      </c>
      <c r="M482" t="str">
        <f>+IF(LEFT(DB!M482,3)="13/","CAC","MAD")</f>
        <v>MAD</v>
      </c>
      <c r="N482" t="str">
        <f>+RIGHT(DB!M482,6)</f>
        <v/>
      </c>
      <c r="O482">
        <v>95</v>
      </c>
      <c r="P482">
        <v>5</v>
      </c>
      <c r="Q482">
        <f>+DB!AB482</f>
        <v>0</v>
      </c>
      <c r="R482">
        <f>+DB!K482</f>
        <v>0</v>
      </c>
      <c r="S482">
        <f>+DB!F482</f>
        <v>0</v>
      </c>
      <c r="T482">
        <f>+IF(DB!F482="AAAC-35",1,3)</f>
        <v>3</v>
      </c>
      <c r="U482">
        <f>+DB!R482</f>
        <v>0</v>
      </c>
      <c r="V482">
        <f>+IF(DB!P482="1RI",1,0)+IF(DB!P482="2RI",2,0)</f>
        <v>0</v>
      </c>
      <c r="W482">
        <f>+IF(DB!P482="1RV",1,0)+IF(DB!P482="2RV",2,0)</f>
        <v>0</v>
      </c>
      <c r="X482">
        <f>+IF(DB!P482="RYI",1,0)</f>
        <v>0</v>
      </c>
      <c r="Y482">
        <f>+IF(DB!P482="RYV",1,0)</f>
        <v>0</v>
      </c>
      <c r="Z482">
        <f>+DB!U482</f>
        <v>0</v>
      </c>
      <c r="AA482">
        <f>+IF(DB!F482="AAAC-35",19.5,33)</f>
        <v>33</v>
      </c>
      <c r="AB482">
        <f>+DB!V482</f>
        <v>0</v>
      </c>
      <c r="AC482" t="str">
        <f t="shared" si="23"/>
        <v>56-4</v>
      </c>
      <c r="AD482" s="21" t="s">
        <v>72</v>
      </c>
      <c r="AE482">
        <f>+DB!X482</f>
        <v>0</v>
      </c>
      <c r="AF482" s="22">
        <f>+DB!Y482</f>
        <v>0</v>
      </c>
      <c r="AG482">
        <f>+DB!AK482</f>
        <v>0</v>
      </c>
    </row>
    <row r="483" spans="1:33" x14ac:dyDescent="0.2">
      <c r="A483">
        <f>+DB!C483</f>
        <v>0</v>
      </c>
      <c r="B483">
        <f>+DB!D483</f>
        <v>0</v>
      </c>
      <c r="C483">
        <f>+DB!E483</f>
        <v>0</v>
      </c>
      <c r="D483">
        <f t="shared" si="21"/>
        <v>0</v>
      </c>
      <c r="E483">
        <f>+DB!G483</f>
        <v>0</v>
      </c>
      <c r="F483">
        <f>+DB!H483</f>
        <v>0</v>
      </c>
      <c r="G483">
        <f>+DB!N483</f>
        <v>0</v>
      </c>
      <c r="H483">
        <f>+DB!O483</f>
        <v>0</v>
      </c>
      <c r="I483">
        <f>+DB!I483</f>
        <v>0</v>
      </c>
      <c r="J483">
        <f>+DB!J483</f>
        <v>0</v>
      </c>
      <c r="K483">
        <f>+DB!L483</f>
        <v>0</v>
      </c>
      <c r="L483" t="str">
        <f t="shared" si="22"/>
        <v/>
      </c>
      <c r="M483" t="str">
        <f>+IF(LEFT(DB!M483,3)="13/","CAC","MAD")</f>
        <v>MAD</v>
      </c>
      <c r="N483" t="str">
        <f>+RIGHT(DB!M483,6)</f>
        <v/>
      </c>
      <c r="O483">
        <v>95</v>
      </c>
      <c r="P483">
        <v>5</v>
      </c>
      <c r="Q483">
        <f>+DB!AB483</f>
        <v>0</v>
      </c>
      <c r="R483">
        <f>+DB!K483</f>
        <v>0</v>
      </c>
      <c r="S483">
        <f>+DB!F483</f>
        <v>0</v>
      </c>
      <c r="T483">
        <f>+IF(DB!F483="AAAC-35",1,3)</f>
        <v>3</v>
      </c>
      <c r="U483">
        <f>+DB!R483</f>
        <v>0</v>
      </c>
      <c r="V483">
        <f>+IF(DB!P483="1RI",1,0)+IF(DB!P483="2RI",2,0)</f>
        <v>0</v>
      </c>
      <c r="W483">
        <f>+IF(DB!P483="1RV",1,0)+IF(DB!P483="2RV",2,0)</f>
        <v>0</v>
      </c>
      <c r="X483">
        <f>+IF(DB!P483="RYI",1,0)</f>
        <v>0</v>
      </c>
      <c r="Y483">
        <f>+IF(DB!P483="RYV",1,0)</f>
        <v>0</v>
      </c>
      <c r="Z483">
        <f>+DB!U483</f>
        <v>0</v>
      </c>
      <c r="AA483">
        <f>+IF(DB!F483="AAAC-35",19.5,33)</f>
        <v>33</v>
      </c>
      <c r="AB483">
        <f>+DB!V483</f>
        <v>0</v>
      </c>
      <c r="AC483" t="str">
        <f t="shared" si="23"/>
        <v>56-4</v>
      </c>
      <c r="AD483" s="21" t="s">
        <v>72</v>
      </c>
      <c r="AE483">
        <f>+DB!X483</f>
        <v>0</v>
      </c>
      <c r="AF483" s="22">
        <f>+DB!Y483</f>
        <v>0</v>
      </c>
      <c r="AG483">
        <f>+DB!AK483</f>
        <v>0</v>
      </c>
    </row>
    <row r="484" spans="1:33" x14ac:dyDescent="0.2">
      <c r="A484">
        <f>+DB!C484</f>
        <v>0</v>
      </c>
      <c r="B484">
        <f>+DB!D484</f>
        <v>0</v>
      </c>
      <c r="C484">
        <f>+DB!E484</f>
        <v>0</v>
      </c>
      <c r="D484">
        <f t="shared" si="21"/>
        <v>0</v>
      </c>
      <c r="E484">
        <f>+DB!G484</f>
        <v>0</v>
      </c>
      <c r="F484">
        <f>+DB!H484</f>
        <v>0</v>
      </c>
      <c r="G484">
        <f>+DB!N484</f>
        <v>0</v>
      </c>
      <c r="H484">
        <f>+DB!O484</f>
        <v>0</v>
      </c>
      <c r="I484">
        <f>+DB!I484</f>
        <v>0</v>
      </c>
      <c r="J484">
        <f>+DB!J484</f>
        <v>0</v>
      </c>
      <c r="K484">
        <f>+DB!L484</f>
        <v>0</v>
      </c>
      <c r="L484" t="str">
        <f t="shared" si="22"/>
        <v/>
      </c>
      <c r="M484" t="str">
        <f>+IF(LEFT(DB!M484,3)="13/","CAC","MAD")</f>
        <v>MAD</v>
      </c>
      <c r="N484" t="str">
        <f>+RIGHT(DB!M484,6)</f>
        <v/>
      </c>
      <c r="O484">
        <v>95</v>
      </c>
      <c r="P484">
        <v>5</v>
      </c>
      <c r="Q484">
        <f>+DB!AB484</f>
        <v>0</v>
      </c>
      <c r="R484">
        <f>+DB!K484</f>
        <v>0</v>
      </c>
      <c r="S484">
        <f>+DB!F484</f>
        <v>0</v>
      </c>
      <c r="T484">
        <f>+IF(DB!F484="AAAC-35",1,3)</f>
        <v>3</v>
      </c>
      <c r="U484">
        <f>+DB!R484</f>
        <v>0</v>
      </c>
      <c r="V484">
        <f>+IF(DB!P484="1RI",1,0)+IF(DB!P484="2RI",2,0)</f>
        <v>0</v>
      </c>
      <c r="W484">
        <f>+IF(DB!P484="1RV",1,0)+IF(DB!P484="2RV",2,0)</f>
        <v>0</v>
      </c>
      <c r="X484">
        <f>+IF(DB!P484="RYI",1,0)</f>
        <v>0</v>
      </c>
      <c r="Y484">
        <f>+IF(DB!P484="RYV",1,0)</f>
        <v>0</v>
      </c>
      <c r="Z484">
        <f>+DB!U484</f>
        <v>0</v>
      </c>
      <c r="AA484">
        <f>+IF(DB!F484="AAAC-35",19.5,33)</f>
        <v>33</v>
      </c>
      <c r="AB484">
        <f>+DB!V484</f>
        <v>0</v>
      </c>
      <c r="AC484" t="str">
        <f t="shared" si="23"/>
        <v>56-4</v>
      </c>
      <c r="AD484" s="21" t="s">
        <v>72</v>
      </c>
      <c r="AE484">
        <f>+DB!X484</f>
        <v>0</v>
      </c>
      <c r="AF484" s="22">
        <f>+DB!Y484</f>
        <v>0</v>
      </c>
      <c r="AG484">
        <f>+DB!AK484</f>
        <v>0</v>
      </c>
    </row>
    <row r="485" spans="1:33" x14ac:dyDescent="0.2">
      <c r="A485">
        <f>+DB!C485</f>
        <v>0</v>
      </c>
      <c r="B485">
        <f>+DB!D485</f>
        <v>0</v>
      </c>
      <c r="C485">
        <f>+DB!E485</f>
        <v>0</v>
      </c>
      <c r="D485">
        <f t="shared" si="21"/>
        <v>0</v>
      </c>
      <c r="E485">
        <f>+DB!G485</f>
        <v>0</v>
      </c>
      <c r="F485">
        <f>+DB!H485</f>
        <v>0</v>
      </c>
      <c r="G485">
        <f>+DB!N485</f>
        <v>0</v>
      </c>
      <c r="H485">
        <f>+DB!O485</f>
        <v>0</v>
      </c>
      <c r="I485">
        <f>+DB!I485</f>
        <v>0</v>
      </c>
      <c r="J485">
        <f>+DB!J485</f>
        <v>0</v>
      </c>
      <c r="K485">
        <f>+DB!L485</f>
        <v>0</v>
      </c>
      <c r="L485" t="str">
        <f t="shared" si="22"/>
        <v/>
      </c>
      <c r="M485" t="str">
        <f>+IF(LEFT(DB!M485,3)="13/","CAC","MAD")</f>
        <v>MAD</v>
      </c>
      <c r="N485" t="str">
        <f>+RIGHT(DB!M485,6)</f>
        <v/>
      </c>
      <c r="O485">
        <v>95</v>
      </c>
      <c r="P485">
        <v>5</v>
      </c>
      <c r="Q485">
        <f>+DB!AB485</f>
        <v>0</v>
      </c>
      <c r="R485">
        <f>+DB!K485</f>
        <v>0</v>
      </c>
      <c r="S485">
        <f>+DB!F485</f>
        <v>0</v>
      </c>
      <c r="T485">
        <f>+IF(DB!F485="AAAC-35",1,3)</f>
        <v>3</v>
      </c>
      <c r="U485">
        <f>+DB!R485</f>
        <v>0</v>
      </c>
      <c r="V485">
        <f>+IF(DB!P485="1RI",1,0)+IF(DB!P485="2RI",2,0)</f>
        <v>0</v>
      </c>
      <c r="W485">
        <f>+IF(DB!P485="1RV",1,0)+IF(DB!P485="2RV",2,0)</f>
        <v>0</v>
      </c>
      <c r="X485">
        <f>+IF(DB!P485="RYI",1,0)</f>
        <v>0</v>
      </c>
      <c r="Y485">
        <f>+IF(DB!P485="RYV",1,0)</f>
        <v>0</v>
      </c>
      <c r="Z485">
        <f>+DB!U485</f>
        <v>0</v>
      </c>
      <c r="AA485">
        <f>+IF(DB!F485="AAAC-35",19.5,33)</f>
        <v>33</v>
      </c>
      <c r="AB485">
        <f>+DB!V485</f>
        <v>0</v>
      </c>
      <c r="AC485" t="str">
        <f t="shared" si="23"/>
        <v>56-4</v>
      </c>
      <c r="AD485" s="21" t="s">
        <v>72</v>
      </c>
      <c r="AE485">
        <f>+DB!X485</f>
        <v>0</v>
      </c>
      <c r="AF485" s="22">
        <f>+DB!Y485</f>
        <v>0</v>
      </c>
      <c r="AG485">
        <f>+DB!AK485</f>
        <v>0</v>
      </c>
    </row>
    <row r="486" spans="1:33" x14ac:dyDescent="0.2">
      <c r="A486">
        <f>+DB!C486</f>
        <v>0</v>
      </c>
      <c r="B486">
        <f>+DB!D486</f>
        <v>0</v>
      </c>
      <c r="C486">
        <f>+DB!E486</f>
        <v>0</v>
      </c>
      <c r="D486">
        <f t="shared" si="21"/>
        <v>0</v>
      </c>
      <c r="E486">
        <f>+DB!G486</f>
        <v>0</v>
      </c>
      <c r="F486">
        <f>+DB!H486</f>
        <v>0</v>
      </c>
      <c r="G486">
        <f>+DB!N486</f>
        <v>0</v>
      </c>
      <c r="H486">
        <f>+DB!O486</f>
        <v>0</v>
      </c>
      <c r="I486">
        <f>+DB!I486</f>
        <v>0</v>
      </c>
      <c r="J486">
        <f>+DB!J486</f>
        <v>0</v>
      </c>
      <c r="K486">
        <f>+DB!L486</f>
        <v>0</v>
      </c>
      <c r="L486" t="str">
        <f t="shared" si="22"/>
        <v/>
      </c>
      <c r="M486" t="str">
        <f>+IF(LEFT(DB!M486,3)="13/","CAC","MAD")</f>
        <v>MAD</v>
      </c>
      <c r="N486" t="str">
        <f>+RIGHT(DB!M486,6)</f>
        <v/>
      </c>
      <c r="O486">
        <v>95</v>
      </c>
      <c r="P486">
        <v>5</v>
      </c>
      <c r="Q486">
        <f>+DB!AB486</f>
        <v>0</v>
      </c>
      <c r="R486">
        <f>+DB!K486</f>
        <v>0</v>
      </c>
      <c r="S486">
        <f>+DB!F486</f>
        <v>0</v>
      </c>
      <c r="T486">
        <f>+IF(DB!F486="AAAC-35",1,3)</f>
        <v>3</v>
      </c>
      <c r="U486">
        <f>+DB!R486</f>
        <v>0</v>
      </c>
      <c r="V486">
        <f>+IF(DB!P486="1RI",1,0)+IF(DB!P486="2RI",2,0)</f>
        <v>0</v>
      </c>
      <c r="W486">
        <f>+IF(DB!P486="1RV",1,0)+IF(DB!P486="2RV",2,0)</f>
        <v>0</v>
      </c>
      <c r="X486">
        <f>+IF(DB!P486="RYI",1,0)</f>
        <v>0</v>
      </c>
      <c r="Y486">
        <f>+IF(DB!P486="RYV",1,0)</f>
        <v>0</v>
      </c>
      <c r="Z486">
        <f>+DB!U486</f>
        <v>0</v>
      </c>
      <c r="AA486">
        <f>+IF(DB!F486="AAAC-35",19.5,33)</f>
        <v>33</v>
      </c>
      <c r="AB486">
        <f>+DB!V486</f>
        <v>0</v>
      </c>
      <c r="AC486" t="str">
        <f t="shared" si="23"/>
        <v>56-4</v>
      </c>
      <c r="AD486" s="21" t="s">
        <v>72</v>
      </c>
      <c r="AE486">
        <f>+DB!X486</f>
        <v>0</v>
      </c>
      <c r="AF486" s="22">
        <f>+DB!Y486</f>
        <v>0</v>
      </c>
      <c r="AG486">
        <f>+DB!AK486</f>
        <v>0</v>
      </c>
    </row>
    <row r="487" spans="1:33" x14ac:dyDescent="0.2">
      <c r="A487">
        <f>+DB!C487</f>
        <v>0</v>
      </c>
      <c r="B487">
        <f>+DB!D487</f>
        <v>0</v>
      </c>
      <c r="C487">
        <f>+DB!E487</f>
        <v>0</v>
      </c>
      <c r="D487">
        <f t="shared" si="21"/>
        <v>0</v>
      </c>
      <c r="E487">
        <f>+DB!G487</f>
        <v>0</v>
      </c>
      <c r="F487">
        <f>+DB!H487</f>
        <v>0</v>
      </c>
      <c r="G487">
        <f>+DB!N487</f>
        <v>0</v>
      </c>
      <c r="H487">
        <f>+DB!O487</f>
        <v>0</v>
      </c>
      <c r="I487">
        <f>+DB!I487</f>
        <v>0</v>
      </c>
      <c r="J487">
        <f>+DB!J487</f>
        <v>0</v>
      </c>
      <c r="K487">
        <f>+DB!L487</f>
        <v>0</v>
      </c>
      <c r="L487" t="str">
        <f t="shared" si="22"/>
        <v/>
      </c>
      <c r="M487" t="str">
        <f>+IF(LEFT(DB!M487,3)="13/","CAC","MAD")</f>
        <v>MAD</v>
      </c>
      <c r="N487" t="str">
        <f>+RIGHT(DB!M487,6)</f>
        <v/>
      </c>
      <c r="O487">
        <v>95</v>
      </c>
      <c r="P487">
        <v>5</v>
      </c>
      <c r="Q487">
        <f>+DB!AB487</f>
        <v>0</v>
      </c>
      <c r="R487">
        <f>+DB!K487</f>
        <v>0</v>
      </c>
      <c r="S487">
        <f>+DB!F487</f>
        <v>0</v>
      </c>
      <c r="T487">
        <f>+IF(DB!F487="AAAC-35",1,3)</f>
        <v>3</v>
      </c>
      <c r="U487">
        <f>+DB!R487</f>
        <v>0</v>
      </c>
      <c r="V487">
        <f>+IF(DB!P487="1RI",1,0)+IF(DB!P487="2RI",2,0)</f>
        <v>0</v>
      </c>
      <c r="W487">
        <f>+IF(DB!P487="1RV",1,0)+IF(DB!P487="2RV",2,0)</f>
        <v>0</v>
      </c>
      <c r="X487">
        <f>+IF(DB!P487="RYI",1,0)</f>
        <v>0</v>
      </c>
      <c r="Y487">
        <f>+IF(DB!P487="RYV",1,0)</f>
        <v>0</v>
      </c>
      <c r="Z487">
        <f>+DB!U487</f>
        <v>0</v>
      </c>
      <c r="AA487">
        <f>+IF(DB!F487="AAAC-35",19.5,33)</f>
        <v>33</v>
      </c>
      <c r="AB487">
        <f>+DB!V487</f>
        <v>0</v>
      </c>
      <c r="AC487" t="str">
        <f t="shared" si="23"/>
        <v>56-4</v>
      </c>
      <c r="AD487" s="21" t="s">
        <v>72</v>
      </c>
      <c r="AE487">
        <f>+DB!X487</f>
        <v>0</v>
      </c>
      <c r="AF487" s="22">
        <f>+DB!Y487</f>
        <v>0</v>
      </c>
      <c r="AG487">
        <f>+DB!AK487</f>
        <v>0</v>
      </c>
    </row>
    <row r="488" spans="1:33" x14ac:dyDescent="0.2">
      <c r="A488">
        <f>+DB!C488</f>
        <v>0</v>
      </c>
      <c r="B488">
        <f>+DB!D488</f>
        <v>0</v>
      </c>
      <c r="C488">
        <f>+DB!E488</f>
        <v>0</v>
      </c>
      <c r="D488">
        <f t="shared" si="21"/>
        <v>0</v>
      </c>
      <c r="E488">
        <f>+DB!G488</f>
        <v>0</v>
      </c>
      <c r="F488">
        <f>+DB!H488</f>
        <v>0</v>
      </c>
      <c r="G488">
        <f>+DB!N488</f>
        <v>0</v>
      </c>
      <c r="H488">
        <f>+DB!O488</f>
        <v>0</v>
      </c>
      <c r="I488">
        <f>+DB!I488</f>
        <v>0</v>
      </c>
      <c r="J488">
        <f>+DB!J488</f>
        <v>0</v>
      </c>
      <c r="K488">
        <f>+DB!L488</f>
        <v>0</v>
      </c>
      <c r="L488" t="str">
        <f t="shared" si="22"/>
        <v/>
      </c>
      <c r="M488" t="str">
        <f>+IF(LEFT(DB!M488,3)="13/","CAC","MAD")</f>
        <v>MAD</v>
      </c>
      <c r="N488" t="str">
        <f>+RIGHT(DB!M488,6)</f>
        <v/>
      </c>
      <c r="O488">
        <v>95</v>
      </c>
      <c r="P488">
        <v>5</v>
      </c>
      <c r="Q488">
        <f>+DB!AB488</f>
        <v>0</v>
      </c>
      <c r="R488">
        <f>+DB!K488</f>
        <v>0</v>
      </c>
      <c r="S488">
        <f>+DB!F488</f>
        <v>0</v>
      </c>
      <c r="T488">
        <f>+IF(DB!F488="AAAC-35",1,3)</f>
        <v>3</v>
      </c>
      <c r="U488">
        <f>+DB!R488</f>
        <v>0</v>
      </c>
      <c r="V488">
        <f>+IF(DB!P488="1RI",1,0)+IF(DB!P488="2RI",2,0)</f>
        <v>0</v>
      </c>
      <c r="W488">
        <f>+IF(DB!P488="1RV",1,0)+IF(DB!P488="2RV",2,0)</f>
        <v>0</v>
      </c>
      <c r="X488">
        <f>+IF(DB!P488="RYI",1,0)</f>
        <v>0</v>
      </c>
      <c r="Y488">
        <f>+IF(DB!P488="RYV",1,0)</f>
        <v>0</v>
      </c>
      <c r="Z488">
        <f>+DB!U488</f>
        <v>0</v>
      </c>
      <c r="AA488">
        <f>+IF(DB!F488="AAAC-35",19.5,33)</f>
        <v>33</v>
      </c>
      <c r="AB488">
        <f>+DB!V488</f>
        <v>0</v>
      </c>
      <c r="AC488" t="str">
        <f t="shared" si="23"/>
        <v>56-4</v>
      </c>
      <c r="AD488" s="21" t="s">
        <v>72</v>
      </c>
      <c r="AE488">
        <f>+DB!X488</f>
        <v>0</v>
      </c>
      <c r="AF488" s="22">
        <f>+DB!Y488</f>
        <v>0</v>
      </c>
      <c r="AG488">
        <f>+DB!AK488</f>
        <v>0</v>
      </c>
    </row>
    <row r="489" spans="1:33" x14ac:dyDescent="0.2">
      <c r="A489">
        <f>+DB!C489</f>
        <v>0</v>
      </c>
      <c r="B489">
        <f>+DB!D489</f>
        <v>0</v>
      </c>
      <c r="C489">
        <f>+DB!E489</f>
        <v>0</v>
      </c>
      <c r="D489">
        <f t="shared" si="21"/>
        <v>0</v>
      </c>
      <c r="E489">
        <f>+DB!G489</f>
        <v>0</v>
      </c>
      <c r="F489">
        <f>+DB!H489</f>
        <v>0</v>
      </c>
      <c r="G489">
        <f>+DB!N489</f>
        <v>0</v>
      </c>
      <c r="H489">
        <f>+DB!O489</f>
        <v>0</v>
      </c>
      <c r="I489">
        <f>+DB!I489</f>
        <v>0</v>
      </c>
      <c r="J489">
        <f>+DB!J489</f>
        <v>0</v>
      </c>
      <c r="K489">
        <f>+DB!L489</f>
        <v>0</v>
      </c>
      <c r="L489" t="str">
        <f t="shared" si="22"/>
        <v/>
      </c>
      <c r="M489" t="str">
        <f>+IF(LEFT(DB!M489,3)="13/","CAC","MAD")</f>
        <v>MAD</v>
      </c>
      <c r="N489" t="str">
        <f>+RIGHT(DB!M489,6)</f>
        <v/>
      </c>
      <c r="O489">
        <v>95</v>
      </c>
      <c r="P489">
        <v>5</v>
      </c>
      <c r="Q489">
        <f>+DB!AB489</f>
        <v>0</v>
      </c>
      <c r="R489">
        <f>+DB!K489</f>
        <v>0</v>
      </c>
      <c r="S489">
        <f>+DB!F489</f>
        <v>0</v>
      </c>
      <c r="T489">
        <f>+IF(DB!F489="AAAC-35",1,3)</f>
        <v>3</v>
      </c>
      <c r="U489">
        <f>+DB!R489</f>
        <v>0</v>
      </c>
      <c r="V489">
        <f>+IF(DB!P489="1RI",1,0)+IF(DB!P489="2RI",2,0)</f>
        <v>0</v>
      </c>
      <c r="W489">
        <f>+IF(DB!P489="1RV",1,0)+IF(DB!P489="2RV",2,0)</f>
        <v>0</v>
      </c>
      <c r="X489">
        <f>+IF(DB!P489="RYI",1,0)</f>
        <v>0</v>
      </c>
      <c r="Y489">
        <f>+IF(DB!P489="RYV",1,0)</f>
        <v>0</v>
      </c>
      <c r="Z489">
        <f>+DB!U489</f>
        <v>0</v>
      </c>
      <c r="AA489">
        <f>+IF(DB!F489="AAAC-35",19.5,33)</f>
        <v>33</v>
      </c>
      <c r="AB489">
        <f>+DB!V489</f>
        <v>0</v>
      </c>
      <c r="AC489" t="str">
        <f t="shared" si="23"/>
        <v>56-4</v>
      </c>
      <c r="AD489" s="21" t="s">
        <v>72</v>
      </c>
      <c r="AE489">
        <f>+DB!X489</f>
        <v>0</v>
      </c>
      <c r="AF489" s="22">
        <f>+DB!Y489</f>
        <v>0</v>
      </c>
      <c r="AG489">
        <f>+DB!AK489</f>
        <v>0</v>
      </c>
    </row>
    <row r="490" spans="1:33" x14ac:dyDescent="0.2">
      <c r="A490">
        <f>+DB!C490</f>
        <v>0</v>
      </c>
      <c r="B490">
        <f>+DB!D490</f>
        <v>0</v>
      </c>
      <c r="C490">
        <f>+DB!E490</f>
        <v>0</v>
      </c>
      <c r="D490">
        <f t="shared" si="21"/>
        <v>0</v>
      </c>
      <c r="E490">
        <f>+DB!G490</f>
        <v>0</v>
      </c>
      <c r="F490">
        <f>+DB!H490</f>
        <v>0</v>
      </c>
      <c r="G490">
        <f>+DB!N490</f>
        <v>0</v>
      </c>
      <c r="H490">
        <f>+DB!O490</f>
        <v>0</v>
      </c>
      <c r="I490">
        <f>+DB!I490</f>
        <v>0</v>
      </c>
      <c r="J490">
        <f>+DB!J490</f>
        <v>0</v>
      </c>
      <c r="K490">
        <f>+DB!L490</f>
        <v>0</v>
      </c>
      <c r="L490" t="str">
        <f t="shared" si="22"/>
        <v/>
      </c>
      <c r="M490" t="str">
        <f>+IF(LEFT(DB!M490,3)="13/","CAC","MAD")</f>
        <v>MAD</v>
      </c>
      <c r="N490" t="str">
        <f>+RIGHT(DB!M490,6)</f>
        <v/>
      </c>
      <c r="O490">
        <v>95</v>
      </c>
      <c r="P490">
        <v>5</v>
      </c>
      <c r="Q490">
        <f>+DB!AB490</f>
        <v>0</v>
      </c>
      <c r="R490">
        <f>+DB!K490</f>
        <v>0</v>
      </c>
      <c r="S490">
        <f>+DB!F490</f>
        <v>0</v>
      </c>
      <c r="T490">
        <f>+IF(DB!F490="AAAC-35",1,3)</f>
        <v>3</v>
      </c>
      <c r="U490">
        <f>+DB!R490</f>
        <v>0</v>
      </c>
      <c r="V490">
        <f>+IF(DB!P490="1RI",1,0)+IF(DB!P490="2RI",2,0)</f>
        <v>0</v>
      </c>
      <c r="W490">
        <f>+IF(DB!P490="1RV",1,0)+IF(DB!P490="2RV",2,0)</f>
        <v>0</v>
      </c>
      <c r="X490">
        <f>+IF(DB!P490="RYI",1,0)</f>
        <v>0</v>
      </c>
      <c r="Y490">
        <f>+IF(DB!P490="RYV",1,0)</f>
        <v>0</v>
      </c>
      <c r="Z490">
        <f>+DB!U490</f>
        <v>0</v>
      </c>
      <c r="AA490">
        <f>+IF(DB!F490="AAAC-35",19.5,33)</f>
        <v>33</v>
      </c>
      <c r="AB490">
        <f>+DB!V490</f>
        <v>0</v>
      </c>
      <c r="AC490" t="str">
        <f t="shared" si="23"/>
        <v>56-4</v>
      </c>
      <c r="AD490" s="21" t="s">
        <v>72</v>
      </c>
      <c r="AE490">
        <f>+DB!X490</f>
        <v>0</v>
      </c>
      <c r="AF490" s="22">
        <f>+DB!Y490</f>
        <v>0</v>
      </c>
      <c r="AG490">
        <f>+DB!AK490</f>
        <v>0</v>
      </c>
    </row>
    <row r="491" spans="1:33" x14ac:dyDescent="0.2">
      <c r="A491">
        <f>+DB!C491</f>
        <v>0</v>
      </c>
      <c r="B491">
        <f>+DB!D491</f>
        <v>0</v>
      </c>
      <c r="C491">
        <f>+DB!E491</f>
        <v>0</v>
      </c>
      <c r="D491">
        <f t="shared" si="21"/>
        <v>0</v>
      </c>
      <c r="E491">
        <f>+DB!G491</f>
        <v>0</v>
      </c>
      <c r="F491">
        <f>+DB!H491</f>
        <v>0</v>
      </c>
      <c r="G491">
        <f>+DB!N491</f>
        <v>0</v>
      </c>
      <c r="H491">
        <f>+DB!O491</f>
        <v>0</v>
      </c>
      <c r="I491">
        <f>+DB!I491</f>
        <v>0</v>
      </c>
      <c r="J491">
        <f>+DB!J491</f>
        <v>0</v>
      </c>
      <c r="K491">
        <f>+DB!L491</f>
        <v>0</v>
      </c>
      <c r="L491" t="str">
        <f t="shared" si="22"/>
        <v/>
      </c>
      <c r="M491" t="str">
        <f>+IF(LEFT(DB!M491,3)="13/","CAC","MAD")</f>
        <v>MAD</v>
      </c>
      <c r="N491" t="str">
        <f>+RIGHT(DB!M491,6)</f>
        <v/>
      </c>
      <c r="O491">
        <v>95</v>
      </c>
      <c r="P491">
        <v>5</v>
      </c>
      <c r="Q491">
        <f>+DB!AB491</f>
        <v>0</v>
      </c>
      <c r="R491">
        <f>+DB!K491</f>
        <v>0</v>
      </c>
      <c r="S491">
        <f>+DB!F491</f>
        <v>0</v>
      </c>
      <c r="T491">
        <f>+IF(DB!F491="AAAC-35",1,3)</f>
        <v>3</v>
      </c>
      <c r="U491">
        <f>+DB!R491</f>
        <v>0</v>
      </c>
      <c r="V491">
        <f>+IF(DB!P491="1RI",1,0)+IF(DB!P491="2RI",2,0)</f>
        <v>0</v>
      </c>
      <c r="W491">
        <f>+IF(DB!P491="1RV",1,0)+IF(DB!P491="2RV",2,0)</f>
        <v>0</v>
      </c>
      <c r="X491">
        <f>+IF(DB!P491="RYI",1,0)</f>
        <v>0</v>
      </c>
      <c r="Y491">
        <f>+IF(DB!P491="RYV",1,0)</f>
        <v>0</v>
      </c>
      <c r="Z491">
        <f>+DB!U491</f>
        <v>0</v>
      </c>
      <c r="AA491">
        <f>+IF(DB!F491="AAAC-35",19.5,33)</f>
        <v>33</v>
      </c>
      <c r="AB491">
        <f>+DB!V491</f>
        <v>0</v>
      </c>
      <c r="AC491" t="str">
        <f t="shared" si="23"/>
        <v>56-4</v>
      </c>
      <c r="AD491" s="21" t="s">
        <v>72</v>
      </c>
      <c r="AE491">
        <f>+DB!X491</f>
        <v>0</v>
      </c>
      <c r="AF491" s="22">
        <f>+DB!Y491</f>
        <v>0</v>
      </c>
      <c r="AG491">
        <f>+DB!AK491</f>
        <v>0</v>
      </c>
    </row>
    <row r="492" spans="1:33" x14ac:dyDescent="0.2">
      <c r="A492">
        <f>+DB!C492</f>
        <v>0</v>
      </c>
      <c r="B492">
        <f>+DB!D492</f>
        <v>0</v>
      </c>
      <c r="C492">
        <f>+DB!E492</f>
        <v>0</v>
      </c>
      <c r="D492">
        <f t="shared" si="21"/>
        <v>0</v>
      </c>
      <c r="E492">
        <f>+DB!G492</f>
        <v>0</v>
      </c>
      <c r="F492">
        <f>+DB!H492</f>
        <v>0</v>
      </c>
      <c r="G492">
        <f>+DB!N492</f>
        <v>0</v>
      </c>
      <c r="H492">
        <f>+DB!O492</f>
        <v>0</v>
      </c>
      <c r="I492">
        <f>+DB!I492</f>
        <v>0</v>
      </c>
      <c r="J492">
        <f>+DB!J492</f>
        <v>0</v>
      </c>
      <c r="K492">
        <f>+DB!L492</f>
        <v>0</v>
      </c>
      <c r="L492" t="str">
        <f t="shared" si="22"/>
        <v/>
      </c>
      <c r="M492" t="str">
        <f>+IF(LEFT(DB!M492,3)="13/","CAC","MAD")</f>
        <v>MAD</v>
      </c>
      <c r="N492" t="str">
        <f>+RIGHT(DB!M492,6)</f>
        <v/>
      </c>
      <c r="O492">
        <v>95</v>
      </c>
      <c r="P492">
        <v>5</v>
      </c>
      <c r="Q492">
        <f>+DB!AB492</f>
        <v>0</v>
      </c>
      <c r="R492">
        <f>+DB!K492</f>
        <v>0</v>
      </c>
      <c r="S492">
        <f>+DB!F492</f>
        <v>0</v>
      </c>
      <c r="T492">
        <f>+IF(DB!F492="AAAC-35",1,3)</f>
        <v>3</v>
      </c>
      <c r="U492">
        <f>+DB!R492</f>
        <v>0</v>
      </c>
      <c r="V492">
        <f>+IF(DB!P492="1RI",1,0)+IF(DB!P492="2RI",2,0)</f>
        <v>0</v>
      </c>
      <c r="W492">
        <f>+IF(DB!P492="1RV",1,0)+IF(DB!P492="2RV",2,0)</f>
        <v>0</v>
      </c>
      <c r="X492">
        <f>+IF(DB!P492="RYI",1,0)</f>
        <v>0</v>
      </c>
      <c r="Y492">
        <f>+IF(DB!P492="RYV",1,0)</f>
        <v>0</v>
      </c>
      <c r="Z492">
        <f>+DB!U492</f>
        <v>0</v>
      </c>
      <c r="AA492">
        <f>+IF(DB!F492="AAAC-35",19.5,33)</f>
        <v>33</v>
      </c>
      <c r="AB492">
        <f>+DB!V492</f>
        <v>0</v>
      </c>
      <c r="AC492" t="str">
        <f t="shared" si="23"/>
        <v>56-4</v>
      </c>
      <c r="AD492" s="21" t="s">
        <v>72</v>
      </c>
      <c r="AE492">
        <f>+DB!X492</f>
        <v>0</v>
      </c>
      <c r="AF492" s="22">
        <f>+DB!Y492</f>
        <v>0</v>
      </c>
      <c r="AG492">
        <f>+DB!AK492</f>
        <v>0</v>
      </c>
    </row>
    <row r="493" spans="1:33" x14ac:dyDescent="0.2">
      <c r="A493">
        <f>+DB!C493</f>
        <v>0</v>
      </c>
      <c r="B493">
        <f>+DB!D493</f>
        <v>0</v>
      </c>
      <c r="C493">
        <f>+DB!E493</f>
        <v>0</v>
      </c>
      <c r="D493">
        <f t="shared" si="21"/>
        <v>0</v>
      </c>
      <c r="E493">
        <f>+DB!G493</f>
        <v>0</v>
      </c>
      <c r="F493">
        <f>+DB!H493</f>
        <v>0</v>
      </c>
      <c r="G493">
        <f>+DB!N493</f>
        <v>0</v>
      </c>
      <c r="H493">
        <f>+DB!O493</f>
        <v>0</v>
      </c>
      <c r="I493">
        <f>+DB!I493</f>
        <v>0</v>
      </c>
      <c r="J493">
        <f>+DB!J493</f>
        <v>0</v>
      </c>
      <c r="K493">
        <f>+DB!L493</f>
        <v>0</v>
      </c>
      <c r="L493" t="str">
        <f t="shared" si="22"/>
        <v/>
      </c>
      <c r="M493" t="str">
        <f>+IF(LEFT(DB!M493,3)="13/","CAC","MAD")</f>
        <v>MAD</v>
      </c>
      <c r="N493" t="str">
        <f>+RIGHT(DB!M493,6)</f>
        <v/>
      </c>
      <c r="O493">
        <v>95</v>
      </c>
      <c r="P493">
        <v>5</v>
      </c>
      <c r="Q493">
        <f>+DB!AB493</f>
        <v>0</v>
      </c>
      <c r="R493">
        <f>+DB!K493</f>
        <v>0</v>
      </c>
      <c r="S493">
        <f>+DB!F493</f>
        <v>0</v>
      </c>
      <c r="T493">
        <f>+IF(DB!F493="AAAC-35",1,3)</f>
        <v>3</v>
      </c>
      <c r="U493">
        <f>+DB!R493</f>
        <v>0</v>
      </c>
      <c r="V493">
        <f>+IF(DB!P493="1RI",1,0)+IF(DB!P493="2RI",2,0)</f>
        <v>0</v>
      </c>
      <c r="W493">
        <f>+IF(DB!P493="1RV",1,0)+IF(DB!P493="2RV",2,0)</f>
        <v>0</v>
      </c>
      <c r="X493">
        <f>+IF(DB!P493="RYI",1,0)</f>
        <v>0</v>
      </c>
      <c r="Y493">
        <f>+IF(DB!P493="RYV",1,0)</f>
        <v>0</v>
      </c>
      <c r="Z493">
        <f>+DB!U493</f>
        <v>0</v>
      </c>
      <c r="AA493">
        <f>+IF(DB!F493="AAAC-35",19.5,33)</f>
        <v>33</v>
      </c>
      <c r="AB493">
        <f>+DB!V493</f>
        <v>0</v>
      </c>
      <c r="AC493" t="str">
        <f t="shared" si="23"/>
        <v>56-4</v>
      </c>
      <c r="AD493" s="21" t="s">
        <v>72</v>
      </c>
      <c r="AE493">
        <f>+DB!X493</f>
        <v>0</v>
      </c>
      <c r="AF493" s="22">
        <f>+DB!Y493</f>
        <v>0</v>
      </c>
      <c r="AG493">
        <f>+DB!AK493</f>
        <v>0</v>
      </c>
    </row>
    <row r="494" spans="1:33" x14ac:dyDescent="0.2">
      <c r="A494">
        <f>+DB!C494</f>
        <v>0</v>
      </c>
      <c r="B494">
        <f>+DB!D494</f>
        <v>0</v>
      </c>
      <c r="C494">
        <f>+DB!E494</f>
        <v>0</v>
      </c>
      <c r="D494">
        <f t="shared" si="21"/>
        <v>0</v>
      </c>
      <c r="E494">
        <f>+DB!G494</f>
        <v>0</v>
      </c>
      <c r="F494">
        <f>+DB!H494</f>
        <v>0</v>
      </c>
      <c r="G494">
        <f>+DB!N494</f>
        <v>0</v>
      </c>
      <c r="H494">
        <f>+DB!O494</f>
        <v>0</v>
      </c>
      <c r="I494">
        <f>+DB!I494</f>
        <v>0</v>
      </c>
      <c r="J494">
        <f>+DB!J494</f>
        <v>0</v>
      </c>
      <c r="K494">
        <f>+DB!L494</f>
        <v>0</v>
      </c>
      <c r="L494" t="str">
        <f t="shared" si="22"/>
        <v/>
      </c>
      <c r="M494" t="str">
        <f>+IF(LEFT(DB!M494,3)="13/","CAC","MAD")</f>
        <v>MAD</v>
      </c>
      <c r="N494" t="str">
        <f>+RIGHT(DB!M494,6)</f>
        <v/>
      </c>
      <c r="O494">
        <v>95</v>
      </c>
      <c r="P494">
        <v>5</v>
      </c>
      <c r="Q494">
        <f>+DB!AB494</f>
        <v>0</v>
      </c>
      <c r="R494">
        <f>+DB!K494</f>
        <v>0</v>
      </c>
      <c r="S494">
        <f>+DB!F494</f>
        <v>0</v>
      </c>
      <c r="T494">
        <f>+IF(DB!F494="AAAC-35",1,3)</f>
        <v>3</v>
      </c>
      <c r="U494">
        <f>+DB!R494</f>
        <v>0</v>
      </c>
      <c r="V494">
        <f>+IF(DB!P494="1RI",1,0)+IF(DB!P494="2RI",2,0)</f>
        <v>0</v>
      </c>
      <c r="W494">
        <f>+IF(DB!P494="1RV",1,0)+IF(DB!P494="2RV",2,0)</f>
        <v>0</v>
      </c>
      <c r="X494">
        <f>+IF(DB!P494="RYI",1,0)</f>
        <v>0</v>
      </c>
      <c r="Y494">
        <f>+IF(DB!P494="RYV",1,0)</f>
        <v>0</v>
      </c>
      <c r="Z494">
        <f>+DB!U494</f>
        <v>0</v>
      </c>
      <c r="AA494">
        <f>+IF(DB!F494="AAAC-35",19.5,33)</f>
        <v>33</v>
      </c>
      <c r="AB494">
        <f>+DB!V494</f>
        <v>0</v>
      </c>
      <c r="AC494" t="str">
        <f t="shared" si="23"/>
        <v>56-4</v>
      </c>
      <c r="AD494" s="21" t="s">
        <v>72</v>
      </c>
      <c r="AE494">
        <f>+DB!X494</f>
        <v>0</v>
      </c>
      <c r="AF494" s="22">
        <f>+DB!Y494</f>
        <v>0</v>
      </c>
      <c r="AG494">
        <f>+DB!AK494</f>
        <v>0</v>
      </c>
    </row>
    <row r="495" spans="1:33" x14ac:dyDescent="0.2">
      <c r="A495">
        <f>+DB!C495</f>
        <v>0</v>
      </c>
      <c r="B495">
        <f>+DB!D495</f>
        <v>0</v>
      </c>
      <c r="C495">
        <f>+DB!E495</f>
        <v>0</v>
      </c>
      <c r="D495">
        <f t="shared" si="21"/>
        <v>0</v>
      </c>
      <c r="E495">
        <f>+DB!G495</f>
        <v>0</v>
      </c>
      <c r="F495">
        <f>+DB!H495</f>
        <v>0</v>
      </c>
      <c r="G495">
        <f>+DB!N495</f>
        <v>0</v>
      </c>
      <c r="H495">
        <f>+DB!O495</f>
        <v>0</v>
      </c>
      <c r="I495">
        <f>+DB!I495</f>
        <v>0</v>
      </c>
      <c r="J495">
        <f>+DB!J495</f>
        <v>0</v>
      </c>
      <c r="K495">
        <f>+DB!L495</f>
        <v>0</v>
      </c>
      <c r="L495" t="str">
        <f t="shared" si="22"/>
        <v/>
      </c>
      <c r="M495" t="str">
        <f>+IF(LEFT(DB!M495,3)="13/","CAC","MAD")</f>
        <v>MAD</v>
      </c>
      <c r="N495" t="str">
        <f>+RIGHT(DB!M495,6)</f>
        <v/>
      </c>
      <c r="O495">
        <v>95</v>
      </c>
      <c r="P495">
        <v>5</v>
      </c>
      <c r="Q495">
        <f>+DB!AB495</f>
        <v>0</v>
      </c>
      <c r="R495">
        <f>+DB!K495</f>
        <v>0</v>
      </c>
      <c r="S495">
        <f>+DB!F495</f>
        <v>0</v>
      </c>
      <c r="T495">
        <f>+IF(DB!F495="AAAC-35",1,3)</f>
        <v>3</v>
      </c>
      <c r="U495">
        <f>+DB!R495</f>
        <v>0</v>
      </c>
      <c r="V495">
        <f>+IF(DB!P495="1RI",1,0)+IF(DB!P495="2RI",2,0)</f>
        <v>0</v>
      </c>
      <c r="W495">
        <f>+IF(DB!P495="1RV",1,0)+IF(DB!P495="2RV",2,0)</f>
        <v>0</v>
      </c>
      <c r="X495">
        <f>+IF(DB!P495="RYI",1,0)</f>
        <v>0</v>
      </c>
      <c r="Y495">
        <f>+IF(DB!P495="RYV",1,0)</f>
        <v>0</v>
      </c>
      <c r="Z495">
        <f>+DB!U495</f>
        <v>0</v>
      </c>
      <c r="AA495">
        <f>+IF(DB!F495="AAAC-35",19.5,33)</f>
        <v>33</v>
      </c>
      <c r="AB495">
        <f>+DB!V495</f>
        <v>0</v>
      </c>
      <c r="AC495" t="str">
        <f t="shared" si="23"/>
        <v>56-4</v>
      </c>
      <c r="AD495" s="21" t="s">
        <v>72</v>
      </c>
      <c r="AE495">
        <f>+DB!X495</f>
        <v>0</v>
      </c>
      <c r="AF495" s="22">
        <f>+DB!Y495</f>
        <v>0</v>
      </c>
      <c r="AG495">
        <f>+DB!AK495</f>
        <v>0</v>
      </c>
    </row>
    <row r="496" spans="1:33" x14ac:dyDescent="0.2">
      <c r="A496">
        <f>+DB!C496</f>
        <v>0</v>
      </c>
      <c r="B496">
        <f>+DB!D496</f>
        <v>0</v>
      </c>
      <c r="C496">
        <f>+DB!E496</f>
        <v>0</v>
      </c>
      <c r="D496">
        <f t="shared" si="21"/>
        <v>0</v>
      </c>
      <c r="E496">
        <f>+DB!G496</f>
        <v>0</v>
      </c>
      <c r="F496">
        <f>+DB!H496</f>
        <v>0</v>
      </c>
      <c r="G496">
        <f>+DB!N496</f>
        <v>0</v>
      </c>
      <c r="H496">
        <f>+DB!O496</f>
        <v>0</v>
      </c>
      <c r="I496">
        <f>+DB!I496</f>
        <v>0</v>
      </c>
      <c r="J496">
        <f>+DB!J496</f>
        <v>0</v>
      </c>
      <c r="K496">
        <f>+DB!L496</f>
        <v>0</v>
      </c>
      <c r="L496" t="str">
        <f t="shared" si="22"/>
        <v/>
      </c>
      <c r="M496" t="str">
        <f>+IF(LEFT(DB!M496,3)="13/","CAC","MAD")</f>
        <v>MAD</v>
      </c>
      <c r="N496" t="str">
        <f>+RIGHT(DB!M496,6)</f>
        <v/>
      </c>
      <c r="O496">
        <v>95</v>
      </c>
      <c r="P496">
        <v>5</v>
      </c>
      <c r="Q496">
        <f>+DB!AB496</f>
        <v>0</v>
      </c>
      <c r="R496">
        <f>+DB!K496</f>
        <v>0</v>
      </c>
      <c r="S496">
        <f>+DB!F496</f>
        <v>0</v>
      </c>
      <c r="T496">
        <f>+IF(DB!F496="AAAC-35",1,3)</f>
        <v>3</v>
      </c>
      <c r="U496">
        <f>+DB!R496</f>
        <v>0</v>
      </c>
      <c r="V496">
        <f>+IF(DB!P496="1RI",1,0)+IF(DB!P496="2RI",2,0)</f>
        <v>0</v>
      </c>
      <c r="W496">
        <f>+IF(DB!P496="1RV",1,0)+IF(DB!P496="2RV",2,0)</f>
        <v>0</v>
      </c>
      <c r="X496">
        <f>+IF(DB!P496="RYI",1,0)</f>
        <v>0</v>
      </c>
      <c r="Y496">
        <f>+IF(DB!P496="RYV",1,0)</f>
        <v>0</v>
      </c>
      <c r="Z496">
        <f>+DB!U496</f>
        <v>0</v>
      </c>
      <c r="AA496">
        <f>+IF(DB!F496="AAAC-35",19.5,33)</f>
        <v>33</v>
      </c>
      <c r="AB496">
        <f>+DB!V496</f>
        <v>0</v>
      </c>
      <c r="AC496" t="str">
        <f t="shared" si="23"/>
        <v>56-4</v>
      </c>
      <c r="AD496" s="21" t="s">
        <v>72</v>
      </c>
      <c r="AE496">
        <f>+DB!X496</f>
        <v>0</v>
      </c>
      <c r="AF496" s="22">
        <f>+DB!Y496</f>
        <v>0</v>
      </c>
      <c r="AG496">
        <f>+DB!AK496</f>
        <v>0</v>
      </c>
    </row>
    <row r="497" spans="1:33" x14ac:dyDescent="0.2">
      <c r="A497">
        <f>+DB!C497</f>
        <v>0</v>
      </c>
      <c r="B497">
        <f>+DB!D497</f>
        <v>0</v>
      </c>
      <c r="C497">
        <f>+DB!E497</f>
        <v>0</v>
      </c>
      <c r="D497">
        <f t="shared" si="21"/>
        <v>0</v>
      </c>
      <c r="E497">
        <f>+DB!G497</f>
        <v>0</v>
      </c>
      <c r="F497">
        <f>+DB!H497</f>
        <v>0</v>
      </c>
      <c r="G497">
        <f>+DB!N497</f>
        <v>0</v>
      </c>
      <c r="H497">
        <f>+DB!O497</f>
        <v>0</v>
      </c>
      <c r="I497">
        <f>+DB!I497</f>
        <v>0</v>
      </c>
      <c r="J497">
        <f>+DB!J497</f>
        <v>0</v>
      </c>
      <c r="K497">
        <f>+DB!L497</f>
        <v>0</v>
      </c>
      <c r="L497" t="str">
        <f t="shared" si="22"/>
        <v/>
      </c>
      <c r="M497" t="str">
        <f>+IF(LEFT(DB!M497,3)="13/","CAC","MAD")</f>
        <v>MAD</v>
      </c>
      <c r="N497" t="str">
        <f>+RIGHT(DB!M497,6)</f>
        <v/>
      </c>
      <c r="O497">
        <v>95</v>
      </c>
      <c r="P497">
        <v>5</v>
      </c>
      <c r="Q497">
        <f>+DB!AB497</f>
        <v>0</v>
      </c>
      <c r="R497">
        <f>+DB!K497</f>
        <v>0</v>
      </c>
      <c r="S497">
        <f>+DB!F497</f>
        <v>0</v>
      </c>
      <c r="T497">
        <f>+IF(DB!F497="AAAC-35",1,3)</f>
        <v>3</v>
      </c>
      <c r="U497">
        <f>+DB!R497</f>
        <v>0</v>
      </c>
      <c r="V497">
        <f>+IF(DB!P497="1RI",1,0)+IF(DB!P497="2RI",2,0)</f>
        <v>0</v>
      </c>
      <c r="W497">
        <f>+IF(DB!P497="1RV",1,0)+IF(DB!P497="2RV",2,0)</f>
        <v>0</v>
      </c>
      <c r="X497">
        <f>+IF(DB!P497="RYI",1,0)</f>
        <v>0</v>
      </c>
      <c r="Y497">
        <f>+IF(DB!P497="RYV",1,0)</f>
        <v>0</v>
      </c>
      <c r="Z497">
        <f>+DB!U497</f>
        <v>0</v>
      </c>
      <c r="AA497">
        <f>+IF(DB!F497="AAAC-35",19.5,33)</f>
        <v>33</v>
      </c>
      <c r="AB497">
        <f>+DB!V497</f>
        <v>0</v>
      </c>
      <c r="AC497" t="str">
        <f t="shared" si="23"/>
        <v>56-4</v>
      </c>
      <c r="AD497" s="21" t="s">
        <v>72</v>
      </c>
      <c r="AE497">
        <f>+DB!X497</f>
        <v>0</v>
      </c>
      <c r="AF497" s="22">
        <f>+DB!Y497</f>
        <v>0</v>
      </c>
      <c r="AG497">
        <f>+DB!AK497</f>
        <v>0</v>
      </c>
    </row>
    <row r="498" spans="1:33" x14ac:dyDescent="0.2">
      <c r="A498">
        <f>+DB!C498</f>
        <v>0</v>
      </c>
      <c r="B498">
        <f>+DB!D498</f>
        <v>0</v>
      </c>
      <c r="C498">
        <f>+DB!E498</f>
        <v>0</v>
      </c>
      <c r="D498">
        <f t="shared" si="21"/>
        <v>0</v>
      </c>
      <c r="E498">
        <f>+DB!G498</f>
        <v>0</v>
      </c>
      <c r="F498">
        <f>+DB!H498</f>
        <v>0</v>
      </c>
      <c r="G498">
        <f>+DB!N498</f>
        <v>0</v>
      </c>
      <c r="H498">
        <f>+DB!O498</f>
        <v>0</v>
      </c>
      <c r="I498">
        <f>+DB!I498</f>
        <v>0</v>
      </c>
      <c r="J498">
        <f>+DB!J498</f>
        <v>0</v>
      </c>
      <c r="K498">
        <f>+DB!L498</f>
        <v>0</v>
      </c>
      <c r="L498" t="str">
        <f t="shared" si="22"/>
        <v/>
      </c>
      <c r="M498" t="str">
        <f>+IF(LEFT(DB!M498,3)="13/","CAC","MAD")</f>
        <v>MAD</v>
      </c>
      <c r="N498" t="str">
        <f>+RIGHT(DB!M498,6)</f>
        <v/>
      </c>
      <c r="O498">
        <v>95</v>
      </c>
      <c r="P498">
        <v>5</v>
      </c>
      <c r="Q498">
        <f>+DB!AB498</f>
        <v>0</v>
      </c>
      <c r="R498">
        <f>+DB!K498</f>
        <v>0</v>
      </c>
      <c r="S498">
        <f>+DB!F498</f>
        <v>0</v>
      </c>
      <c r="T498">
        <f>+IF(DB!F498="AAAC-35",1,3)</f>
        <v>3</v>
      </c>
      <c r="U498">
        <f>+DB!R498</f>
        <v>0</v>
      </c>
      <c r="V498">
        <f>+IF(DB!P498="1RI",1,0)+IF(DB!P498="2RI",2,0)</f>
        <v>0</v>
      </c>
      <c r="W498">
        <f>+IF(DB!P498="1RV",1,0)+IF(DB!P498="2RV",2,0)</f>
        <v>0</v>
      </c>
      <c r="X498">
        <f>+IF(DB!P498="RYI",1,0)</f>
        <v>0</v>
      </c>
      <c r="Y498">
        <f>+IF(DB!P498="RYV",1,0)</f>
        <v>0</v>
      </c>
      <c r="Z498">
        <f>+DB!U498</f>
        <v>0</v>
      </c>
      <c r="AA498">
        <f>+IF(DB!F498="AAAC-35",19.5,33)</f>
        <v>33</v>
      </c>
      <c r="AB498">
        <f>+DB!V498</f>
        <v>0</v>
      </c>
      <c r="AC498" t="str">
        <f t="shared" si="23"/>
        <v>56-4</v>
      </c>
      <c r="AD498" s="21" t="s">
        <v>72</v>
      </c>
      <c r="AE498">
        <f>+DB!X498</f>
        <v>0</v>
      </c>
      <c r="AF498" s="22">
        <f>+DB!Y498</f>
        <v>0</v>
      </c>
      <c r="AG498">
        <f>+DB!AK498</f>
        <v>0</v>
      </c>
    </row>
    <row r="499" spans="1:33" x14ac:dyDescent="0.2">
      <c r="A499">
        <f>+DB!C499</f>
        <v>0</v>
      </c>
      <c r="B499">
        <f>+DB!D499</f>
        <v>0</v>
      </c>
      <c r="C499">
        <f>+DB!E499</f>
        <v>0</v>
      </c>
      <c r="D499">
        <f t="shared" si="21"/>
        <v>0</v>
      </c>
      <c r="E499">
        <f>+DB!G499</f>
        <v>0</v>
      </c>
      <c r="F499">
        <f>+DB!H499</f>
        <v>0</v>
      </c>
      <c r="G499">
        <f>+DB!N499</f>
        <v>0</v>
      </c>
      <c r="H499">
        <f>+DB!O499</f>
        <v>0</v>
      </c>
      <c r="I499">
        <f>+DB!I499</f>
        <v>0</v>
      </c>
      <c r="J499">
        <f>+DB!J499</f>
        <v>0</v>
      </c>
      <c r="K499">
        <f>+DB!L499</f>
        <v>0</v>
      </c>
      <c r="L499" t="str">
        <f t="shared" si="22"/>
        <v/>
      </c>
      <c r="M499" t="str">
        <f>+IF(LEFT(DB!M499,3)="13/","CAC","MAD")</f>
        <v>MAD</v>
      </c>
      <c r="N499" t="str">
        <f>+RIGHT(DB!M499,6)</f>
        <v/>
      </c>
      <c r="O499">
        <v>95</v>
      </c>
      <c r="P499">
        <v>5</v>
      </c>
      <c r="Q499">
        <f>+DB!AB499</f>
        <v>0</v>
      </c>
      <c r="R499">
        <f>+DB!K499</f>
        <v>0</v>
      </c>
      <c r="S499">
        <f>+DB!F499</f>
        <v>0</v>
      </c>
      <c r="T499">
        <f>+IF(DB!F499="AAAC-35",1,3)</f>
        <v>3</v>
      </c>
      <c r="U499">
        <f>+DB!R499</f>
        <v>0</v>
      </c>
      <c r="V499">
        <f>+IF(DB!P499="1RI",1,0)+IF(DB!P499="2RI",2,0)</f>
        <v>0</v>
      </c>
      <c r="W499">
        <f>+IF(DB!P499="1RV",1,0)+IF(DB!P499="2RV",2,0)</f>
        <v>0</v>
      </c>
      <c r="X499">
        <f>+IF(DB!P499="RYI",1,0)</f>
        <v>0</v>
      </c>
      <c r="Y499">
        <f>+IF(DB!P499="RYV",1,0)</f>
        <v>0</v>
      </c>
      <c r="Z499">
        <f>+DB!U499</f>
        <v>0</v>
      </c>
      <c r="AA499">
        <f>+IF(DB!F499="AAAC-35",19.5,33)</f>
        <v>33</v>
      </c>
      <c r="AB499">
        <f>+DB!V499</f>
        <v>0</v>
      </c>
      <c r="AC499" t="str">
        <f t="shared" si="23"/>
        <v>56-4</v>
      </c>
      <c r="AD499" s="21" t="s">
        <v>72</v>
      </c>
      <c r="AE499">
        <f>+DB!X499</f>
        <v>0</v>
      </c>
      <c r="AF499" s="22">
        <f>+DB!Y499</f>
        <v>0</v>
      </c>
      <c r="AG499">
        <f>+DB!AK499</f>
        <v>0</v>
      </c>
    </row>
    <row r="500" spans="1:33" x14ac:dyDescent="0.2">
      <c r="A500">
        <f>+DB!C500</f>
        <v>0</v>
      </c>
      <c r="B500">
        <f>+DB!D500</f>
        <v>0</v>
      </c>
      <c r="C500">
        <f>+DB!E500</f>
        <v>0</v>
      </c>
      <c r="D500">
        <f t="shared" si="21"/>
        <v>0</v>
      </c>
      <c r="E500">
        <f>+DB!G500</f>
        <v>0</v>
      </c>
      <c r="F500">
        <f>+DB!H500</f>
        <v>0</v>
      </c>
      <c r="G500">
        <f>+DB!N500</f>
        <v>0</v>
      </c>
      <c r="H500">
        <f>+DB!O500</f>
        <v>0</v>
      </c>
      <c r="I500">
        <f>+DB!I500</f>
        <v>0</v>
      </c>
      <c r="J500">
        <f>+DB!J500</f>
        <v>0</v>
      </c>
      <c r="K500">
        <f>+DB!L500</f>
        <v>0</v>
      </c>
      <c r="L500" t="str">
        <f t="shared" si="22"/>
        <v/>
      </c>
      <c r="M500" t="str">
        <f>+IF(LEFT(DB!M500,3)="13/","CAC","MAD")</f>
        <v>MAD</v>
      </c>
      <c r="N500" t="str">
        <f>+RIGHT(DB!M500,6)</f>
        <v/>
      </c>
      <c r="O500">
        <v>95</v>
      </c>
      <c r="P500">
        <v>5</v>
      </c>
      <c r="Q500">
        <f>+DB!AB500</f>
        <v>0</v>
      </c>
      <c r="R500">
        <f>+DB!K500</f>
        <v>0</v>
      </c>
      <c r="S500">
        <f>+DB!F500</f>
        <v>0</v>
      </c>
      <c r="T500">
        <f>+IF(DB!F500="AAAC-35",1,3)</f>
        <v>3</v>
      </c>
      <c r="U500">
        <f>+DB!R500</f>
        <v>0</v>
      </c>
      <c r="V500">
        <f>+IF(DB!P500="1RI",1,0)+IF(DB!P500="2RI",2,0)</f>
        <v>0</v>
      </c>
      <c r="W500">
        <f>+IF(DB!P500="1RV",1,0)+IF(DB!P500="2RV",2,0)</f>
        <v>0</v>
      </c>
      <c r="X500">
        <f>+IF(DB!P500="RYI",1,0)</f>
        <v>0</v>
      </c>
      <c r="Y500">
        <f>+IF(DB!P500="RYV",1,0)</f>
        <v>0</v>
      </c>
      <c r="Z500">
        <f>+DB!U500</f>
        <v>0</v>
      </c>
      <c r="AA500">
        <f>+IF(DB!F500="AAAC-35",19.5,33)</f>
        <v>33</v>
      </c>
      <c r="AB500">
        <f>+DB!V500</f>
        <v>0</v>
      </c>
      <c r="AC500" t="str">
        <f t="shared" si="23"/>
        <v>56-4</v>
      </c>
      <c r="AD500" s="21" t="s">
        <v>72</v>
      </c>
      <c r="AE500">
        <f>+DB!X500</f>
        <v>0</v>
      </c>
      <c r="AF500" s="22">
        <f>+DB!Y500</f>
        <v>0</v>
      </c>
      <c r="AG500">
        <f>+DB!AK500</f>
        <v>0</v>
      </c>
    </row>
    <row r="501" spans="1:33" x14ac:dyDescent="0.2">
      <c r="A501">
        <f>+DB!C501</f>
        <v>0</v>
      </c>
      <c r="B501">
        <f>+DB!D501</f>
        <v>0</v>
      </c>
      <c r="C501">
        <f>+DB!E501</f>
        <v>0</v>
      </c>
      <c r="D501">
        <f t="shared" si="21"/>
        <v>0</v>
      </c>
      <c r="E501">
        <f>+DB!G501</f>
        <v>0</v>
      </c>
      <c r="F501">
        <f>+DB!H501</f>
        <v>0</v>
      </c>
      <c r="G501">
        <f>+DB!N501</f>
        <v>0</v>
      </c>
      <c r="H501">
        <f>+DB!O501</f>
        <v>0</v>
      </c>
      <c r="I501">
        <f>+DB!I501</f>
        <v>0</v>
      </c>
      <c r="J501">
        <f>+DB!J501</f>
        <v>0</v>
      </c>
      <c r="K501">
        <f>+DB!L501</f>
        <v>0</v>
      </c>
      <c r="L501" t="str">
        <f t="shared" si="22"/>
        <v/>
      </c>
      <c r="M501" t="str">
        <f>+IF(LEFT(DB!M501,3)="13/","CAC","MAD")</f>
        <v>MAD</v>
      </c>
      <c r="N501" t="str">
        <f>+RIGHT(DB!M501,6)</f>
        <v/>
      </c>
      <c r="O501">
        <v>95</v>
      </c>
      <c r="P501">
        <v>5</v>
      </c>
      <c r="Q501">
        <f>+DB!AB501</f>
        <v>0</v>
      </c>
      <c r="R501">
        <f>+DB!K501</f>
        <v>0</v>
      </c>
      <c r="S501">
        <f>+DB!F501</f>
        <v>0</v>
      </c>
      <c r="T501">
        <f>+IF(DB!F501="AAAC-35",1,3)</f>
        <v>3</v>
      </c>
      <c r="U501">
        <f>+DB!R501</f>
        <v>0</v>
      </c>
      <c r="V501">
        <f>+IF(DB!P501="1RI",1,0)+IF(DB!P501="2RI",2,0)</f>
        <v>0</v>
      </c>
      <c r="W501">
        <f>+IF(DB!P501="1RV",1,0)+IF(DB!P501="2RV",2,0)</f>
        <v>0</v>
      </c>
      <c r="X501">
        <f>+IF(DB!P501="RYI",1,0)</f>
        <v>0</v>
      </c>
      <c r="Y501">
        <f>+IF(DB!P501="RYV",1,0)</f>
        <v>0</v>
      </c>
      <c r="Z501">
        <f>+DB!U501</f>
        <v>0</v>
      </c>
      <c r="AA501">
        <f>+IF(DB!F501="AAAC-35",19.5,33)</f>
        <v>33</v>
      </c>
      <c r="AB501">
        <f>+DB!V501</f>
        <v>0</v>
      </c>
      <c r="AC501" t="str">
        <f t="shared" si="23"/>
        <v>56-4</v>
      </c>
      <c r="AD501" s="21" t="s">
        <v>72</v>
      </c>
      <c r="AE501">
        <f>+DB!X501</f>
        <v>0</v>
      </c>
      <c r="AF501" s="22">
        <f>+DB!Y501</f>
        <v>0</v>
      </c>
      <c r="AG501">
        <f>+DB!AK501</f>
        <v>0</v>
      </c>
    </row>
    <row r="502" spans="1:33" x14ac:dyDescent="0.2">
      <c r="A502">
        <f>+DB!C502</f>
        <v>0</v>
      </c>
      <c r="B502">
        <f>+DB!D502</f>
        <v>0</v>
      </c>
      <c r="C502">
        <f>+DB!E502</f>
        <v>0</v>
      </c>
      <c r="D502">
        <f t="shared" si="21"/>
        <v>0</v>
      </c>
      <c r="E502">
        <f>+DB!G502</f>
        <v>0</v>
      </c>
      <c r="F502">
        <f>+DB!H502</f>
        <v>0</v>
      </c>
      <c r="G502">
        <f>+DB!N502</f>
        <v>0</v>
      </c>
      <c r="H502">
        <f>+DB!O502</f>
        <v>0</v>
      </c>
      <c r="I502">
        <f>+DB!I502</f>
        <v>0</v>
      </c>
      <c r="J502">
        <f>+DB!J502</f>
        <v>0</v>
      </c>
      <c r="K502">
        <f>+DB!L502</f>
        <v>0</v>
      </c>
      <c r="L502" t="str">
        <f t="shared" si="22"/>
        <v/>
      </c>
      <c r="M502" t="str">
        <f>+IF(LEFT(DB!M502,3)="13/","CAC","MAD")</f>
        <v>MAD</v>
      </c>
      <c r="N502" t="str">
        <f>+RIGHT(DB!M502,6)</f>
        <v/>
      </c>
      <c r="O502">
        <v>95</v>
      </c>
      <c r="P502">
        <v>5</v>
      </c>
      <c r="Q502">
        <f>+DB!AB502</f>
        <v>0</v>
      </c>
      <c r="R502">
        <f>+DB!K502</f>
        <v>0</v>
      </c>
      <c r="S502">
        <f>+DB!F502</f>
        <v>0</v>
      </c>
      <c r="T502">
        <f>+IF(DB!F502="AAAC-35",1,3)</f>
        <v>3</v>
      </c>
      <c r="U502">
        <f>+DB!R502</f>
        <v>0</v>
      </c>
      <c r="V502">
        <f>+IF(DB!P502="1RI",1,0)+IF(DB!P502="2RI",2,0)</f>
        <v>0</v>
      </c>
      <c r="W502">
        <f>+IF(DB!P502="1RV",1,0)+IF(DB!P502="2RV",2,0)</f>
        <v>0</v>
      </c>
      <c r="X502">
        <f>+IF(DB!P502="RYI",1,0)</f>
        <v>0</v>
      </c>
      <c r="Y502">
        <f>+IF(DB!P502="RYV",1,0)</f>
        <v>0</v>
      </c>
      <c r="Z502">
        <f>+DB!U502</f>
        <v>0</v>
      </c>
      <c r="AA502">
        <f>+IF(DB!F502="AAAC-35",19.5,33)</f>
        <v>33</v>
      </c>
      <c r="AB502">
        <f>+DB!V502</f>
        <v>0</v>
      </c>
      <c r="AC502" t="str">
        <f t="shared" si="23"/>
        <v>56-4</v>
      </c>
      <c r="AD502" s="21" t="s">
        <v>72</v>
      </c>
      <c r="AE502">
        <f>+DB!X502</f>
        <v>0</v>
      </c>
      <c r="AF502" s="22">
        <f>+DB!Y502</f>
        <v>0</v>
      </c>
      <c r="AG502">
        <f>+DB!AK502</f>
        <v>0</v>
      </c>
    </row>
    <row r="503" spans="1:33" x14ac:dyDescent="0.2">
      <c r="A503">
        <f>+DB!C503</f>
        <v>0</v>
      </c>
      <c r="B503">
        <f>+DB!D503</f>
        <v>0</v>
      </c>
      <c r="C503">
        <f>+DB!E503</f>
        <v>0</v>
      </c>
      <c r="D503">
        <f t="shared" si="21"/>
        <v>0</v>
      </c>
      <c r="E503">
        <f>+DB!G503</f>
        <v>0</v>
      </c>
      <c r="F503">
        <f>+DB!H503</f>
        <v>0</v>
      </c>
      <c r="G503">
        <f>+DB!N503</f>
        <v>0</v>
      </c>
      <c r="H503">
        <f>+DB!O503</f>
        <v>0</v>
      </c>
      <c r="I503">
        <f>+DB!I503</f>
        <v>0</v>
      </c>
      <c r="J503">
        <f>+DB!J503</f>
        <v>0</v>
      </c>
      <c r="K503">
        <f>+DB!L503</f>
        <v>0</v>
      </c>
      <c r="L503" t="str">
        <f t="shared" si="22"/>
        <v/>
      </c>
      <c r="M503" t="str">
        <f>+IF(LEFT(DB!M503,3)="13/","CAC","MAD")</f>
        <v>MAD</v>
      </c>
      <c r="N503" t="str">
        <f>+RIGHT(DB!M503,6)</f>
        <v/>
      </c>
      <c r="O503">
        <v>95</v>
      </c>
      <c r="P503">
        <v>5</v>
      </c>
      <c r="Q503">
        <f>+DB!AB503</f>
        <v>0</v>
      </c>
      <c r="R503">
        <f>+DB!K503</f>
        <v>0</v>
      </c>
      <c r="S503">
        <f>+DB!F503</f>
        <v>0</v>
      </c>
      <c r="T503">
        <f>+IF(DB!F503="AAAC-35",1,3)</f>
        <v>3</v>
      </c>
      <c r="U503">
        <f>+DB!R503</f>
        <v>0</v>
      </c>
      <c r="V503">
        <f>+IF(DB!P503="1RI",1,0)+IF(DB!P503="2RI",2,0)</f>
        <v>0</v>
      </c>
      <c r="W503">
        <f>+IF(DB!P503="1RV",1,0)+IF(DB!P503="2RV",2,0)</f>
        <v>0</v>
      </c>
      <c r="X503">
        <f>+IF(DB!P503="RYI",1,0)</f>
        <v>0</v>
      </c>
      <c r="Y503">
        <f>+IF(DB!P503="RYV",1,0)</f>
        <v>0</v>
      </c>
      <c r="Z503">
        <f>+DB!U503</f>
        <v>0</v>
      </c>
      <c r="AA503">
        <f>+IF(DB!F503="AAAC-35",19.5,33)</f>
        <v>33</v>
      </c>
      <c r="AB503">
        <f>+DB!V503</f>
        <v>0</v>
      </c>
      <c r="AC503" t="str">
        <f t="shared" si="23"/>
        <v>56-4</v>
      </c>
      <c r="AD503" s="21" t="s">
        <v>72</v>
      </c>
      <c r="AE503">
        <f>+DB!X503</f>
        <v>0</v>
      </c>
      <c r="AF503" s="22">
        <f>+DB!Y503</f>
        <v>0</v>
      </c>
      <c r="AG503">
        <f>+DB!AK503</f>
        <v>0</v>
      </c>
    </row>
    <row r="504" spans="1:33" x14ac:dyDescent="0.2">
      <c r="A504">
        <f>+DB!C504</f>
        <v>0</v>
      </c>
      <c r="B504">
        <f>+DB!D504</f>
        <v>0</v>
      </c>
      <c r="C504">
        <f>+DB!E504</f>
        <v>0</v>
      </c>
      <c r="D504">
        <f t="shared" si="21"/>
        <v>0</v>
      </c>
      <c r="E504">
        <f>+DB!G504</f>
        <v>0</v>
      </c>
      <c r="F504">
        <f>+DB!H504</f>
        <v>0</v>
      </c>
      <c r="G504">
        <f>+DB!N504</f>
        <v>0</v>
      </c>
      <c r="H504">
        <f>+DB!O504</f>
        <v>0</v>
      </c>
      <c r="I504">
        <f>+DB!I504</f>
        <v>0</v>
      </c>
      <c r="J504">
        <f>+DB!J504</f>
        <v>0</v>
      </c>
      <c r="K504">
        <f>+DB!L504</f>
        <v>0</v>
      </c>
      <c r="L504" t="str">
        <f t="shared" si="22"/>
        <v/>
      </c>
      <c r="M504" t="str">
        <f>+IF(LEFT(DB!M504,3)="13/","CAC","MAD")</f>
        <v>MAD</v>
      </c>
      <c r="N504" t="str">
        <f>+RIGHT(DB!M504,6)</f>
        <v/>
      </c>
      <c r="O504">
        <v>95</v>
      </c>
      <c r="P504">
        <v>5</v>
      </c>
      <c r="Q504">
        <f>+DB!AB504</f>
        <v>0</v>
      </c>
      <c r="R504">
        <f>+DB!K504</f>
        <v>0</v>
      </c>
      <c r="S504">
        <f>+DB!F504</f>
        <v>0</v>
      </c>
      <c r="T504">
        <f>+IF(DB!F504="AAAC-35",1,3)</f>
        <v>3</v>
      </c>
      <c r="U504">
        <f>+DB!R504</f>
        <v>0</v>
      </c>
      <c r="V504">
        <f>+IF(DB!P504="1RI",1,0)+IF(DB!P504="2RI",2,0)</f>
        <v>0</v>
      </c>
      <c r="W504">
        <f>+IF(DB!P504="1RV",1,0)+IF(DB!P504="2RV",2,0)</f>
        <v>0</v>
      </c>
      <c r="X504">
        <f>+IF(DB!P504="RYI",1,0)</f>
        <v>0</v>
      </c>
      <c r="Y504">
        <f>+IF(DB!P504="RYV",1,0)</f>
        <v>0</v>
      </c>
      <c r="Z504">
        <f>+DB!U504</f>
        <v>0</v>
      </c>
      <c r="AA504">
        <f>+IF(DB!F504="AAAC-35",19.5,33)</f>
        <v>33</v>
      </c>
      <c r="AB504">
        <f>+DB!V504</f>
        <v>0</v>
      </c>
      <c r="AC504" t="str">
        <f t="shared" si="23"/>
        <v>56-4</v>
      </c>
      <c r="AD504" s="21" t="s">
        <v>72</v>
      </c>
      <c r="AE504">
        <f>+DB!X504</f>
        <v>0</v>
      </c>
      <c r="AF504" s="22">
        <f>+DB!Y504</f>
        <v>0</v>
      </c>
      <c r="AG504">
        <f>+DB!AK504</f>
        <v>0</v>
      </c>
    </row>
    <row r="505" spans="1:33" x14ac:dyDescent="0.2">
      <c r="A505">
        <f>+DB!C505</f>
        <v>0</v>
      </c>
      <c r="B505">
        <f>+DB!D505</f>
        <v>0</v>
      </c>
      <c r="C505">
        <f>+DB!E505</f>
        <v>0</v>
      </c>
      <c r="D505">
        <f t="shared" si="21"/>
        <v>0</v>
      </c>
      <c r="E505">
        <f>+DB!G505</f>
        <v>0</v>
      </c>
      <c r="F505">
        <f>+DB!H505</f>
        <v>0</v>
      </c>
      <c r="G505">
        <f>+DB!N505</f>
        <v>0</v>
      </c>
      <c r="H505">
        <f>+DB!O505</f>
        <v>0</v>
      </c>
      <c r="I505">
        <f>+DB!I505</f>
        <v>0</v>
      </c>
      <c r="J505">
        <f>+DB!J505</f>
        <v>0</v>
      </c>
      <c r="K505">
        <f>+DB!L505</f>
        <v>0</v>
      </c>
      <c r="L505" t="str">
        <f t="shared" si="22"/>
        <v/>
      </c>
      <c r="M505" t="str">
        <f>+IF(LEFT(DB!M505,3)="13/","CAC","MAD")</f>
        <v>MAD</v>
      </c>
      <c r="N505" t="str">
        <f>+RIGHT(DB!M505,6)</f>
        <v/>
      </c>
      <c r="O505">
        <v>95</v>
      </c>
      <c r="P505">
        <v>5</v>
      </c>
      <c r="Q505">
        <f>+DB!AB505</f>
        <v>0</v>
      </c>
      <c r="R505">
        <f>+DB!K505</f>
        <v>0</v>
      </c>
      <c r="S505">
        <f>+DB!F505</f>
        <v>0</v>
      </c>
      <c r="T505">
        <f>+IF(DB!F505="AAAC-35",1,3)</f>
        <v>3</v>
      </c>
      <c r="U505">
        <f>+DB!R505</f>
        <v>0</v>
      </c>
      <c r="V505">
        <f>+IF(DB!P505="1RI",1,0)+IF(DB!P505="2RI",2,0)</f>
        <v>0</v>
      </c>
      <c r="W505">
        <f>+IF(DB!P505="1RV",1,0)+IF(DB!P505="2RV",2,0)</f>
        <v>0</v>
      </c>
      <c r="X505">
        <f>+IF(DB!P505="RYI",1,0)</f>
        <v>0</v>
      </c>
      <c r="Y505">
        <f>+IF(DB!P505="RYV",1,0)</f>
        <v>0</v>
      </c>
      <c r="Z505">
        <f>+DB!U505</f>
        <v>0</v>
      </c>
      <c r="AA505">
        <f>+IF(DB!F505="AAAC-35",19.5,33)</f>
        <v>33</v>
      </c>
      <c r="AB505">
        <f>+DB!V505</f>
        <v>0</v>
      </c>
      <c r="AC505" t="str">
        <f t="shared" si="23"/>
        <v>56-4</v>
      </c>
      <c r="AD505" s="21" t="s">
        <v>72</v>
      </c>
      <c r="AE505">
        <f>+DB!X505</f>
        <v>0</v>
      </c>
      <c r="AF505" s="22">
        <f>+DB!Y505</f>
        <v>0</v>
      </c>
      <c r="AG505">
        <f>+DB!AK505</f>
        <v>0</v>
      </c>
    </row>
    <row r="506" spans="1:33" x14ac:dyDescent="0.2">
      <c r="A506">
        <f>+DB!C506</f>
        <v>0</v>
      </c>
      <c r="B506">
        <f>+DB!D506</f>
        <v>0</v>
      </c>
      <c r="C506">
        <f>+DB!E506</f>
        <v>0</v>
      </c>
      <c r="D506">
        <f t="shared" si="21"/>
        <v>0</v>
      </c>
      <c r="E506">
        <f>+DB!G506</f>
        <v>0</v>
      </c>
      <c r="F506">
        <f>+DB!H506</f>
        <v>0</v>
      </c>
      <c r="G506">
        <f>+DB!N506</f>
        <v>0</v>
      </c>
      <c r="H506">
        <f>+DB!O506</f>
        <v>0</v>
      </c>
      <c r="I506">
        <f>+DB!I506</f>
        <v>0</v>
      </c>
      <c r="J506">
        <f>+DB!J506</f>
        <v>0</v>
      </c>
      <c r="K506">
        <f>+DB!L506</f>
        <v>0</v>
      </c>
      <c r="L506" t="str">
        <f t="shared" si="22"/>
        <v/>
      </c>
      <c r="M506" t="str">
        <f>+IF(LEFT(DB!M506,3)="13/","CAC","MAD")</f>
        <v>MAD</v>
      </c>
      <c r="N506" t="str">
        <f>+RIGHT(DB!M506,6)</f>
        <v/>
      </c>
      <c r="O506">
        <v>95</v>
      </c>
      <c r="P506">
        <v>5</v>
      </c>
      <c r="Q506">
        <f>+DB!AB506</f>
        <v>0</v>
      </c>
      <c r="R506">
        <f>+DB!K506</f>
        <v>0</v>
      </c>
      <c r="S506">
        <f>+DB!F506</f>
        <v>0</v>
      </c>
      <c r="T506">
        <f>+IF(DB!F506="AAAC-35",1,3)</f>
        <v>3</v>
      </c>
      <c r="U506">
        <f>+DB!R506</f>
        <v>0</v>
      </c>
      <c r="V506">
        <f>+IF(DB!P506="1RI",1,0)+IF(DB!P506="2RI",2,0)</f>
        <v>0</v>
      </c>
      <c r="W506">
        <f>+IF(DB!P506="1RV",1,0)+IF(DB!P506="2RV",2,0)</f>
        <v>0</v>
      </c>
      <c r="X506">
        <f>+IF(DB!P506="RYI",1,0)</f>
        <v>0</v>
      </c>
      <c r="Y506">
        <f>+IF(DB!P506="RYV",1,0)</f>
        <v>0</v>
      </c>
      <c r="Z506">
        <f>+DB!U506</f>
        <v>0</v>
      </c>
      <c r="AA506">
        <f>+IF(DB!F506="AAAC-35",19.5,33)</f>
        <v>33</v>
      </c>
      <c r="AB506">
        <f>+DB!V506</f>
        <v>0</v>
      </c>
      <c r="AC506" t="str">
        <f t="shared" si="23"/>
        <v>56-4</v>
      </c>
      <c r="AD506" s="21" t="s">
        <v>72</v>
      </c>
      <c r="AE506">
        <f>+DB!X506</f>
        <v>0</v>
      </c>
      <c r="AF506" s="22">
        <f>+DB!Y506</f>
        <v>0</v>
      </c>
      <c r="AG506">
        <f>+DB!AK506</f>
        <v>0</v>
      </c>
    </row>
    <row r="507" spans="1:33" x14ac:dyDescent="0.2">
      <c r="A507">
        <f>+DB!C507</f>
        <v>0</v>
      </c>
      <c r="B507">
        <f>+DB!D507</f>
        <v>0</v>
      </c>
      <c r="C507">
        <f>+DB!E507</f>
        <v>0</v>
      </c>
      <c r="D507">
        <f t="shared" si="21"/>
        <v>0</v>
      </c>
      <c r="E507">
        <f>+DB!G507</f>
        <v>0</v>
      </c>
      <c r="F507">
        <f>+DB!H507</f>
        <v>0</v>
      </c>
      <c r="G507">
        <f>+DB!N507</f>
        <v>0</v>
      </c>
      <c r="H507">
        <f>+DB!O507</f>
        <v>0</v>
      </c>
      <c r="I507">
        <f>+DB!I507</f>
        <v>0</v>
      </c>
      <c r="J507">
        <f>+DB!J507</f>
        <v>0</v>
      </c>
      <c r="K507">
        <f>+DB!L507</f>
        <v>0</v>
      </c>
      <c r="L507" t="str">
        <f t="shared" si="22"/>
        <v/>
      </c>
      <c r="M507" t="str">
        <f>+IF(LEFT(DB!M507,3)="13/","CAC","MAD")</f>
        <v>MAD</v>
      </c>
      <c r="N507" t="str">
        <f>+RIGHT(DB!M507,6)</f>
        <v/>
      </c>
      <c r="O507">
        <v>95</v>
      </c>
      <c r="P507">
        <v>5</v>
      </c>
      <c r="Q507">
        <f>+DB!AB507</f>
        <v>0</v>
      </c>
      <c r="R507">
        <f>+DB!K507</f>
        <v>0</v>
      </c>
      <c r="S507">
        <f>+DB!F507</f>
        <v>0</v>
      </c>
      <c r="T507">
        <f>+IF(DB!F507="AAAC-35",1,3)</f>
        <v>3</v>
      </c>
      <c r="U507">
        <f>+DB!R507</f>
        <v>0</v>
      </c>
      <c r="V507">
        <f>+IF(DB!P507="1RI",1,0)+IF(DB!P507="2RI",2,0)</f>
        <v>0</v>
      </c>
      <c r="W507">
        <f>+IF(DB!P507="1RV",1,0)+IF(DB!P507="2RV",2,0)</f>
        <v>0</v>
      </c>
      <c r="X507">
        <f>+IF(DB!P507="RYI",1,0)</f>
        <v>0</v>
      </c>
      <c r="Y507">
        <f>+IF(DB!P507="RYV",1,0)</f>
        <v>0</v>
      </c>
      <c r="Z507">
        <f>+DB!U507</f>
        <v>0</v>
      </c>
      <c r="AA507">
        <f>+IF(DB!F507="AAAC-35",19.5,33)</f>
        <v>33</v>
      </c>
      <c r="AB507">
        <f>+DB!V507</f>
        <v>0</v>
      </c>
      <c r="AC507" t="str">
        <f t="shared" si="23"/>
        <v>56-4</v>
      </c>
      <c r="AD507" s="21" t="s">
        <v>72</v>
      </c>
      <c r="AE507">
        <f>+DB!X507</f>
        <v>0</v>
      </c>
      <c r="AF507" s="22">
        <f>+DB!Y507</f>
        <v>0</v>
      </c>
      <c r="AG507">
        <f>+DB!AK507</f>
        <v>0</v>
      </c>
    </row>
    <row r="508" spans="1:33" x14ac:dyDescent="0.2">
      <c r="A508">
        <f>+DB!C508</f>
        <v>0</v>
      </c>
      <c r="B508">
        <f>+DB!D508</f>
        <v>0</v>
      </c>
      <c r="C508">
        <f>+DB!E508</f>
        <v>0</v>
      </c>
      <c r="D508">
        <f t="shared" si="21"/>
        <v>0</v>
      </c>
      <c r="E508">
        <f>+DB!G508</f>
        <v>0</v>
      </c>
      <c r="F508">
        <f>+DB!H508</f>
        <v>0</v>
      </c>
      <c r="G508">
        <f>+DB!N508</f>
        <v>0</v>
      </c>
      <c r="H508">
        <f>+DB!O508</f>
        <v>0</v>
      </c>
      <c r="I508">
        <f>+DB!I508</f>
        <v>0</v>
      </c>
      <c r="J508">
        <f>+DB!J508</f>
        <v>0</v>
      </c>
      <c r="K508">
        <f>+DB!L508</f>
        <v>0</v>
      </c>
      <c r="L508" t="str">
        <f t="shared" si="22"/>
        <v/>
      </c>
      <c r="M508" t="str">
        <f>+IF(LEFT(DB!M508,3)="13/","CAC","MAD")</f>
        <v>MAD</v>
      </c>
      <c r="N508" t="str">
        <f>+RIGHT(DB!M508,6)</f>
        <v/>
      </c>
      <c r="O508">
        <v>95</v>
      </c>
      <c r="P508">
        <v>5</v>
      </c>
      <c r="Q508">
        <f>+DB!AB508</f>
        <v>0</v>
      </c>
      <c r="R508">
        <f>+DB!K508</f>
        <v>0</v>
      </c>
      <c r="S508">
        <f>+DB!F508</f>
        <v>0</v>
      </c>
      <c r="T508">
        <f>+IF(DB!F508="AAAC-35",1,3)</f>
        <v>3</v>
      </c>
      <c r="U508">
        <f>+DB!R508</f>
        <v>0</v>
      </c>
      <c r="V508">
        <f>+IF(DB!P508="1RI",1,0)+IF(DB!P508="2RI",2,0)</f>
        <v>0</v>
      </c>
      <c r="W508">
        <f>+IF(DB!P508="1RV",1,0)+IF(DB!P508="2RV",2,0)</f>
        <v>0</v>
      </c>
      <c r="X508">
        <f>+IF(DB!P508="RYI",1,0)</f>
        <v>0</v>
      </c>
      <c r="Y508">
        <f>+IF(DB!P508="RYV",1,0)</f>
        <v>0</v>
      </c>
      <c r="Z508">
        <f>+DB!U508</f>
        <v>0</v>
      </c>
      <c r="AA508">
        <f>+IF(DB!F508="AAAC-35",19.5,33)</f>
        <v>33</v>
      </c>
      <c r="AB508">
        <f>+DB!V508</f>
        <v>0</v>
      </c>
      <c r="AC508" t="str">
        <f t="shared" si="23"/>
        <v>56-4</v>
      </c>
      <c r="AD508" s="21" t="s">
        <v>72</v>
      </c>
      <c r="AE508">
        <f>+DB!X508</f>
        <v>0</v>
      </c>
      <c r="AF508" s="22">
        <f>+DB!Y508</f>
        <v>0</v>
      </c>
      <c r="AG508">
        <f>+DB!AK508</f>
        <v>0</v>
      </c>
    </row>
    <row r="509" spans="1:33" x14ac:dyDescent="0.2">
      <c r="A509">
        <f>+DB!C509</f>
        <v>0</v>
      </c>
      <c r="B509">
        <f>+DB!D509</f>
        <v>0</v>
      </c>
      <c r="C509">
        <f>+DB!E509</f>
        <v>0</v>
      </c>
      <c r="D509">
        <f t="shared" si="21"/>
        <v>0</v>
      </c>
      <c r="E509">
        <f>+DB!G509</f>
        <v>0</v>
      </c>
      <c r="F509">
        <f>+DB!H509</f>
        <v>0</v>
      </c>
      <c r="G509">
        <f>+DB!N509</f>
        <v>0</v>
      </c>
      <c r="H509">
        <f>+DB!O509</f>
        <v>0</v>
      </c>
      <c r="I509">
        <f>+DB!I509</f>
        <v>0</v>
      </c>
      <c r="J509">
        <f>+DB!J509</f>
        <v>0</v>
      </c>
      <c r="K509">
        <f>+DB!L509</f>
        <v>0</v>
      </c>
      <c r="L509" t="str">
        <f t="shared" si="22"/>
        <v/>
      </c>
      <c r="M509" t="str">
        <f>+IF(LEFT(DB!M509,3)="13/","CAC","MAD")</f>
        <v>MAD</v>
      </c>
      <c r="N509" t="str">
        <f>+RIGHT(DB!M509,6)</f>
        <v/>
      </c>
      <c r="O509">
        <v>95</v>
      </c>
      <c r="P509">
        <v>5</v>
      </c>
      <c r="Q509">
        <f>+DB!AB509</f>
        <v>0</v>
      </c>
      <c r="R509">
        <f>+DB!K509</f>
        <v>0</v>
      </c>
      <c r="S509">
        <f>+DB!F509</f>
        <v>0</v>
      </c>
      <c r="T509">
        <f>+IF(DB!F509="AAAC-35",1,3)</f>
        <v>3</v>
      </c>
      <c r="U509">
        <f>+DB!R509</f>
        <v>0</v>
      </c>
      <c r="V509">
        <f>+IF(DB!P509="1RI",1,0)+IF(DB!P509="2RI",2,0)</f>
        <v>0</v>
      </c>
      <c r="W509">
        <f>+IF(DB!P509="1RV",1,0)+IF(DB!P509="2RV",2,0)</f>
        <v>0</v>
      </c>
      <c r="X509">
        <f>+IF(DB!P509="RYI",1,0)</f>
        <v>0</v>
      </c>
      <c r="Y509">
        <f>+IF(DB!P509="RYV",1,0)</f>
        <v>0</v>
      </c>
      <c r="Z509">
        <f>+DB!U509</f>
        <v>0</v>
      </c>
      <c r="AA509">
        <f>+IF(DB!F509="AAAC-35",19.5,33)</f>
        <v>33</v>
      </c>
      <c r="AB509">
        <f>+DB!V509</f>
        <v>0</v>
      </c>
      <c r="AC509" t="str">
        <f t="shared" si="23"/>
        <v>56-4</v>
      </c>
      <c r="AD509" s="21" t="s">
        <v>72</v>
      </c>
      <c r="AE509">
        <f>+DB!X509</f>
        <v>0</v>
      </c>
      <c r="AF509" s="22">
        <f>+DB!Y509</f>
        <v>0</v>
      </c>
      <c r="AG509">
        <f>+DB!AK509</f>
        <v>0</v>
      </c>
    </row>
    <row r="510" spans="1:33" x14ac:dyDescent="0.2">
      <c r="A510">
        <f>+DB!C510</f>
        <v>0</v>
      </c>
      <c r="B510">
        <f>+DB!D510</f>
        <v>0</v>
      </c>
      <c r="C510">
        <f>+DB!E510</f>
        <v>0</v>
      </c>
      <c r="D510">
        <f t="shared" si="21"/>
        <v>0</v>
      </c>
      <c r="E510">
        <f>+DB!G510</f>
        <v>0</v>
      </c>
      <c r="F510">
        <f>+DB!H510</f>
        <v>0</v>
      </c>
      <c r="G510">
        <f>+DB!N510</f>
        <v>0</v>
      </c>
      <c r="H510">
        <f>+DB!O510</f>
        <v>0</v>
      </c>
      <c r="I510">
        <f>+DB!I510</f>
        <v>0</v>
      </c>
      <c r="J510">
        <f>+DB!J510</f>
        <v>0</v>
      </c>
      <c r="K510">
        <f>+DB!L510</f>
        <v>0</v>
      </c>
      <c r="L510" t="str">
        <f t="shared" si="22"/>
        <v/>
      </c>
      <c r="M510" t="str">
        <f>+IF(LEFT(DB!M510,3)="13/","CAC","MAD")</f>
        <v>MAD</v>
      </c>
      <c r="N510" t="str">
        <f>+RIGHT(DB!M510,6)</f>
        <v/>
      </c>
      <c r="O510">
        <v>95</v>
      </c>
      <c r="P510">
        <v>5</v>
      </c>
      <c r="Q510">
        <f>+DB!AB510</f>
        <v>0</v>
      </c>
      <c r="R510">
        <f>+DB!K510</f>
        <v>0</v>
      </c>
      <c r="S510">
        <f>+DB!F510</f>
        <v>0</v>
      </c>
      <c r="T510">
        <f>+IF(DB!F510="AAAC-35",1,3)</f>
        <v>3</v>
      </c>
      <c r="U510">
        <f>+DB!R510</f>
        <v>0</v>
      </c>
      <c r="V510">
        <f>+IF(DB!P510="1RI",1,0)+IF(DB!P510="2RI",2,0)</f>
        <v>0</v>
      </c>
      <c r="W510">
        <f>+IF(DB!P510="1RV",1,0)+IF(DB!P510="2RV",2,0)</f>
        <v>0</v>
      </c>
      <c r="X510">
        <f>+IF(DB!P510="RYI",1,0)</f>
        <v>0</v>
      </c>
      <c r="Y510">
        <f>+IF(DB!P510="RYV",1,0)</f>
        <v>0</v>
      </c>
      <c r="Z510">
        <f>+DB!U510</f>
        <v>0</v>
      </c>
      <c r="AA510">
        <f>+IF(DB!F510="AAAC-35",19.5,33)</f>
        <v>33</v>
      </c>
      <c r="AB510">
        <f>+DB!V510</f>
        <v>0</v>
      </c>
      <c r="AC510" t="str">
        <f t="shared" si="23"/>
        <v>56-4</v>
      </c>
      <c r="AD510" s="21" t="s">
        <v>72</v>
      </c>
      <c r="AE510">
        <f>+DB!X510</f>
        <v>0</v>
      </c>
      <c r="AF510" s="22">
        <f>+DB!Y510</f>
        <v>0</v>
      </c>
      <c r="AG510">
        <f>+DB!AK510</f>
        <v>0</v>
      </c>
    </row>
    <row r="511" spans="1:33" x14ac:dyDescent="0.2">
      <c r="A511">
        <f>+DB!C511</f>
        <v>0</v>
      </c>
      <c r="B511">
        <f>+DB!D511</f>
        <v>0</v>
      </c>
      <c r="C511">
        <f>+DB!E511</f>
        <v>0</v>
      </c>
      <c r="D511">
        <f t="shared" si="21"/>
        <v>0</v>
      </c>
      <c r="E511">
        <f>+DB!G511</f>
        <v>0</v>
      </c>
      <c r="F511">
        <f>+DB!H511</f>
        <v>0</v>
      </c>
      <c r="G511">
        <f>+DB!N511</f>
        <v>0</v>
      </c>
      <c r="H511">
        <f>+DB!O511</f>
        <v>0</v>
      </c>
      <c r="I511">
        <f>+DB!I511</f>
        <v>0</v>
      </c>
      <c r="J511">
        <f>+DB!J511</f>
        <v>0</v>
      </c>
      <c r="K511">
        <f>+DB!L511</f>
        <v>0</v>
      </c>
      <c r="L511" t="str">
        <f t="shared" si="22"/>
        <v/>
      </c>
      <c r="M511" t="str">
        <f>+IF(LEFT(DB!M511,3)="13/","CAC","MAD")</f>
        <v>MAD</v>
      </c>
      <c r="N511" t="str">
        <f>+RIGHT(DB!M511,6)</f>
        <v/>
      </c>
      <c r="O511">
        <v>95</v>
      </c>
      <c r="P511">
        <v>5</v>
      </c>
      <c r="Q511">
        <f>+DB!AB511</f>
        <v>0</v>
      </c>
      <c r="R511">
        <f>+DB!K511</f>
        <v>0</v>
      </c>
      <c r="S511">
        <f>+DB!F511</f>
        <v>0</v>
      </c>
      <c r="T511">
        <f>+IF(DB!F511="AAAC-35",1,3)</f>
        <v>3</v>
      </c>
      <c r="U511">
        <f>+DB!R511</f>
        <v>0</v>
      </c>
      <c r="V511">
        <f>+IF(DB!P511="1RI",1,0)+IF(DB!P511="2RI",2,0)</f>
        <v>0</v>
      </c>
      <c r="W511">
        <f>+IF(DB!P511="1RV",1,0)+IF(DB!P511="2RV",2,0)</f>
        <v>0</v>
      </c>
      <c r="X511">
        <f>+IF(DB!P511="RYI",1,0)</f>
        <v>0</v>
      </c>
      <c r="Y511">
        <f>+IF(DB!P511="RYV",1,0)</f>
        <v>0</v>
      </c>
      <c r="Z511">
        <f>+DB!U511</f>
        <v>0</v>
      </c>
      <c r="AA511">
        <f>+IF(DB!F511="AAAC-35",19.5,33)</f>
        <v>33</v>
      </c>
      <c r="AB511">
        <f>+DB!V511</f>
        <v>0</v>
      </c>
      <c r="AC511" t="str">
        <f t="shared" si="23"/>
        <v>56-4</v>
      </c>
      <c r="AD511" s="21" t="s">
        <v>72</v>
      </c>
      <c r="AE511">
        <f>+DB!X511</f>
        <v>0</v>
      </c>
      <c r="AF511" s="22">
        <f>+DB!Y511</f>
        <v>0</v>
      </c>
      <c r="AG511">
        <f>+DB!AK511</f>
        <v>0</v>
      </c>
    </row>
    <row r="512" spans="1:33" x14ac:dyDescent="0.2">
      <c r="A512">
        <f>+DB!C512</f>
        <v>0</v>
      </c>
      <c r="B512">
        <f>+DB!D512</f>
        <v>0</v>
      </c>
      <c r="C512">
        <f>+DB!E512</f>
        <v>0</v>
      </c>
      <c r="D512">
        <f t="shared" si="21"/>
        <v>0</v>
      </c>
      <c r="E512">
        <f>+DB!G512</f>
        <v>0</v>
      </c>
      <c r="F512">
        <f>+DB!H512</f>
        <v>0</v>
      </c>
      <c r="G512">
        <f>+DB!N512</f>
        <v>0</v>
      </c>
      <c r="H512">
        <f>+DB!O512</f>
        <v>0</v>
      </c>
      <c r="I512">
        <f>+DB!I512</f>
        <v>0</v>
      </c>
      <c r="J512">
        <f>+DB!J512</f>
        <v>0</v>
      </c>
      <c r="K512">
        <f>+DB!L512</f>
        <v>0</v>
      </c>
      <c r="L512" t="str">
        <f t="shared" si="22"/>
        <v/>
      </c>
      <c r="M512" t="str">
        <f>+IF(LEFT(DB!M512,3)="13/","CAC","MAD")</f>
        <v>MAD</v>
      </c>
      <c r="N512" t="str">
        <f>+RIGHT(DB!M512,6)</f>
        <v/>
      </c>
      <c r="O512">
        <v>95</v>
      </c>
      <c r="P512">
        <v>5</v>
      </c>
      <c r="Q512">
        <f>+DB!AB512</f>
        <v>0</v>
      </c>
      <c r="R512">
        <f>+DB!K512</f>
        <v>0</v>
      </c>
      <c r="S512">
        <f>+DB!F512</f>
        <v>0</v>
      </c>
      <c r="T512">
        <f>+IF(DB!F512="AAAC-35",1,3)</f>
        <v>3</v>
      </c>
      <c r="U512">
        <f>+DB!R512</f>
        <v>0</v>
      </c>
      <c r="V512">
        <f>+IF(DB!P512="1RI",1,0)+IF(DB!P512="2RI",2,0)</f>
        <v>0</v>
      </c>
      <c r="W512">
        <f>+IF(DB!P512="1RV",1,0)+IF(DB!P512="2RV",2,0)</f>
        <v>0</v>
      </c>
      <c r="X512">
        <f>+IF(DB!P512="RYI",1,0)</f>
        <v>0</v>
      </c>
      <c r="Y512">
        <f>+IF(DB!P512="RYV",1,0)</f>
        <v>0</v>
      </c>
      <c r="Z512">
        <f>+DB!U512</f>
        <v>0</v>
      </c>
      <c r="AA512">
        <f>+IF(DB!F512="AAAC-35",19.5,33)</f>
        <v>33</v>
      </c>
      <c r="AB512">
        <f>+DB!V512</f>
        <v>0</v>
      </c>
      <c r="AC512" t="str">
        <f t="shared" si="23"/>
        <v>56-4</v>
      </c>
      <c r="AD512" s="21" t="s">
        <v>72</v>
      </c>
      <c r="AE512">
        <f>+DB!X512</f>
        <v>0</v>
      </c>
      <c r="AF512" s="22">
        <f>+DB!Y512</f>
        <v>0</v>
      </c>
      <c r="AG512">
        <f>+DB!AK512</f>
        <v>0</v>
      </c>
    </row>
    <row r="513" spans="1:33" x14ac:dyDescent="0.2">
      <c r="A513">
        <f>+DB!C513</f>
        <v>0</v>
      </c>
      <c r="B513">
        <f>+DB!D513</f>
        <v>0</v>
      </c>
      <c r="C513">
        <f>+DB!E513</f>
        <v>0</v>
      </c>
      <c r="D513">
        <f t="shared" si="21"/>
        <v>0</v>
      </c>
      <c r="E513">
        <f>+DB!G513</f>
        <v>0</v>
      </c>
      <c r="F513">
        <f>+DB!H513</f>
        <v>0</v>
      </c>
      <c r="G513">
        <f>+DB!N513</f>
        <v>0</v>
      </c>
      <c r="H513">
        <f>+DB!O513</f>
        <v>0</v>
      </c>
      <c r="I513">
        <f>+DB!I513</f>
        <v>0</v>
      </c>
      <c r="J513">
        <f>+DB!J513</f>
        <v>0</v>
      </c>
      <c r="K513">
        <f>+DB!L513</f>
        <v>0</v>
      </c>
      <c r="L513" t="str">
        <f t="shared" si="22"/>
        <v/>
      </c>
      <c r="M513" t="str">
        <f>+IF(LEFT(DB!M513,3)="13/","CAC","MAD")</f>
        <v>MAD</v>
      </c>
      <c r="N513" t="str">
        <f>+RIGHT(DB!M513,6)</f>
        <v/>
      </c>
      <c r="O513">
        <v>95</v>
      </c>
      <c r="P513">
        <v>5</v>
      </c>
      <c r="Q513">
        <f>+DB!AB513</f>
        <v>0</v>
      </c>
      <c r="R513">
        <f>+DB!K513</f>
        <v>0</v>
      </c>
      <c r="S513">
        <f>+DB!F513</f>
        <v>0</v>
      </c>
      <c r="T513">
        <f>+IF(DB!F513="AAAC-35",1,3)</f>
        <v>3</v>
      </c>
      <c r="U513">
        <f>+DB!R513</f>
        <v>0</v>
      </c>
      <c r="V513">
        <f>+IF(DB!P513="1RI",1,0)+IF(DB!P513="2RI",2,0)</f>
        <v>0</v>
      </c>
      <c r="W513">
        <f>+IF(DB!P513="1RV",1,0)+IF(DB!P513="2RV",2,0)</f>
        <v>0</v>
      </c>
      <c r="X513">
        <f>+IF(DB!P513="RYI",1,0)</f>
        <v>0</v>
      </c>
      <c r="Y513">
        <f>+IF(DB!P513="RYV",1,0)</f>
        <v>0</v>
      </c>
      <c r="Z513">
        <f>+DB!U513</f>
        <v>0</v>
      </c>
      <c r="AA513">
        <f>+IF(DB!F513="AAAC-35",19.5,33)</f>
        <v>33</v>
      </c>
      <c r="AB513">
        <f>+DB!V513</f>
        <v>0</v>
      </c>
      <c r="AC513" t="str">
        <f t="shared" si="23"/>
        <v>56-4</v>
      </c>
      <c r="AD513" s="21" t="s">
        <v>72</v>
      </c>
      <c r="AE513">
        <f>+DB!X513</f>
        <v>0</v>
      </c>
      <c r="AF513" s="22">
        <f>+DB!Y513</f>
        <v>0</v>
      </c>
      <c r="AG513">
        <f>+DB!AK513</f>
        <v>0</v>
      </c>
    </row>
    <row r="514" spans="1:33" x14ac:dyDescent="0.2">
      <c r="A514">
        <f>+DB!C514</f>
        <v>0</v>
      </c>
      <c r="B514">
        <f>+DB!D514</f>
        <v>0</v>
      </c>
      <c r="C514">
        <f>+DB!E514</f>
        <v>0</v>
      </c>
      <c r="D514">
        <f t="shared" si="21"/>
        <v>0</v>
      </c>
      <c r="E514">
        <f>+DB!G514</f>
        <v>0</v>
      </c>
      <c r="F514">
        <f>+DB!H514</f>
        <v>0</v>
      </c>
      <c r="G514">
        <f>+DB!N514</f>
        <v>0</v>
      </c>
      <c r="H514">
        <f>+DB!O514</f>
        <v>0</v>
      </c>
      <c r="I514">
        <f>+DB!I514</f>
        <v>0</v>
      </c>
      <c r="J514">
        <f>+DB!J514</f>
        <v>0</v>
      </c>
      <c r="K514">
        <f>+DB!L514</f>
        <v>0</v>
      </c>
      <c r="L514" t="str">
        <f t="shared" si="22"/>
        <v/>
      </c>
      <c r="M514" t="str">
        <f>+IF(LEFT(DB!M514,3)="13/","CAC","MAD")</f>
        <v>MAD</v>
      </c>
      <c r="N514" t="str">
        <f>+RIGHT(DB!M514,6)</f>
        <v/>
      </c>
      <c r="O514">
        <v>95</v>
      </c>
      <c r="P514">
        <v>5</v>
      </c>
      <c r="Q514">
        <f>+DB!AB514</f>
        <v>0</v>
      </c>
      <c r="R514">
        <f>+DB!K514</f>
        <v>0</v>
      </c>
      <c r="S514">
        <f>+DB!F514</f>
        <v>0</v>
      </c>
      <c r="T514">
        <f>+IF(DB!F514="AAAC-35",1,3)</f>
        <v>3</v>
      </c>
      <c r="U514">
        <f>+DB!R514</f>
        <v>0</v>
      </c>
      <c r="V514">
        <f>+IF(DB!P514="1RI",1,0)+IF(DB!P514="2RI",2,0)</f>
        <v>0</v>
      </c>
      <c r="W514">
        <f>+IF(DB!P514="1RV",1,0)+IF(DB!P514="2RV",2,0)</f>
        <v>0</v>
      </c>
      <c r="X514">
        <f>+IF(DB!P514="RYI",1,0)</f>
        <v>0</v>
      </c>
      <c r="Y514">
        <f>+IF(DB!P514="RYV",1,0)</f>
        <v>0</v>
      </c>
      <c r="Z514">
        <f>+DB!U514</f>
        <v>0</v>
      </c>
      <c r="AA514">
        <f>+IF(DB!F514="AAAC-35",19.5,33)</f>
        <v>33</v>
      </c>
      <c r="AB514">
        <f>+DB!V514</f>
        <v>0</v>
      </c>
      <c r="AC514" t="str">
        <f t="shared" si="23"/>
        <v>56-4</v>
      </c>
      <c r="AD514" s="21" t="s">
        <v>72</v>
      </c>
      <c r="AE514">
        <f>+DB!X514</f>
        <v>0</v>
      </c>
      <c r="AF514" s="22">
        <f>+DB!Y514</f>
        <v>0</v>
      </c>
      <c r="AG514">
        <f>+DB!AK514</f>
        <v>0</v>
      </c>
    </row>
    <row r="515" spans="1:33" x14ac:dyDescent="0.2">
      <c r="A515">
        <f>+DB!C515</f>
        <v>0</v>
      </c>
      <c r="B515">
        <f>+DB!D515</f>
        <v>0</v>
      </c>
      <c r="C515">
        <f>+DB!E515</f>
        <v>0</v>
      </c>
      <c r="D515">
        <f t="shared" ref="D515:D578" si="24">+IF(B515="PSEC-0PA","K",0)</f>
        <v>0</v>
      </c>
      <c r="E515">
        <f>+DB!G515</f>
        <v>0</v>
      </c>
      <c r="F515">
        <f>+DB!H515</f>
        <v>0</v>
      </c>
      <c r="G515">
        <f>+DB!N515</f>
        <v>0</v>
      </c>
      <c r="H515">
        <f>+DB!O515</f>
        <v>0</v>
      </c>
      <c r="I515">
        <f>+DB!I515</f>
        <v>0</v>
      </c>
      <c r="J515">
        <f>+DB!J515</f>
        <v>0</v>
      </c>
      <c r="K515">
        <f>+DB!L515</f>
        <v>0</v>
      </c>
      <c r="L515" t="str">
        <f t="shared" ref="L515:L578" si="25">+LEFT(N515,2)</f>
        <v/>
      </c>
      <c r="M515" t="str">
        <f>+IF(LEFT(DB!M515,3)="13/","CAC","MAD")</f>
        <v>MAD</v>
      </c>
      <c r="N515" t="str">
        <f>+RIGHT(DB!M515,6)</f>
        <v/>
      </c>
      <c r="O515">
        <v>95</v>
      </c>
      <c r="P515">
        <v>5</v>
      </c>
      <c r="Q515">
        <f>+DB!AB515</f>
        <v>0</v>
      </c>
      <c r="R515">
        <f>+DB!K515</f>
        <v>0</v>
      </c>
      <c r="S515">
        <f>+DB!F515</f>
        <v>0</v>
      </c>
      <c r="T515">
        <f>+IF(DB!F515="AAAC-35",1,3)</f>
        <v>3</v>
      </c>
      <c r="U515">
        <f>+DB!R515</f>
        <v>0</v>
      </c>
      <c r="V515">
        <f>+IF(DB!P515="1RI",1,0)+IF(DB!P515="2RI",2,0)</f>
        <v>0</v>
      </c>
      <c r="W515">
        <f>+IF(DB!P515="1RV",1,0)+IF(DB!P515="2RV",2,0)</f>
        <v>0</v>
      </c>
      <c r="X515">
        <f>+IF(DB!P515="RYI",1,0)</f>
        <v>0</v>
      </c>
      <c r="Y515">
        <f>+IF(DB!P515="RYV",1,0)</f>
        <v>0</v>
      </c>
      <c r="Z515">
        <f>+DB!U515</f>
        <v>0</v>
      </c>
      <c r="AA515">
        <f>+IF(DB!F515="AAAC-35",19.5,33)</f>
        <v>33</v>
      </c>
      <c r="AB515">
        <f>+DB!V515</f>
        <v>0</v>
      </c>
      <c r="AC515" t="str">
        <f t="shared" ref="AC515:AC578" si="26">+IF(F515&gt;1675,"56-5","56-4")</f>
        <v>56-4</v>
      </c>
      <c r="AD515" s="21" t="s">
        <v>72</v>
      </c>
      <c r="AE515">
        <f>+DB!X515</f>
        <v>0</v>
      </c>
      <c r="AF515" s="22">
        <f>+DB!Y515</f>
        <v>0</v>
      </c>
      <c r="AG515">
        <f>+DB!AK515</f>
        <v>0</v>
      </c>
    </row>
    <row r="516" spans="1:33" x14ac:dyDescent="0.2">
      <c r="A516">
        <f>+DB!C516</f>
        <v>0</v>
      </c>
      <c r="B516">
        <f>+DB!D516</f>
        <v>0</v>
      </c>
      <c r="C516">
        <f>+DB!E516</f>
        <v>0</v>
      </c>
      <c r="D516">
        <f t="shared" si="24"/>
        <v>0</v>
      </c>
      <c r="E516">
        <f>+DB!G516</f>
        <v>0</v>
      </c>
      <c r="F516">
        <f>+DB!H516</f>
        <v>0</v>
      </c>
      <c r="G516">
        <f>+DB!N516</f>
        <v>0</v>
      </c>
      <c r="H516">
        <f>+DB!O516</f>
        <v>0</v>
      </c>
      <c r="I516">
        <f>+DB!I516</f>
        <v>0</v>
      </c>
      <c r="J516">
        <f>+DB!J516</f>
        <v>0</v>
      </c>
      <c r="K516">
        <f>+DB!L516</f>
        <v>0</v>
      </c>
      <c r="L516" t="str">
        <f t="shared" si="25"/>
        <v/>
      </c>
      <c r="M516" t="str">
        <f>+IF(LEFT(DB!M516,3)="13/","CAC","MAD")</f>
        <v>MAD</v>
      </c>
      <c r="N516" t="str">
        <f>+RIGHT(DB!M516,6)</f>
        <v/>
      </c>
      <c r="O516">
        <v>95</v>
      </c>
      <c r="P516">
        <v>5</v>
      </c>
      <c r="Q516">
        <f>+DB!AB516</f>
        <v>0</v>
      </c>
      <c r="R516">
        <f>+DB!K516</f>
        <v>0</v>
      </c>
      <c r="S516">
        <f>+DB!F516</f>
        <v>0</v>
      </c>
      <c r="T516">
        <f>+IF(DB!F516="AAAC-35",1,3)</f>
        <v>3</v>
      </c>
      <c r="U516">
        <f>+DB!R516</f>
        <v>0</v>
      </c>
      <c r="V516">
        <f>+IF(DB!P516="1RI",1,0)+IF(DB!P516="2RI",2,0)</f>
        <v>0</v>
      </c>
      <c r="W516">
        <f>+IF(DB!P516="1RV",1,0)+IF(DB!P516="2RV",2,0)</f>
        <v>0</v>
      </c>
      <c r="X516">
        <f>+IF(DB!P516="RYI",1,0)</f>
        <v>0</v>
      </c>
      <c r="Y516">
        <f>+IF(DB!P516="RYV",1,0)</f>
        <v>0</v>
      </c>
      <c r="Z516">
        <f>+DB!U516</f>
        <v>0</v>
      </c>
      <c r="AA516">
        <f>+IF(DB!F516="AAAC-35",19.5,33)</f>
        <v>33</v>
      </c>
      <c r="AB516">
        <f>+DB!V516</f>
        <v>0</v>
      </c>
      <c r="AC516" t="str">
        <f t="shared" si="26"/>
        <v>56-4</v>
      </c>
      <c r="AD516" s="21" t="s">
        <v>72</v>
      </c>
      <c r="AE516">
        <f>+DB!X516</f>
        <v>0</v>
      </c>
      <c r="AF516" s="22">
        <f>+DB!Y516</f>
        <v>0</v>
      </c>
      <c r="AG516">
        <f>+DB!AK516</f>
        <v>0</v>
      </c>
    </row>
    <row r="517" spans="1:33" x14ac:dyDescent="0.2">
      <c r="A517">
        <f>+DB!C517</f>
        <v>0</v>
      </c>
      <c r="B517">
        <f>+DB!D517</f>
        <v>0</v>
      </c>
      <c r="C517">
        <f>+DB!E517</f>
        <v>0</v>
      </c>
      <c r="D517">
        <f t="shared" si="24"/>
        <v>0</v>
      </c>
      <c r="E517">
        <f>+DB!G517</f>
        <v>0</v>
      </c>
      <c r="F517">
        <f>+DB!H517</f>
        <v>0</v>
      </c>
      <c r="G517">
        <f>+DB!N517</f>
        <v>0</v>
      </c>
      <c r="H517">
        <f>+DB!O517</f>
        <v>0</v>
      </c>
      <c r="I517">
        <f>+DB!I517</f>
        <v>0</v>
      </c>
      <c r="J517">
        <f>+DB!J517</f>
        <v>0</v>
      </c>
      <c r="K517">
        <f>+DB!L517</f>
        <v>0</v>
      </c>
      <c r="L517" t="str">
        <f t="shared" si="25"/>
        <v/>
      </c>
      <c r="M517" t="str">
        <f>+IF(LEFT(DB!M517,3)="13/","CAC","MAD")</f>
        <v>MAD</v>
      </c>
      <c r="N517" t="str">
        <f>+RIGHT(DB!M517,6)</f>
        <v/>
      </c>
      <c r="O517">
        <v>95</v>
      </c>
      <c r="P517">
        <v>5</v>
      </c>
      <c r="Q517">
        <f>+DB!AB517</f>
        <v>0</v>
      </c>
      <c r="R517">
        <f>+DB!K517</f>
        <v>0</v>
      </c>
      <c r="S517">
        <f>+DB!F517</f>
        <v>0</v>
      </c>
      <c r="T517">
        <f>+IF(DB!F517="AAAC-35",1,3)</f>
        <v>3</v>
      </c>
      <c r="U517">
        <f>+DB!R517</f>
        <v>0</v>
      </c>
      <c r="V517">
        <f>+IF(DB!P517="1RI",1,0)+IF(DB!P517="2RI",2,0)</f>
        <v>0</v>
      </c>
      <c r="W517">
        <f>+IF(DB!P517="1RV",1,0)+IF(DB!P517="2RV",2,0)</f>
        <v>0</v>
      </c>
      <c r="X517">
        <f>+IF(DB!P517="RYI",1,0)</f>
        <v>0</v>
      </c>
      <c r="Y517">
        <f>+IF(DB!P517="RYV",1,0)</f>
        <v>0</v>
      </c>
      <c r="Z517">
        <f>+DB!U517</f>
        <v>0</v>
      </c>
      <c r="AA517">
        <f>+IF(DB!F517="AAAC-35",19.5,33)</f>
        <v>33</v>
      </c>
      <c r="AB517">
        <f>+DB!V517</f>
        <v>0</v>
      </c>
      <c r="AC517" t="str">
        <f t="shared" si="26"/>
        <v>56-4</v>
      </c>
      <c r="AD517" s="21" t="s">
        <v>72</v>
      </c>
      <c r="AE517">
        <f>+DB!X517</f>
        <v>0</v>
      </c>
      <c r="AF517" s="22">
        <f>+DB!Y517</f>
        <v>0</v>
      </c>
      <c r="AG517">
        <f>+DB!AK517</f>
        <v>0</v>
      </c>
    </row>
    <row r="518" spans="1:33" x14ac:dyDescent="0.2">
      <c r="A518">
        <f>+DB!C518</f>
        <v>0</v>
      </c>
      <c r="B518">
        <f>+DB!D518</f>
        <v>0</v>
      </c>
      <c r="C518">
        <f>+DB!E518</f>
        <v>0</v>
      </c>
      <c r="D518">
        <f t="shared" si="24"/>
        <v>0</v>
      </c>
      <c r="E518">
        <f>+DB!G518</f>
        <v>0</v>
      </c>
      <c r="F518">
        <f>+DB!H518</f>
        <v>0</v>
      </c>
      <c r="G518">
        <f>+DB!N518</f>
        <v>0</v>
      </c>
      <c r="H518">
        <f>+DB!O518</f>
        <v>0</v>
      </c>
      <c r="I518">
        <f>+DB!I518</f>
        <v>0</v>
      </c>
      <c r="J518">
        <f>+DB!J518</f>
        <v>0</v>
      </c>
      <c r="K518">
        <f>+DB!L518</f>
        <v>0</v>
      </c>
      <c r="L518" t="str">
        <f t="shared" si="25"/>
        <v/>
      </c>
      <c r="M518" t="str">
        <f>+IF(LEFT(DB!M518,3)="13/","CAC","MAD")</f>
        <v>MAD</v>
      </c>
      <c r="N518" t="str">
        <f>+RIGHT(DB!M518,6)</f>
        <v/>
      </c>
      <c r="O518">
        <v>95</v>
      </c>
      <c r="P518">
        <v>5</v>
      </c>
      <c r="Q518">
        <f>+DB!AB518</f>
        <v>0</v>
      </c>
      <c r="R518">
        <f>+DB!K518</f>
        <v>0</v>
      </c>
      <c r="S518">
        <f>+DB!F518</f>
        <v>0</v>
      </c>
      <c r="T518">
        <f>+IF(DB!F518="AAAC-35",1,3)</f>
        <v>3</v>
      </c>
      <c r="U518">
        <f>+DB!R518</f>
        <v>0</v>
      </c>
      <c r="V518">
        <f>+IF(DB!P518="1RI",1,0)+IF(DB!P518="2RI",2,0)</f>
        <v>0</v>
      </c>
      <c r="W518">
        <f>+IF(DB!P518="1RV",1,0)+IF(DB!P518="2RV",2,0)</f>
        <v>0</v>
      </c>
      <c r="X518">
        <f>+IF(DB!P518="RYI",1,0)</f>
        <v>0</v>
      </c>
      <c r="Y518">
        <f>+IF(DB!P518="RYV",1,0)</f>
        <v>0</v>
      </c>
      <c r="Z518">
        <f>+DB!U518</f>
        <v>0</v>
      </c>
      <c r="AA518">
        <f>+IF(DB!F518="AAAC-35",19.5,33)</f>
        <v>33</v>
      </c>
      <c r="AB518">
        <f>+DB!V518</f>
        <v>0</v>
      </c>
      <c r="AC518" t="str">
        <f t="shared" si="26"/>
        <v>56-4</v>
      </c>
      <c r="AD518" s="21" t="s">
        <v>72</v>
      </c>
      <c r="AE518">
        <f>+DB!X518</f>
        <v>0</v>
      </c>
      <c r="AF518" s="22">
        <f>+DB!Y518</f>
        <v>0</v>
      </c>
      <c r="AG518">
        <f>+DB!AK518</f>
        <v>0</v>
      </c>
    </row>
    <row r="519" spans="1:33" x14ac:dyDescent="0.2">
      <c r="A519">
        <f>+DB!C519</f>
        <v>0</v>
      </c>
      <c r="B519">
        <f>+DB!D519</f>
        <v>0</v>
      </c>
      <c r="C519">
        <f>+DB!E519</f>
        <v>0</v>
      </c>
      <c r="D519">
        <f t="shared" si="24"/>
        <v>0</v>
      </c>
      <c r="E519">
        <f>+DB!G519</f>
        <v>0</v>
      </c>
      <c r="F519">
        <f>+DB!H519</f>
        <v>0</v>
      </c>
      <c r="G519">
        <f>+DB!N519</f>
        <v>0</v>
      </c>
      <c r="H519">
        <f>+DB!O519</f>
        <v>0</v>
      </c>
      <c r="I519">
        <f>+DB!I519</f>
        <v>0</v>
      </c>
      <c r="J519">
        <f>+DB!J519</f>
        <v>0</v>
      </c>
      <c r="K519">
        <f>+DB!L519</f>
        <v>0</v>
      </c>
      <c r="L519" t="str">
        <f t="shared" si="25"/>
        <v/>
      </c>
      <c r="M519" t="str">
        <f>+IF(LEFT(DB!M519,3)="13/","CAC","MAD")</f>
        <v>MAD</v>
      </c>
      <c r="N519" t="str">
        <f>+RIGHT(DB!M519,6)</f>
        <v/>
      </c>
      <c r="O519">
        <v>95</v>
      </c>
      <c r="P519">
        <v>5</v>
      </c>
      <c r="Q519">
        <f>+DB!AB519</f>
        <v>0</v>
      </c>
      <c r="R519">
        <f>+DB!K519</f>
        <v>0</v>
      </c>
      <c r="S519">
        <f>+DB!F519</f>
        <v>0</v>
      </c>
      <c r="T519">
        <f>+IF(DB!F519="AAAC-35",1,3)</f>
        <v>3</v>
      </c>
      <c r="U519">
        <f>+DB!R519</f>
        <v>0</v>
      </c>
      <c r="V519">
        <f>+IF(DB!P519="1RI",1,0)+IF(DB!P519="2RI",2,0)</f>
        <v>0</v>
      </c>
      <c r="W519">
        <f>+IF(DB!P519="1RV",1,0)+IF(DB!P519="2RV",2,0)</f>
        <v>0</v>
      </c>
      <c r="X519">
        <f>+IF(DB!P519="RYI",1,0)</f>
        <v>0</v>
      </c>
      <c r="Y519">
        <f>+IF(DB!P519="RYV",1,0)</f>
        <v>0</v>
      </c>
      <c r="Z519">
        <f>+DB!U519</f>
        <v>0</v>
      </c>
      <c r="AA519">
        <f>+IF(DB!F519="AAAC-35",19.5,33)</f>
        <v>33</v>
      </c>
      <c r="AB519">
        <f>+DB!V519</f>
        <v>0</v>
      </c>
      <c r="AC519" t="str">
        <f t="shared" si="26"/>
        <v>56-4</v>
      </c>
      <c r="AD519" s="21" t="s">
        <v>72</v>
      </c>
      <c r="AE519">
        <f>+DB!X519</f>
        <v>0</v>
      </c>
      <c r="AF519" s="22">
        <f>+DB!Y519</f>
        <v>0</v>
      </c>
      <c r="AG519">
        <f>+DB!AK519</f>
        <v>0</v>
      </c>
    </row>
    <row r="520" spans="1:33" x14ac:dyDescent="0.2">
      <c r="A520">
        <f>+DB!C520</f>
        <v>0</v>
      </c>
      <c r="B520">
        <f>+DB!D520</f>
        <v>0</v>
      </c>
      <c r="C520">
        <f>+DB!E520</f>
        <v>0</v>
      </c>
      <c r="D520">
        <f t="shared" si="24"/>
        <v>0</v>
      </c>
      <c r="E520">
        <f>+DB!G520</f>
        <v>0</v>
      </c>
      <c r="F520">
        <f>+DB!H520</f>
        <v>0</v>
      </c>
      <c r="G520">
        <f>+DB!N520</f>
        <v>0</v>
      </c>
      <c r="H520">
        <f>+DB!O520</f>
        <v>0</v>
      </c>
      <c r="I520">
        <f>+DB!I520</f>
        <v>0</v>
      </c>
      <c r="J520">
        <f>+DB!J520</f>
        <v>0</v>
      </c>
      <c r="K520">
        <f>+DB!L520</f>
        <v>0</v>
      </c>
      <c r="L520" t="str">
        <f t="shared" si="25"/>
        <v/>
      </c>
      <c r="M520" t="str">
        <f>+IF(LEFT(DB!M520,3)="13/","CAC","MAD")</f>
        <v>MAD</v>
      </c>
      <c r="N520" t="str">
        <f>+RIGHT(DB!M520,6)</f>
        <v/>
      </c>
      <c r="O520">
        <v>95</v>
      </c>
      <c r="P520">
        <v>5</v>
      </c>
      <c r="Q520">
        <f>+DB!AB520</f>
        <v>0</v>
      </c>
      <c r="R520">
        <f>+DB!K520</f>
        <v>0</v>
      </c>
      <c r="S520">
        <f>+DB!F520</f>
        <v>0</v>
      </c>
      <c r="T520">
        <f>+IF(DB!F520="AAAC-35",1,3)</f>
        <v>3</v>
      </c>
      <c r="U520">
        <f>+DB!R520</f>
        <v>0</v>
      </c>
      <c r="V520">
        <f>+IF(DB!P520="1RI",1,0)+IF(DB!P520="2RI",2,0)</f>
        <v>0</v>
      </c>
      <c r="W520">
        <f>+IF(DB!P520="1RV",1,0)+IF(DB!P520="2RV",2,0)</f>
        <v>0</v>
      </c>
      <c r="X520">
        <f>+IF(DB!P520="RYI",1,0)</f>
        <v>0</v>
      </c>
      <c r="Y520">
        <f>+IF(DB!P520="RYV",1,0)</f>
        <v>0</v>
      </c>
      <c r="Z520">
        <f>+DB!U520</f>
        <v>0</v>
      </c>
      <c r="AA520">
        <f>+IF(DB!F520="AAAC-35",19.5,33)</f>
        <v>33</v>
      </c>
      <c r="AB520">
        <f>+DB!V520</f>
        <v>0</v>
      </c>
      <c r="AC520" t="str">
        <f t="shared" si="26"/>
        <v>56-4</v>
      </c>
      <c r="AD520" s="21" t="s">
        <v>72</v>
      </c>
      <c r="AE520">
        <f>+DB!X520</f>
        <v>0</v>
      </c>
      <c r="AF520" s="22">
        <f>+DB!Y520</f>
        <v>0</v>
      </c>
      <c r="AG520">
        <f>+DB!AK520</f>
        <v>0</v>
      </c>
    </row>
    <row r="521" spans="1:33" x14ac:dyDescent="0.2">
      <c r="A521">
        <f>+DB!C521</f>
        <v>0</v>
      </c>
      <c r="B521">
        <f>+DB!D521</f>
        <v>0</v>
      </c>
      <c r="C521">
        <f>+DB!E521</f>
        <v>0</v>
      </c>
      <c r="D521">
        <f t="shared" si="24"/>
        <v>0</v>
      </c>
      <c r="E521">
        <f>+DB!G521</f>
        <v>0</v>
      </c>
      <c r="F521">
        <f>+DB!H521</f>
        <v>0</v>
      </c>
      <c r="G521">
        <f>+DB!N521</f>
        <v>0</v>
      </c>
      <c r="H521">
        <f>+DB!O521</f>
        <v>0</v>
      </c>
      <c r="I521">
        <f>+DB!I521</f>
        <v>0</v>
      </c>
      <c r="J521">
        <f>+DB!J521</f>
        <v>0</v>
      </c>
      <c r="K521">
        <f>+DB!L521</f>
        <v>0</v>
      </c>
      <c r="L521" t="str">
        <f t="shared" si="25"/>
        <v/>
      </c>
      <c r="M521" t="str">
        <f>+IF(LEFT(DB!M521,3)="13/","CAC","MAD")</f>
        <v>MAD</v>
      </c>
      <c r="N521" t="str">
        <f>+RIGHT(DB!M521,6)</f>
        <v/>
      </c>
      <c r="O521">
        <v>95</v>
      </c>
      <c r="P521">
        <v>5</v>
      </c>
      <c r="Q521">
        <f>+DB!AB521</f>
        <v>0</v>
      </c>
      <c r="R521">
        <f>+DB!K521</f>
        <v>0</v>
      </c>
      <c r="S521">
        <f>+DB!F521</f>
        <v>0</v>
      </c>
      <c r="T521">
        <f>+IF(DB!F521="AAAC-35",1,3)</f>
        <v>3</v>
      </c>
      <c r="U521">
        <f>+DB!R521</f>
        <v>0</v>
      </c>
      <c r="V521">
        <f>+IF(DB!P521="1RI",1,0)+IF(DB!P521="2RI",2,0)</f>
        <v>0</v>
      </c>
      <c r="W521">
        <f>+IF(DB!P521="1RV",1,0)+IF(DB!P521="2RV",2,0)</f>
        <v>0</v>
      </c>
      <c r="X521">
        <f>+IF(DB!P521="RYI",1,0)</f>
        <v>0</v>
      </c>
      <c r="Y521">
        <f>+IF(DB!P521="RYV",1,0)</f>
        <v>0</v>
      </c>
      <c r="Z521">
        <f>+DB!U521</f>
        <v>0</v>
      </c>
      <c r="AA521">
        <f>+IF(DB!F521="AAAC-35",19.5,33)</f>
        <v>33</v>
      </c>
      <c r="AB521">
        <f>+DB!V521</f>
        <v>0</v>
      </c>
      <c r="AC521" t="str">
        <f t="shared" si="26"/>
        <v>56-4</v>
      </c>
      <c r="AD521" s="21" t="s">
        <v>72</v>
      </c>
      <c r="AE521">
        <f>+DB!X521</f>
        <v>0</v>
      </c>
      <c r="AF521" s="22">
        <f>+DB!Y521</f>
        <v>0</v>
      </c>
      <c r="AG521">
        <f>+DB!AK521</f>
        <v>0</v>
      </c>
    </row>
    <row r="522" spans="1:33" x14ac:dyDescent="0.2">
      <c r="A522">
        <f>+DB!C522</f>
        <v>0</v>
      </c>
      <c r="B522">
        <f>+DB!D522</f>
        <v>0</v>
      </c>
      <c r="C522">
        <f>+DB!E522</f>
        <v>0</v>
      </c>
      <c r="D522">
        <f t="shared" si="24"/>
        <v>0</v>
      </c>
      <c r="E522">
        <f>+DB!G522</f>
        <v>0</v>
      </c>
      <c r="F522">
        <f>+DB!H522</f>
        <v>0</v>
      </c>
      <c r="G522">
        <f>+DB!N522</f>
        <v>0</v>
      </c>
      <c r="H522">
        <f>+DB!O522</f>
        <v>0</v>
      </c>
      <c r="I522">
        <f>+DB!I522</f>
        <v>0</v>
      </c>
      <c r="J522">
        <f>+DB!J522</f>
        <v>0</v>
      </c>
      <c r="K522">
        <f>+DB!L522</f>
        <v>0</v>
      </c>
      <c r="L522" t="str">
        <f t="shared" si="25"/>
        <v/>
      </c>
      <c r="M522" t="str">
        <f>+IF(LEFT(DB!M522,3)="13/","CAC","MAD")</f>
        <v>MAD</v>
      </c>
      <c r="N522" t="str">
        <f>+RIGHT(DB!M522,6)</f>
        <v/>
      </c>
      <c r="O522">
        <v>95</v>
      </c>
      <c r="P522">
        <v>5</v>
      </c>
      <c r="Q522">
        <f>+DB!AB522</f>
        <v>0</v>
      </c>
      <c r="R522">
        <f>+DB!K522</f>
        <v>0</v>
      </c>
      <c r="S522">
        <f>+DB!F522</f>
        <v>0</v>
      </c>
      <c r="T522">
        <f>+IF(DB!F522="AAAC-35",1,3)</f>
        <v>3</v>
      </c>
      <c r="U522">
        <f>+DB!R522</f>
        <v>0</v>
      </c>
      <c r="V522">
        <f>+IF(DB!P522="1RI",1,0)+IF(DB!P522="2RI",2,0)</f>
        <v>0</v>
      </c>
      <c r="W522">
        <f>+IF(DB!P522="1RV",1,0)+IF(DB!P522="2RV",2,0)</f>
        <v>0</v>
      </c>
      <c r="X522">
        <f>+IF(DB!P522="RYI",1,0)</f>
        <v>0</v>
      </c>
      <c r="Y522">
        <f>+IF(DB!P522="RYV",1,0)</f>
        <v>0</v>
      </c>
      <c r="Z522">
        <f>+DB!U522</f>
        <v>0</v>
      </c>
      <c r="AA522">
        <f>+IF(DB!F522="AAAC-35",19.5,33)</f>
        <v>33</v>
      </c>
      <c r="AB522">
        <f>+DB!V522</f>
        <v>0</v>
      </c>
      <c r="AC522" t="str">
        <f t="shared" si="26"/>
        <v>56-4</v>
      </c>
      <c r="AD522" s="21" t="s">
        <v>72</v>
      </c>
      <c r="AE522">
        <f>+DB!X522</f>
        <v>0</v>
      </c>
      <c r="AF522" s="22">
        <f>+DB!Y522</f>
        <v>0</v>
      </c>
      <c r="AG522">
        <f>+DB!AK522</f>
        <v>0</v>
      </c>
    </row>
    <row r="523" spans="1:33" x14ac:dyDescent="0.2">
      <c r="A523">
        <f>+DB!C523</f>
        <v>0</v>
      </c>
      <c r="B523">
        <f>+DB!D523</f>
        <v>0</v>
      </c>
      <c r="C523">
        <f>+DB!E523</f>
        <v>0</v>
      </c>
      <c r="D523">
        <f t="shared" si="24"/>
        <v>0</v>
      </c>
      <c r="E523">
        <f>+DB!G523</f>
        <v>0</v>
      </c>
      <c r="F523">
        <f>+DB!H523</f>
        <v>0</v>
      </c>
      <c r="G523">
        <f>+DB!N523</f>
        <v>0</v>
      </c>
      <c r="H523">
        <f>+DB!O523</f>
        <v>0</v>
      </c>
      <c r="I523">
        <f>+DB!I523</f>
        <v>0</v>
      </c>
      <c r="J523">
        <f>+DB!J523</f>
        <v>0</v>
      </c>
      <c r="K523">
        <f>+DB!L523</f>
        <v>0</v>
      </c>
      <c r="L523" t="str">
        <f t="shared" si="25"/>
        <v/>
      </c>
      <c r="M523" t="str">
        <f>+IF(LEFT(DB!M523,3)="13/","CAC","MAD")</f>
        <v>MAD</v>
      </c>
      <c r="N523" t="str">
        <f>+RIGHT(DB!M523,6)</f>
        <v/>
      </c>
      <c r="O523">
        <v>95</v>
      </c>
      <c r="P523">
        <v>5</v>
      </c>
      <c r="Q523">
        <f>+DB!AB523</f>
        <v>0</v>
      </c>
      <c r="R523">
        <f>+DB!K523</f>
        <v>0</v>
      </c>
      <c r="S523">
        <f>+DB!F523</f>
        <v>0</v>
      </c>
      <c r="T523">
        <f>+IF(DB!F523="AAAC-35",1,3)</f>
        <v>3</v>
      </c>
      <c r="U523">
        <f>+DB!R523</f>
        <v>0</v>
      </c>
      <c r="V523">
        <f>+IF(DB!P523="1RI",1,0)+IF(DB!P523="2RI",2,0)</f>
        <v>0</v>
      </c>
      <c r="W523">
        <f>+IF(DB!P523="1RV",1,0)+IF(DB!P523="2RV",2,0)</f>
        <v>0</v>
      </c>
      <c r="X523">
        <f>+IF(DB!P523="RYI",1,0)</f>
        <v>0</v>
      </c>
      <c r="Y523">
        <f>+IF(DB!P523="RYV",1,0)</f>
        <v>0</v>
      </c>
      <c r="Z523">
        <f>+DB!U523</f>
        <v>0</v>
      </c>
      <c r="AA523">
        <f>+IF(DB!F523="AAAC-35",19.5,33)</f>
        <v>33</v>
      </c>
      <c r="AB523">
        <f>+DB!V523</f>
        <v>0</v>
      </c>
      <c r="AC523" t="str">
        <f t="shared" si="26"/>
        <v>56-4</v>
      </c>
      <c r="AD523" s="21" t="s">
        <v>72</v>
      </c>
      <c r="AE523">
        <f>+DB!X523</f>
        <v>0</v>
      </c>
      <c r="AF523" s="22">
        <f>+DB!Y523</f>
        <v>0</v>
      </c>
      <c r="AG523">
        <f>+DB!AK523</f>
        <v>0</v>
      </c>
    </row>
    <row r="524" spans="1:33" x14ac:dyDescent="0.2">
      <c r="A524">
        <f>+DB!C524</f>
        <v>0</v>
      </c>
      <c r="B524">
        <f>+DB!D524</f>
        <v>0</v>
      </c>
      <c r="C524">
        <f>+DB!E524</f>
        <v>0</v>
      </c>
      <c r="D524">
        <f t="shared" si="24"/>
        <v>0</v>
      </c>
      <c r="E524">
        <f>+DB!G524</f>
        <v>0</v>
      </c>
      <c r="F524">
        <f>+DB!H524</f>
        <v>0</v>
      </c>
      <c r="G524">
        <f>+DB!N524</f>
        <v>0</v>
      </c>
      <c r="H524">
        <f>+DB!O524</f>
        <v>0</v>
      </c>
      <c r="I524">
        <f>+DB!I524</f>
        <v>0</v>
      </c>
      <c r="J524">
        <f>+DB!J524</f>
        <v>0</v>
      </c>
      <c r="K524">
        <f>+DB!L524</f>
        <v>0</v>
      </c>
      <c r="L524" t="str">
        <f t="shared" si="25"/>
        <v/>
      </c>
      <c r="M524" t="str">
        <f>+IF(LEFT(DB!M524,3)="13/","CAC","MAD")</f>
        <v>MAD</v>
      </c>
      <c r="N524" t="str">
        <f>+RIGHT(DB!M524,6)</f>
        <v/>
      </c>
      <c r="O524">
        <v>95</v>
      </c>
      <c r="P524">
        <v>5</v>
      </c>
      <c r="Q524">
        <f>+DB!AB524</f>
        <v>0</v>
      </c>
      <c r="R524">
        <f>+DB!K524</f>
        <v>0</v>
      </c>
      <c r="S524">
        <f>+DB!F524</f>
        <v>0</v>
      </c>
      <c r="T524">
        <f>+IF(DB!F524="AAAC-35",1,3)</f>
        <v>3</v>
      </c>
      <c r="U524">
        <f>+DB!R524</f>
        <v>0</v>
      </c>
      <c r="V524">
        <f>+IF(DB!P524="1RI",1,0)+IF(DB!P524="2RI",2,0)</f>
        <v>0</v>
      </c>
      <c r="W524">
        <f>+IF(DB!P524="1RV",1,0)+IF(DB!P524="2RV",2,0)</f>
        <v>0</v>
      </c>
      <c r="X524">
        <f>+IF(DB!P524="RYI",1,0)</f>
        <v>0</v>
      </c>
      <c r="Y524">
        <f>+IF(DB!P524="RYV",1,0)</f>
        <v>0</v>
      </c>
      <c r="Z524">
        <f>+DB!U524</f>
        <v>0</v>
      </c>
      <c r="AA524">
        <f>+IF(DB!F524="AAAC-35",19.5,33)</f>
        <v>33</v>
      </c>
      <c r="AB524">
        <f>+DB!V524</f>
        <v>0</v>
      </c>
      <c r="AC524" t="str">
        <f t="shared" si="26"/>
        <v>56-4</v>
      </c>
      <c r="AD524" s="21" t="s">
        <v>72</v>
      </c>
      <c r="AE524">
        <f>+DB!X524</f>
        <v>0</v>
      </c>
      <c r="AF524" s="22">
        <f>+DB!Y524</f>
        <v>0</v>
      </c>
      <c r="AG524">
        <f>+DB!AK524</f>
        <v>0</v>
      </c>
    </row>
    <row r="525" spans="1:33" x14ac:dyDescent="0.2">
      <c r="A525">
        <f>+DB!C525</f>
        <v>0</v>
      </c>
      <c r="B525">
        <f>+DB!D525</f>
        <v>0</v>
      </c>
      <c r="C525">
        <f>+DB!E525</f>
        <v>0</v>
      </c>
      <c r="D525">
        <f t="shared" si="24"/>
        <v>0</v>
      </c>
      <c r="E525">
        <f>+DB!G525</f>
        <v>0</v>
      </c>
      <c r="F525">
        <f>+DB!H525</f>
        <v>0</v>
      </c>
      <c r="G525">
        <f>+DB!N525</f>
        <v>0</v>
      </c>
      <c r="H525">
        <f>+DB!O525</f>
        <v>0</v>
      </c>
      <c r="I525">
        <f>+DB!I525</f>
        <v>0</v>
      </c>
      <c r="J525">
        <f>+DB!J525</f>
        <v>0</v>
      </c>
      <c r="K525">
        <f>+DB!L525</f>
        <v>0</v>
      </c>
      <c r="L525" t="str">
        <f t="shared" si="25"/>
        <v/>
      </c>
      <c r="M525" t="str">
        <f>+IF(LEFT(DB!M525,3)="13/","CAC","MAD")</f>
        <v>MAD</v>
      </c>
      <c r="N525" t="str">
        <f>+RIGHT(DB!M525,6)</f>
        <v/>
      </c>
      <c r="O525">
        <v>95</v>
      </c>
      <c r="P525">
        <v>5</v>
      </c>
      <c r="Q525">
        <f>+DB!AB525</f>
        <v>0</v>
      </c>
      <c r="R525">
        <f>+DB!K525</f>
        <v>0</v>
      </c>
      <c r="S525">
        <f>+DB!F525</f>
        <v>0</v>
      </c>
      <c r="T525">
        <f>+IF(DB!F525="AAAC-35",1,3)</f>
        <v>3</v>
      </c>
      <c r="U525">
        <f>+DB!R525</f>
        <v>0</v>
      </c>
      <c r="V525">
        <f>+IF(DB!P525="1RI",1,0)+IF(DB!P525="2RI",2,0)</f>
        <v>0</v>
      </c>
      <c r="W525">
        <f>+IF(DB!P525="1RV",1,0)+IF(DB!P525="2RV",2,0)</f>
        <v>0</v>
      </c>
      <c r="X525">
        <f>+IF(DB!P525="RYI",1,0)</f>
        <v>0</v>
      </c>
      <c r="Y525">
        <f>+IF(DB!P525="RYV",1,0)</f>
        <v>0</v>
      </c>
      <c r="Z525">
        <f>+DB!U525</f>
        <v>0</v>
      </c>
      <c r="AA525">
        <f>+IF(DB!F525="AAAC-35",19.5,33)</f>
        <v>33</v>
      </c>
      <c r="AB525">
        <f>+DB!V525</f>
        <v>0</v>
      </c>
      <c r="AC525" t="str">
        <f t="shared" si="26"/>
        <v>56-4</v>
      </c>
      <c r="AD525" s="21" t="s">
        <v>72</v>
      </c>
      <c r="AE525">
        <f>+DB!X525</f>
        <v>0</v>
      </c>
      <c r="AF525" s="22">
        <f>+DB!Y525</f>
        <v>0</v>
      </c>
      <c r="AG525">
        <f>+DB!AK525</f>
        <v>0</v>
      </c>
    </row>
    <row r="526" spans="1:33" x14ac:dyDescent="0.2">
      <c r="A526">
        <f>+DB!C526</f>
        <v>0</v>
      </c>
      <c r="B526">
        <f>+DB!D526</f>
        <v>0</v>
      </c>
      <c r="C526">
        <f>+DB!E526</f>
        <v>0</v>
      </c>
      <c r="D526">
        <f t="shared" si="24"/>
        <v>0</v>
      </c>
      <c r="E526">
        <f>+DB!G526</f>
        <v>0</v>
      </c>
      <c r="F526">
        <f>+DB!H526</f>
        <v>0</v>
      </c>
      <c r="G526">
        <f>+DB!N526</f>
        <v>0</v>
      </c>
      <c r="H526">
        <f>+DB!O526</f>
        <v>0</v>
      </c>
      <c r="I526">
        <f>+DB!I526</f>
        <v>0</v>
      </c>
      <c r="J526">
        <f>+DB!J526</f>
        <v>0</v>
      </c>
      <c r="K526">
        <f>+DB!L526</f>
        <v>0</v>
      </c>
      <c r="L526" t="str">
        <f t="shared" si="25"/>
        <v/>
      </c>
      <c r="M526" t="str">
        <f>+IF(LEFT(DB!M526,3)="13/","CAC","MAD")</f>
        <v>MAD</v>
      </c>
      <c r="N526" t="str">
        <f>+RIGHT(DB!M526,6)</f>
        <v/>
      </c>
      <c r="O526">
        <v>95</v>
      </c>
      <c r="P526">
        <v>5</v>
      </c>
      <c r="Q526">
        <f>+DB!AB526</f>
        <v>0</v>
      </c>
      <c r="R526">
        <f>+DB!K526</f>
        <v>0</v>
      </c>
      <c r="S526">
        <f>+DB!F526</f>
        <v>0</v>
      </c>
      <c r="T526">
        <f>+IF(DB!F526="AAAC-35",1,3)</f>
        <v>3</v>
      </c>
      <c r="U526">
        <f>+DB!R526</f>
        <v>0</v>
      </c>
      <c r="V526">
        <f>+IF(DB!P526="1RI",1,0)+IF(DB!P526="2RI",2,0)</f>
        <v>0</v>
      </c>
      <c r="W526">
        <f>+IF(DB!P526="1RV",1,0)+IF(DB!P526="2RV",2,0)</f>
        <v>0</v>
      </c>
      <c r="X526">
        <f>+IF(DB!P526="RYI",1,0)</f>
        <v>0</v>
      </c>
      <c r="Y526">
        <f>+IF(DB!P526="RYV",1,0)</f>
        <v>0</v>
      </c>
      <c r="Z526">
        <f>+DB!U526</f>
        <v>0</v>
      </c>
      <c r="AA526">
        <f>+IF(DB!F526="AAAC-35",19.5,33)</f>
        <v>33</v>
      </c>
      <c r="AB526">
        <f>+DB!V526</f>
        <v>0</v>
      </c>
      <c r="AC526" t="str">
        <f t="shared" si="26"/>
        <v>56-4</v>
      </c>
      <c r="AD526" s="21" t="s">
        <v>72</v>
      </c>
      <c r="AE526">
        <f>+DB!X526</f>
        <v>0</v>
      </c>
      <c r="AF526" s="22">
        <f>+DB!Y526</f>
        <v>0</v>
      </c>
      <c r="AG526">
        <f>+DB!AK526</f>
        <v>0</v>
      </c>
    </row>
    <row r="527" spans="1:33" x14ac:dyDescent="0.2">
      <c r="A527">
        <f>+DB!C527</f>
        <v>0</v>
      </c>
      <c r="B527">
        <f>+DB!D527</f>
        <v>0</v>
      </c>
      <c r="C527">
        <f>+DB!E527</f>
        <v>0</v>
      </c>
      <c r="D527">
        <f t="shared" si="24"/>
        <v>0</v>
      </c>
      <c r="E527">
        <f>+DB!G527</f>
        <v>0</v>
      </c>
      <c r="F527">
        <f>+DB!H527</f>
        <v>0</v>
      </c>
      <c r="G527">
        <f>+DB!N527</f>
        <v>0</v>
      </c>
      <c r="H527">
        <f>+DB!O527</f>
        <v>0</v>
      </c>
      <c r="I527">
        <f>+DB!I527</f>
        <v>0</v>
      </c>
      <c r="J527">
        <f>+DB!J527</f>
        <v>0</v>
      </c>
      <c r="K527">
        <f>+DB!L527</f>
        <v>0</v>
      </c>
      <c r="L527" t="str">
        <f t="shared" si="25"/>
        <v/>
      </c>
      <c r="M527" t="str">
        <f>+IF(LEFT(DB!M527,3)="13/","CAC","MAD")</f>
        <v>MAD</v>
      </c>
      <c r="N527" t="str">
        <f>+RIGHT(DB!M527,6)</f>
        <v/>
      </c>
      <c r="O527">
        <v>95</v>
      </c>
      <c r="P527">
        <v>5</v>
      </c>
      <c r="Q527">
        <f>+DB!AB527</f>
        <v>0</v>
      </c>
      <c r="R527">
        <f>+DB!K527</f>
        <v>0</v>
      </c>
      <c r="S527">
        <f>+DB!F527</f>
        <v>0</v>
      </c>
      <c r="T527">
        <f>+IF(DB!F527="AAAC-35",1,3)</f>
        <v>3</v>
      </c>
      <c r="U527">
        <f>+DB!R527</f>
        <v>0</v>
      </c>
      <c r="V527">
        <f>+IF(DB!P527="1RI",1,0)+IF(DB!P527="2RI",2,0)</f>
        <v>0</v>
      </c>
      <c r="W527">
        <f>+IF(DB!P527="1RV",1,0)+IF(DB!P527="2RV",2,0)</f>
        <v>0</v>
      </c>
      <c r="X527">
        <f>+IF(DB!P527="RYI",1,0)</f>
        <v>0</v>
      </c>
      <c r="Y527">
        <f>+IF(DB!P527="RYV",1,0)</f>
        <v>0</v>
      </c>
      <c r="Z527">
        <f>+DB!U527</f>
        <v>0</v>
      </c>
      <c r="AA527">
        <f>+IF(DB!F527="AAAC-35",19.5,33)</f>
        <v>33</v>
      </c>
      <c r="AB527">
        <f>+DB!V527</f>
        <v>0</v>
      </c>
      <c r="AC527" t="str">
        <f t="shared" si="26"/>
        <v>56-4</v>
      </c>
      <c r="AD527" s="21" t="s">
        <v>72</v>
      </c>
      <c r="AE527">
        <f>+DB!X527</f>
        <v>0</v>
      </c>
      <c r="AF527" s="22">
        <f>+DB!Y527</f>
        <v>0</v>
      </c>
      <c r="AG527">
        <f>+DB!AK527</f>
        <v>0</v>
      </c>
    </row>
    <row r="528" spans="1:33" x14ac:dyDescent="0.2">
      <c r="A528">
        <f>+DB!C528</f>
        <v>0</v>
      </c>
      <c r="B528">
        <f>+DB!D528</f>
        <v>0</v>
      </c>
      <c r="C528">
        <f>+DB!E528</f>
        <v>0</v>
      </c>
      <c r="D528">
        <f t="shared" si="24"/>
        <v>0</v>
      </c>
      <c r="E528">
        <f>+DB!G528</f>
        <v>0</v>
      </c>
      <c r="F528">
        <f>+DB!H528</f>
        <v>0</v>
      </c>
      <c r="G528">
        <f>+DB!N528</f>
        <v>0</v>
      </c>
      <c r="H528">
        <f>+DB!O528</f>
        <v>0</v>
      </c>
      <c r="I528">
        <f>+DB!I528</f>
        <v>0</v>
      </c>
      <c r="J528">
        <f>+DB!J528</f>
        <v>0</v>
      </c>
      <c r="K528">
        <f>+DB!L528</f>
        <v>0</v>
      </c>
      <c r="L528" t="str">
        <f t="shared" si="25"/>
        <v/>
      </c>
      <c r="M528" t="str">
        <f>+IF(LEFT(DB!M528,3)="13/","CAC","MAD")</f>
        <v>MAD</v>
      </c>
      <c r="N528" t="str">
        <f>+RIGHT(DB!M528,6)</f>
        <v/>
      </c>
      <c r="O528">
        <v>95</v>
      </c>
      <c r="P528">
        <v>5</v>
      </c>
      <c r="Q528">
        <f>+DB!AB528</f>
        <v>0</v>
      </c>
      <c r="R528">
        <f>+DB!K528</f>
        <v>0</v>
      </c>
      <c r="S528">
        <f>+DB!F528</f>
        <v>0</v>
      </c>
      <c r="T528">
        <f>+IF(DB!F528="AAAC-35",1,3)</f>
        <v>3</v>
      </c>
      <c r="U528">
        <f>+DB!R528</f>
        <v>0</v>
      </c>
      <c r="V528">
        <f>+IF(DB!P528="1RI",1,0)+IF(DB!P528="2RI",2,0)</f>
        <v>0</v>
      </c>
      <c r="W528">
        <f>+IF(DB!P528="1RV",1,0)+IF(DB!P528="2RV",2,0)</f>
        <v>0</v>
      </c>
      <c r="X528">
        <f>+IF(DB!P528="RYI",1,0)</f>
        <v>0</v>
      </c>
      <c r="Y528">
        <f>+IF(DB!P528="RYV",1,0)</f>
        <v>0</v>
      </c>
      <c r="Z528">
        <f>+DB!U528</f>
        <v>0</v>
      </c>
      <c r="AA528">
        <f>+IF(DB!F528="AAAC-35",19.5,33)</f>
        <v>33</v>
      </c>
      <c r="AB528">
        <f>+DB!V528</f>
        <v>0</v>
      </c>
      <c r="AC528" t="str">
        <f t="shared" si="26"/>
        <v>56-4</v>
      </c>
      <c r="AD528" s="21" t="s">
        <v>72</v>
      </c>
      <c r="AE528">
        <f>+DB!X528</f>
        <v>0</v>
      </c>
      <c r="AF528" s="22">
        <f>+DB!Y528</f>
        <v>0</v>
      </c>
      <c r="AG528">
        <f>+DB!AK528</f>
        <v>0</v>
      </c>
    </row>
    <row r="529" spans="1:33" x14ac:dyDescent="0.2">
      <c r="A529">
        <f>+DB!C529</f>
        <v>0</v>
      </c>
      <c r="B529">
        <f>+DB!D529</f>
        <v>0</v>
      </c>
      <c r="C529">
        <f>+DB!E529</f>
        <v>0</v>
      </c>
      <c r="D529">
        <f t="shared" si="24"/>
        <v>0</v>
      </c>
      <c r="E529">
        <f>+DB!G529</f>
        <v>0</v>
      </c>
      <c r="F529">
        <f>+DB!H529</f>
        <v>0</v>
      </c>
      <c r="G529">
        <f>+DB!N529</f>
        <v>0</v>
      </c>
      <c r="H529">
        <f>+DB!O529</f>
        <v>0</v>
      </c>
      <c r="I529">
        <f>+DB!I529</f>
        <v>0</v>
      </c>
      <c r="J529">
        <f>+DB!J529</f>
        <v>0</v>
      </c>
      <c r="K529">
        <f>+DB!L529</f>
        <v>0</v>
      </c>
      <c r="L529" t="str">
        <f t="shared" si="25"/>
        <v/>
      </c>
      <c r="M529" t="str">
        <f>+IF(LEFT(DB!M529,3)="13/","CAC","MAD")</f>
        <v>MAD</v>
      </c>
      <c r="N529" t="str">
        <f>+RIGHT(DB!M529,6)</f>
        <v/>
      </c>
      <c r="O529">
        <v>95</v>
      </c>
      <c r="P529">
        <v>5</v>
      </c>
      <c r="Q529">
        <f>+DB!AB529</f>
        <v>0</v>
      </c>
      <c r="R529">
        <f>+DB!K529</f>
        <v>0</v>
      </c>
      <c r="S529">
        <f>+DB!F529</f>
        <v>0</v>
      </c>
      <c r="T529">
        <f>+IF(DB!F529="AAAC-35",1,3)</f>
        <v>3</v>
      </c>
      <c r="U529">
        <f>+DB!R529</f>
        <v>0</v>
      </c>
      <c r="V529">
        <f>+IF(DB!P529="1RI",1,0)+IF(DB!P529="2RI",2,0)</f>
        <v>0</v>
      </c>
      <c r="W529">
        <f>+IF(DB!P529="1RV",1,0)+IF(DB!P529="2RV",2,0)</f>
        <v>0</v>
      </c>
      <c r="X529">
        <f>+IF(DB!P529="RYI",1,0)</f>
        <v>0</v>
      </c>
      <c r="Y529">
        <f>+IF(DB!P529="RYV",1,0)</f>
        <v>0</v>
      </c>
      <c r="Z529">
        <f>+DB!U529</f>
        <v>0</v>
      </c>
      <c r="AA529">
        <f>+IF(DB!F529="AAAC-35",19.5,33)</f>
        <v>33</v>
      </c>
      <c r="AB529">
        <f>+DB!V529</f>
        <v>0</v>
      </c>
      <c r="AC529" t="str">
        <f t="shared" si="26"/>
        <v>56-4</v>
      </c>
      <c r="AD529" s="21" t="s">
        <v>72</v>
      </c>
      <c r="AE529">
        <f>+DB!X529</f>
        <v>0</v>
      </c>
      <c r="AF529" s="22">
        <f>+DB!Y529</f>
        <v>0</v>
      </c>
      <c r="AG529">
        <f>+DB!AK529</f>
        <v>0</v>
      </c>
    </row>
    <row r="530" spans="1:33" x14ac:dyDescent="0.2">
      <c r="A530">
        <f>+DB!C530</f>
        <v>0</v>
      </c>
      <c r="B530">
        <f>+DB!D530</f>
        <v>0</v>
      </c>
      <c r="C530">
        <f>+DB!E530</f>
        <v>0</v>
      </c>
      <c r="D530">
        <f t="shared" si="24"/>
        <v>0</v>
      </c>
      <c r="E530">
        <f>+DB!G530</f>
        <v>0</v>
      </c>
      <c r="F530">
        <f>+DB!H530</f>
        <v>0</v>
      </c>
      <c r="G530">
        <f>+DB!N530</f>
        <v>0</v>
      </c>
      <c r="H530">
        <f>+DB!O530</f>
        <v>0</v>
      </c>
      <c r="I530">
        <f>+DB!I530</f>
        <v>0</v>
      </c>
      <c r="J530">
        <f>+DB!J530</f>
        <v>0</v>
      </c>
      <c r="K530">
        <f>+DB!L530</f>
        <v>0</v>
      </c>
      <c r="L530" t="str">
        <f t="shared" si="25"/>
        <v/>
      </c>
      <c r="M530" t="str">
        <f>+IF(LEFT(DB!M530,3)="13/","CAC","MAD")</f>
        <v>MAD</v>
      </c>
      <c r="N530" t="str">
        <f>+RIGHT(DB!M530,6)</f>
        <v/>
      </c>
      <c r="O530">
        <v>95</v>
      </c>
      <c r="P530">
        <v>5</v>
      </c>
      <c r="Q530">
        <f>+DB!AB530</f>
        <v>0</v>
      </c>
      <c r="R530">
        <f>+DB!K530</f>
        <v>0</v>
      </c>
      <c r="S530">
        <f>+DB!F530</f>
        <v>0</v>
      </c>
      <c r="T530">
        <f>+IF(DB!F530="AAAC-35",1,3)</f>
        <v>3</v>
      </c>
      <c r="U530">
        <f>+DB!R530</f>
        <v>0</v>
      </c>
      <c r="V530">
        <f>+IF(DB!P530="1RI",1,0)+IF(DB!P530="2RI",2,0)</f>
        <v>0</v>
      </c>
      <c r="W530">
        <f>+IF(DB!P530="1RV",1,0)+IF(DB!P530="2RV",2,0)</f>
        <v>0</v>
      </c>
      <c r="X530">
        <f>+IF(DB!P530="RYI",1,0)</f>
        <v>0</v>
      </c>
      <c r="Y530">
        <f>+IF(DB!P530="RYV",1,0)</f>
        <v>0</v>
      </c>
      <c r="Z530">
        <f>+DB!U530</f>
        <v>0</v>
      </c>
      <c r="AA530">
        <f>+IF(DB!F530="AAAC-35",19.5,33)</f>
        <v>33</v>
      </c>
      <c r="AB530">
        <f>+DB!V530</f>
        <v>0</v>
      </c>
      <c r="AC530" t="str">
        <f t="shared" si="26"/>
        <v>56-4</v>
      </c>
      <c r="AD530" s="21" t="s">
        <v>72</v>
      </c>
      <c r="AE530">
        <f>+DB!X530</f>
        <v>0</v>
      </c>
      <c r="AF530" s="22">
        <f>+DB!Y530</f>
        <v>0</v>
      </c>
      <c r="AG530">
        <f>+DB!AK530</f>
        <v>0</v>
      </c>
    </row>
    <row r="531" spans="1:33" x14ac:dyDescent="0.2">
      <c r="A531">
        <f>+DB!C531</f>
        <v>0</v>
      </c>
      <c r="B531">
        <f>+DB!D531</f>
        <v>0</v>
      </c>
      <c r="C531">
        <f>+DB!E531</f>
        <v>0</v>
      </c>
      <c r="D531">
        <f t="shared" si="24"/>
        <v>0</v>
      </c>
      <c r="E531">
        <f>+DB!G531</f>
        <v>0</v>
      </c>
      <c r="F531">
        <f>+DB!H531</f>
        <v>0</v>
      </c>
      <c r="G531">
        <f>+DB!N531</f>
        <v>0</v>
      </c>
      <c r="H531">
        <f>+DB!O531</f>
        <v>0</v>
      </c>
      <c r="I531">
        <f>+DB!I531</f>
        <v>0</v>
      </c>
      <c r="J531">
        <f>+DB!J531</f>
        <v>0</v>
      </c>
      <c r="K531">
        <f>+DB!L531</f>
        <v>0</v>
      </c>
      <c r="L531" t="str">
        <f t="shared" si="25"/>
        <v/>
      </c>
      <c r="M531" t="str">
        <f>+IF(LEFT(DB!M531,3)="13/","CAC","MAD")</f>
        <v>MAD</v>
      </c>
      <c r="N531" t="str">
        <f>+RIGHT(DB!M531,6)</f>
        <v/>
      </c>
      <c r="O531">
        <v>95</v>
      </c>
      <c r="P531">
        <v>5</v>
      </c>
      <c r="Q531">
        <f>+DB!AB531</f>
        <v>0</v>
      </c>
      <c r="R531">
        <f>+DB!K531</f>
        <v>0</v>
      </c>
      <c r="S531">
        <f>+DB!F531</f>
        <v>0</v>
      </c>
      <c r="T531">
        <f>+IF(DB!F531="AAAC-35",1,3)</f>
        <v>3</v>
      </c>
      <c r="U531">
        <f>+DB!R531</f>
        <v>0</v>
      </c>
      <c r="V531">
        <f>+IF(DB!P531="1RI",1,0)+IF(DB!P531="2RI",2,0)</f>
        <v>0</v>
      </c>
      <c r="W531">
        <f>+IF(DB!P531="1RV",1,0)+IF(DB!P531="2RV",2,0)</f>
        <v>0</v>
      </c>
      <c r="X531">
        <f>+IF(DB!P531="RYI",1,0)</f>
        <v>0</v>
      </c>
      <c r="Y531">
        <f>+IF(DB!P531="RYV",1,0)</f>
        <v>0</v>
      </c>
      <c r="Z531">
        <f>+DB!U531</f>
        <v>0</v>
      </c>
      <c r="AA531">
        <f>+IF(DB!F531="AAAC-35",19.5,33)</f>
        <v>33</v>
      </c>
      <c r="AB531">
        <f>+DB!V531</f>
        <v>0</v>
      </c>
      <c r="AC531" t="str">
        <f t="shared" si="26"/>
        <v>56-4</v>
      </c>
      <c r="AD531" s="21" t="s">
        <v>72</v>
      </c>
      <c r="AE531">
        <f>+DB!X531</f>
        <v>0</v>
      </c>
      <c r="AF531" s="22">
        <f>+DB!Y531</f>
        <v>0</v>
      </c>
      <c r="AG531">
        <f>+DB!AK531</f>
        <v>0</v>
      </c>
    </row>
    <row r="532" spans="1:33" x14ac:dyDescent="0.2">
      <c r="A532">
        <f>+DB!C532</f>
        <v>0</v>
      </c>
      <c r="B532">
        <f>+DB!D532</f>
        <v>0</v>
      </c>
      <c r="C532">
        <f>+DB!E532</f>
        <v>0</v>
      </c>
      <c r="D532">
        <f t="shared" si="24"/>
        <v>0</v>
      </c>
      <c r="E532">
        <f>+DB!G532</f>
        <v>0</v>
      </c>
      <c r="F532">
        <f>+DB!H532</f>
        <v>0</v>
      </c>
      <c r="G532">
        <f>+DB!N532</f>
        <v>0</v>
      </c>
      <c r="H532">
        <f>+DB!O532</f>
        <v>0</v>
      </c>
      <c r="I532">
        <f>+DB!I532</f>
        <v>0</v>
      </c>
      <c r="J532">
        <f>+DB!J532</f>
        <v>0</v>
      </c>
      <c r="K532">
        <f>+DB!L532</f>
        <v>0</v>
      </c>
      <c r="L532" t="str">
        <f t="shared" si="25"/>
        <v/>
      </c>
      <c r="M532" t="str">
        <f>+IF(LEFT(DB!M532,3)="13/","CAC","MAD")</f>
        <v>MAD</v>
      </c>
      <c r="N532" t="str">
        <f>+RIGHT(DB!M532,6)</f>
        <v/>
      </c>
      <c r="O532">
        <v>95</v>
      </c>
      <c r="P532">
        <v>5</v>
      </c>
      <c r="Q532">
        <f>+DB!AB532</f>
        <v>0</v>
      </c>
      <c r="R532">
        <f>+DB!K532</f>
        <v>0</v>
      </c>
      <c r="S532">
        <f>+DB!F532</f>
        <v>0</v>
      </c>
      <c r="T532">
        <f>+IF(DB!F532="AAAC-35",1,3)</f>
        <v>3</v>
      </c>
      <c r="U532">
        <f>+DB!R532</f>
        <v>0</v>
      </c>
      <c r="V532">
        <f>+IF(DB!P532="1RI",1,0)+IF(DB!P532="2RI",2,0)</f>
        <v>0</v>
      </c>
      <c r="W532">
        <f>+IF(DB!P532="1RV",1,0)+IF(DB!P532="2RV",2,0)</f>
        <v>0</v>
      </c>
      <c r="X532">
        <f>+IF(DB!P532="RYI",1,0)</f>
        <v>0</v>
      </c>
      <c r="Y532">
        <f>+IF(DB!P532="RYV",1,0)</f>
        <v>0</v>
      </c>
      <c r="Z532">
        <f>+DB!U532</f>
        <v>0</v>
      </c>
      <c r="AA532">
        <f>+IF(DB!F532="AAAC-35",19.5,33)</f>
        <v>33</v>
      </c>
      <c r="AB532">
        <f>+DB!V532</f>
        <v>0</v>
      </c>
      <c r="AC532" t="str">
        <f t="shared" si="26"/>
        <v>56-4</v>
      </c>
      <c r="AD532" s="21" t="s">
        <v>72</v>
      </c>
      <c r="AE532">
        <f>+DB!X532</f>
        <v>0</v>
      </c>
      <c r="AF532" s="22">
        <f>+DB!Y532</f>
        <v>0</v>
      </c>
      <c r="AG532">
        <f>+DB!AK532</f>
        <v>0</v>
      </c>
    </row>
    <row r="533" spans="1:33" x14ac:dyDescent="0.2">
      <c r="A533">
        <f>+DB!C533</f>
        <v>0</v>
      </c>
      <c r="B533">
        <f>+DB!D533</f>
        <v>0</v>
      </c>
      <c r="C533">
        <f>+DB!E533</f>
        <v>0</v>
      </c>
      <c r="D533">
        <f t="shared" si="24"/>
        <v>0</v>
      </c>
      <c r="E533">
        <f>+DB!G533</f>
        <v>0</v>
      </c>
      <c r="F533">
        <f>+DB!H533</f>
        <v>0</v>
      </c>
      <c r="G533">
        <f>+DB!N533</f>
        <v>0</v>
      </c>
      <c r="H533">
        <f>+DB!O533</f>
        <v>0</v>
      </c>
      <c r="I533">
        <f>+DB!I533</f>
        <v>0</v>
      </c>
      <c r="J533">
        <f>+DB!J533</f>
        <v>0</v>
      </c>
      <c r="K533">
        <f>+DB!L533</f>
        <v>0</v>
      </c>
      <c r="L533" t="str">
        <f t="shared" si="25"/>
        <v/>
      </c>
      <c r="M533" t="str">
        <f>+IF(LEFT(DB!M533,3)="13/","CAC","MAD")</f>
        <v>MAD</v>
      </c>
      <c r="N533" t="str">
        <f>+RIGHT(DB!M533,6)</f>
        <v/>
      </c>
      <c r="O533">
        <v>95</v>
      </c>
      <c r="P533">
        <v>5</v>
      </c>
      <c r="Q533">
        <f>+DB!AB533</f>
        <v>0</v>
      </c>
      <c r="R533">
        <f>+DB!K533</f>
        <v>0</v>
      </c>
      <c r="S533">
        <f>+DB!F533</f>
        <v>0</v>
      </c>
      <c r="T533">
        <f>+IF(DB!F533="AAAC-35",1,3)</f>
        <v>3</v>
      </c>
      <c r="U533">
        <f>+DB!R533</f>
        <v>0</v>
      </c>
      <c r="V533">
        <f>+IF(DB!P533="1RI",1,0)+IF(DB!P533="2RI",2,0)</f>
        <v>0</v>
      </c>
      <c r="W533">
        <f>+IF(DB!P533="1RV",1,0)+IF(DB!P533="2RV",2,0)</f>
        <v>0</v>
      </c>
      <c r="X533">
        <f>+IF(DB!P533="RYI",1,0)</f>
        <v>0</v>
      </c>
      <c r="Y533">
        <f>+IF(DB!P533="RYV",1,0)</f>
        <v>0</v>
      </c>
      <c r="Z533">
        <f>+DB!U533</f>
        <v>0</v>
      </c>
      <c r="AA533">
        <f>+IF(DB!F533="AAAC-35",19.5,33)</f>
        <v>33</v>
      </c>
      <c r="AB533">
        <f>+DB!V533</f>
        <v>0</v>
      </c>
      <c r="AC533" t="str">
        <f t="shared" si="26"/>
        <v>56-4</v>
      </c>
      <c r="AD533" s="21" t="s">
        <v>72</v>
      </c>
      <c r="AE533">
        <f>+DB!X533</f>
        <v>0</v>
      </c>
      <c r="AF533" s="22">
        <f>+DB!Y533</f>
        <v>0</v>
      </c>
      <c r="AG533">
        <f>+DB!AK533</f>
        <v>0</v>
      </c>
    </row>
    <row r="534" spans="1:33" x14ac:dyDescent="0.2">
      <c r="A534">
        <f>+DB!C534</f>
        <v>0</v>
      </c>
      <c r="B534">
        <f>+DB!D534</f>
        <v>0</v>
      </c>
      <c r="C534">
        <f>+DB!E534</f>
        <v>0</v>
      </c>
      <c r="D534">
        <f t="shared" si="24"/>
        <v>0</v>
      </c>
      <c r="E534">
        <f>+DB!G534</f>
        <v>0</v>
      </c>
      <c r="F534">
        <f>+DB!H534</f>
        <v>0</v>
      </c>
      <c r="G534">
        <f>+DB!N534</f>
        <v>0</v>
      </c>
      <c r="H534">
        <f>+DB!O534</f>
        <v>0</v>
      </c>
      <c r="I534">
        <f>+DB!I534</f>
        <v>0</v>
      </c>
      <c r="J534">
        <f>+DB!J534</f>
        <v>0</v>
      </c>
      <c r="K534">
        <f>+DB!L534</f>
        <v>0</v>
      </c>
      <c r="L534" t="str">
        <f t="shared" si="25"/>
        <v/>
      </c>
      <c r="M534" t="str">
        <f>+IF(LEFT(DB!M534,3)="13/","CAC","MAD")</f>
        <v>MAD</v>
      </c>
      <c r="N534" t="str">
        <f>+RIGHT(DB!M534,6)</f>
        <v/>
      </c>
      <c r="O534">
        <v>95</v>
      </c>
      <c r="P534">
        <v>5</v>
      </c>
      <c r="Q534">
        <f>+DB!AB534</f>
        <v>0</v>
      </c>
      <c r="R534">
        <f>+DB!K534</f>
        <v>0</v>
      </c>
      <c r="S534">
        <f>+DB!F534</f>
        <v>0</v>
      </c>
      <c r="T534">
        <f>+IF(DB!F534="AAAC-35",1,3)</f>
        <v>3</v>
      </c>
      <c r="U534">
        <f>+DB!R534</f>
        <v>0</v>
      </c>
      <c r="V534">
        <f>+IF(DB!P534="1RI",1,0)+IF(DB!P534="2RI",2,0)</f>
        <v>0</v>
      </c>
      <c r="W534">
        <f>+IF(DB!P534="1RV",1,0)+IF(DB!P534="2RV",2,0)</f>
        <v>0</v>
      </c>
      <c r="X534">
        <f>+IF(DB!P534="RYI",1,0)</f>
        <v>0</v>
      </c>
      <c r="Y534">
        <f>+IF(DB!P534="RYV",1,0)</f>
        <v>0</v>
      </c>
      <c r="Z534">
        <f>+DB!U534</f>
        <v>0</v>
      </c>
      <c r="AA534">
        <f>+IF(DB!F534="AAAC-35",19.5,33)</f>
        <v>33</v>
      </c>
      <c r="AB534">
        <f>+DB!V534</f>
        <v>0</v>
      </c>
      <c r="AC534" t="str">
        <f t="shared" si="26"/>
        <v>56-4</v>
      </c>
      <c r="AD534" s="21" t="s">
        <v>72</v>
      </c>
      <c r="AE534">
        <f>+DB!X534</f>
        <v>0</v>
      </c>
      <c r="AF534" s="22">
        <f>+DB!Y534</f>
        <v>0</v>
      </c>
      <c r="AG534">
        <f>+DB!AK534</f>
        <v>0</v>
      </c>
    </row>
    <row r="535" spans="1:33" x14ac:dyDescent="0.2">
      <c r="A535">
        <f>+DB!C535</f>
        <v>0</v>
      </c>
      <c r="B535">
        <f>+DB!D535</f>
        <v>0</v>
      </c>
      <c r="C535">
        <f>+DB!E535</f>
        <v>0</v>
      </c>
      <c r="D535">
        <f t="shared" si="24"/>
        <v>0</v>
      </c>
      <c r="E535">
        <f>+DB!G535</f>
        <v>0</v>
      </c>
      <c r="F535">
        <f>+DB!H535</f>
        <v>0</v>
      </c>
      <c r="G535">
        <f>+DB!N535</f>
        <v>0</v>
      </c>
      <c r="H535">
        <f>+DB!O535</f>
        <v>0</v>
      </c>
      <c r="I535">
        <f>+DB!I535</f>
        <v>0</v>
      </c>
      <c r="J535">
        <f>+DB!J535</f>
        <v>0</v>
      </c>
      <c r="K535">
        <f>+DB!L535</f>
        <v>0</v>
      </c>
      <c r="L535" t="str">
        <f t="shared" si="25"/>
        <v/>
      </c>
      <c r="M535" t="str">
        <f>+IF(LEFT(DB!M535,3)="13/","CAC","MAD")</f>
        <v>MAD</v>
      </c>
      <c r="N535" t="str">
        <f>+RIGHT(DB!M535,6)</f>
        <v/>
      </c>
      <c r="O535">
        <v>95</v>
      </c>
      <c r="P535">
        <v>5</v>
      </c>
      <c r="Q535">
        <f>+DB!AB535</f>
        <v>0</v>
      </c>
      <c r="R535">
        <f>+DB!K535</f>
        <v>0</v>
      </c>
      <c r="S535">
        <f>+DB!F535</f>
        <v>0</v>
      </c>
      <c r="T535">
        <f>+IF(DB!F535="AAAC-35",1,3)</f>
        <v>3</v>
      </c>
      <c r="U535">
        <f>+DB!R535</f>
        <v>0</v>
      </c>
      <c r="V535">
        <f>+IF(DB!P535="1RI",1,0)+IF(DB!P535="2RI",2,0)</f>
        <v>0</v>
      </c>
      <c r="W535">
        <f>+IF(DB!P535="1RV",1,0)+IF(DB!P535="2RV",2,0)</f>
        <v>0</v>
      </c>
      <c r="X535">
        <f>+IF(DB!P535="RYI",1,0)</f>
        <v>0</v>
      </c>
      <c r="Y535">
        <f>+IF(DB!P535="RYV",1,0)</f>
        <v>0</v>
      </c>
      <c r="Z535">
        <f>+DB!U535</f>
        <v>0</v>
      </c>
      <c r="AA535">
        <f>+IF(DB!F535="AAAC-35",19.5,33)</f>
        <v>33</v>
      </c>
      <c r="AB535">
        <f>+DB!V535</f>
        <v>0</v>
      </c>
      <c r="AC535" t="str">
        <f t="shared" si="26"/>
        <v>56-4</v>
      </c>
      <c r="AD535" s="21" t="s">
        <v>72</v>
      </c>
      <c r="AE535">
        <f>+DB!X535</f>
        <v>0</v>
      </c>
      <c r="AF535" s="22">
        <f>+DB!Y535</f>
        <v>0</v>
      </c>
      <c r="AG535">
        <f>+DB!AK535</f>
        <v>0</v>
      </c>
    </row>
    <row r="536" spans="1:33" x14ac:dyDescent="0.2">
      <c r="A536">
        <f>+DB!C536</f>
        <v>0</v>
      </c>
      <c r="B536">
        <f>+DB!D536</f>
        <v>0</v>
      </c>
      <c r="C536">
        <f>+DB!E536</f>
        <v>0</v>
      </c>
      <c r="D536">
        <f t="shared" si="24"/>
        <v>0</v>
      </c>
      <c r="E536">
        <f>+DB!G536</f>
        <v>0</v>
      </c>
      <c r="F536">
        <f>+DB!H536</f>
        <v>0</v>
      </c>
      <c r="G536">
        <f>+DB!N536</f>
        <v>0</v>
      </c>
      <c r="H536">
        <f>+DB!O536</f>
        <v>0</v>
      </c>
      <c r="I536">
        <f>+DB!I536</f>
        <v>0</v>
      </c>
      <c r="J536">
        <f>+DB!J536</f>
        <v>0</v>
      </c>
      <c r="K536">
        <f>+DB!L536</f>
        <v>0</v>
      </c>
      <c r="L536" t="str">
        <f t="shared" si="25"/>
        <v/>
      </c>
      <c r="M536" t="str">
        <f>+IF(LEFT(DB!M536,3)="13/","CAC","MAD")</f>
        <v>MAD</v>
      </c>
      <c r="N536" t="str">
        <f>+RIGHT(DB!M536,6)</f>
        <v/>
      </c>
      <c r="O536">
        <v>95</v>
      </c>
      <c r="P536">
        <v>5</v>
      </c>
      <c r="Q536">
        <f>+DB!AB536</f>
        <v>0</v>
      </c>
      <c r="R536">
        <f>+DB!K536</f>
        <v>0</v>
      </c>
      <c r="S536">
        <f>+DB!F536</f>
        <v>0</v>
      </c>
      <c r="T536">
        <f>+IF(DB!F536="AAAC-35",1,3)</f>
        <v>3</v>
      </c>
      <c r="U536">
        <f>+DB!R536</f>
        <v>0</v>
      </c>
      <c r="V536">
        <f>+IF(DB!P536="1RI",1,0)+IF(DB!P536="2RI",2,0)</f>
        <v>0</v>
      </c>
      <c r="W536">
        <f>+IF(DB!P536="1RV",1,0)+IF(DB!P536="2RV",2,0)</f>
        <v>0</v>
      </c>
      <c r="X536">
        <f>+IF(DB!P536="RYI",1,0)</f>
        <v>0</v>
      </c>
      <c r="Y536">
        <f>+IF(DB!P536="RYV",1,0)</f>
        <v>0</v>
      </c>
      <c r="Z536">
        <f>+DB!U536</f>
        <v>0</v>
      </c>
      <c r="AA536">
        <f>+IF(DB!F536="AAAC-35",19.5,33)</f>
        <v>33</v>
      </c>
      <c r="AB536">
        <f>+DB!V536</f>
        <v>0</v>
      </c>
      <c r="AC536" t="str">
        <f t="shared" si="26"/>
        <v>56-4</v>
      </c>
      <c r="AD536" s="21" t="s">
        <v>72</v>
      </c>
      <c r="AE536">
        <f>+DB!X536</f>
        <v>0</v>
      </c>
      <c r="AF536" s="22">
        <f>+DB!Y536</f>
        <v>0</v>
      </c>
      <c r="AG536">
        <f>+DB!AK536</f>
        <v>0</v>
      </c>
    </row>
    <row r="537" spans="1:33" x14ac:dyDescent="0.2">
      <c r="A537">
        <f>+DB!C537</f>
        <v>0</v>
      </c>
      <c r="B537">
        <f>+DB!D537</f>
        <v>0</v>
      </c>
      <c r="C537">
        <f>+DB!E537</f>
        <v>0</v>
      </c>
      <c r="D537">
        <f t="shared" si="24"/>
        <v>0</v>
      </c>
      <c r="E537">
        <f>+DB!G537</f>
        <v>0</v>
      </c>
      <c r="F537">
        <f>+DB!H537</f>
        <v>0</v>
      </c>
      <c r="G537">
        <f>+DB!N537</f>
        <v>0</v>
      </c>
      <c r="H537">
        <f>+DB!O537</f>
        <v>0</v>
      </c>
      <c r="I537">
        <f>+DB!I537</f>
        <v>0</v>
      </c>
      <c r="J537">
        <f>+DB!J537</f>
        <v>0</v>
      </c>
      <c r="K537">
        <f>+DB!L537</f>
        <v>0</v>
      </c>
      <c r="L537" t="str">
        <f t="shared" si="25"/>
        <v/>
      </c>
      <c r="M537" t="str">
        <f>+IF(LEFT(DB!M537,3)="13/","CAC","MAD")</f>
        <v>MAD</v>
      </c>
      <c r="N537" t="str">
        <f>+RIGHT(DB!M537,6)</f>
        <v/>
      </c>
      <c r="O537">
        <v>95</v>
      </c>
      <c r="P537">
        <v>5</v>
      </c>
      <c r="Q537">
        <f>+DB!AB537</f>
        <v>0</v>
      </c>
      <c r="R537">
        <f>+DB!K537</f>
        <v>0</v>
      </c>
      <c r="S537">
        <f>+DB!F537</f>
        <v>0</v>
      </c>
      <c r="T537">
        <f>+IF(DB!F537="AAAC-35",1,3)</f>
        <v>3</v>
      </c>
      <c r="U537">
        <f>+DB!R537</f>
        <v>0</v>
      </c>
      <c r="V537">
        <f>+IF(DB!P537="1RI",1,0)+IF(DB!P537="2RI",2,0)</f>
        <v>0</v>
      </c>
      <c r="W537">
        <f>+IF(DB!P537="1RV",1,0)+IF(DB!P537="2RV",2,0)</f>
        <v>0</v>
      </c>
      <c r="X537">
        <f>+IF(DB!P537="RYI",1,0)</f>
        <v>0</v>
      </c>
      <c r="Y537">
        <f>+IF(DB!P537="RYV",1,0)</f>
        <v>0</v>
      </c>
      <c r="Z537">
        <f>+DB!U537</f>
        <v>0</v>
      </c>
      <c r="AA537">
        <f>+IF(DB!F537="AAAC-35",19.5,33)</f>
        <v>33</v>
      </c>
      <c r="AB537">
        <f>+DB!V537</f>
        <v>0</v>
      </c>
      <c r="AC537" t="str">
        <f t="shared" si="26"/>
        <v>56-4</v>
      </c>
      <c r="AD537" s="21" t="s">
        <v>72</v>
      </c>
      <c r="AE537">
        <f>+DB!X537</f>
        <v>0</v>
      </c>
      <c r="AF537" s="22">
        <f>+DB!Y537</f>
        <v>0</v>
      </c>
      <c r="AG537">
        <f>+DB!AK537</f>
        <v>0</v>
      </c>
    </row>
    <row r="538" spans="1:33" x14ac:dyDescent="0.2">
      <c r="A538">
        <f>+DB!C538</f>
        <v>0</v>
      </c>
      <c r="B538">
        <f>+DB!D538</f>
        <v>0</v>
      </c>
      <c r="C538">
        <f>+DB!E538</f>
        <v>0</v>
      </c>
      <c r="D538">
        <f t="shared" si="24"/>
        <v>0</v>
      </c>
      <c r="E538">
        <f>+DB!G538</f>
        <v>0</v>
      </c>
      <c r="F538">
        <f>+DB!H538</f>
        <v>0</v>
      </c>
      <c r="G538">
        <f>+DB!N538</f>
        <v>0</v>
      </c>
      <c r="H538">
        <f>+DB!O538</f>
        <v>0</v>
      </c>
      <c r="I538">
        <f>+DB!I538</f>
        <v>0</v>
      </c>
      <c r="J538">
        <f>+DB!J538</f>
        <v>0</v>
      </c>
      <c r="K538">
        <f>+DB!L538</f>
        <v>0</v>
      </c>
      <c r="L538" t="str">
        <f t="shared" si="25"/>
        <v/>
      </c>
      <c r="M538" t="str">
        <f>+IF(LEFT(DB!M538,3)="13/","CAC","MAD")</f>
        <v>MAD</v>
      </c>
      <c r="N538" t="str">
        <f>+RIGHT(DB!M538,6)</f>
        <v/>
      </c>
      <c r="O538">
        <v>95</v>
      </c>
      <c r="P538">
        <v>5</v>
      </c>
      <c r="Q538">
        <f>+DB!AB538</f>
        <v>0</v>
      </c>
      <c r="R538">
        <f>+DB!K538</f>
        <v>0</v>
      </c>
      <c r="S538">
        <f>+DB!F538</f>
        <v>0</v>
      </c>
      <c r="T538">
        <f>+IF(DB!F538="AAAC-35",1,3)</f>
        <v>3</v>
      </c>
      <c r="U538">
        <f>+DB!R538</f>
        <v>0</v>
      </c>
      <c r="V538">
        <f>+IF(DB!P538="1RI",1,0)+IF(DB!P538="2RI",2,0)</f>
        <v>0</v>
      </c>
      <c r="W538">
        <f>+IF(DB!P538="1RV",1,0)+IF(DB!P538="2RV",2,0)</f>
        <v>0</v>
      </c>
      <c r="X538">
        <f>+IF(DB!P538="RYI",1,0)</f>
        <v>0</v>
      </c>
      <c r="Y538">
        <f>+IF(DB!P538="RYV",1,0)</f>
        <v>0</v>
      </c>
      <c r="Z538">
        <f>+DB!U538</f>
        <v>0</v>
      </c>
      <c r="AA538">
        <f>+IF(DB!F538="AAAC-35",19.5,33)</f>
        <v>33</v>
      </c>
      <c r="AB538">
        <f>+DB!V538</f>
        <v>0</v>
      </c>
      <c r="AC538" t="str">
        <f t="shared" si="26"/>
        <v>56-4</v>
      </c>
      <c r="AD538" s="21" t="s">
        <v>72</v>
      </c>
      <c r="AE538">
        <f>+DB!X538</f>
        <v>0</v>
      </c>
      <c r="AF538" s="22">
        <f>+DB!Y538</f>
        <v>0</v>
      </c>
      <c r="AG538">
        <f>+DB!AK538</f>
        <v>0</v>
      </c>
    </row>
    <row r="539" spans="1:33" x14ac:dyDescent="0.2">
      <c r="A539">
        <f>+DB!C539</f>
        <v>0</v>
      </c>
      <c r="B539">
        <f>+DB!D539</f>
        <v>0</v>
      </c>
      <c r="C539">
        <f>+DB!E539</f>
        <v>0</v>
      </c>
      <c r="D539">
        <f t="shared" si="24"/>
        <v>0</v>
      </c>
      <c r="E539">
        <f>+DB!G539</f>
        <v>0</v>
      </c>
      <c r="F539">
        <f>+DB!H539</f>
        <v>0</v>
      </c>
      <c r="G539">
        <f>+DB!N539</f>
        <v>0</v>
      </c>
      <c r="H539">
        <f>+DB!O539</f>
        <v>0</v>
      </c>
      <c r="I539">
        <f>+DB!I539</f>
        <v>0</v>
      </c>
      <c r="J539">
        <f>+DB!J539</f>
        <v>0</v>
      </c>
      <c r="K539">
        <f>+DB!L539</f>
        <v>0</v>
      </c>
      <c r="L539" t="str">
        <f t="shared" si="25"/>
        <v/>
      </c>
      <c r="M539" t="str">
        <f>+IF(LEFT(DB!M539,3)="13/","CAC","MAD")</f>
        <v>MAD</v>
      </c>
      <c r="N539" t="str">
        <f>+RIGHT(DB!M539,6)</f>
        <v/>
      </c>
      <c r="O539">
        <v>95</v>
      </c>
      <c r="P539">
        <v>5</v>
      </c>
      <c r="Q539">
        <f>+DB!AB539</f>
        <v>0</v>
      </c>
      <c r="R539">
        <f>+DB!K539</f>
        <v>0</v>
      </c>
      <c r="S539">
        <f>+DB!F539</f>
        <v>0</v>
      </c>
      <c r="T539">
        <f>+IF(DB!F539="AAAC-35",1,3)</f>
        <v>3</v>
      </c>
      <c r="U539">
        <f>+DB!R539</f>
        <v>0</v>
      </c>
      <c r="V539">
        <f>+IF(DB!P539="1RI",1,0)+IF(DB!P539="2RI",2,0)</f>
        <v>0</v>
      </c>
      <c r="W539">
        <f>+IF(DB!P539="1RV",1,0)+IF(DB!P539="2RV",2,0)</f>
        <v>0</v>
      </c>
      <c r="X539">
        <f>+IF(DB!P539="RYI",1,0)</f>
        <v>0</v>
      </c>
      <c r="Y539">
        <f>+IF(DB!P539="RYV",1,0)</f>
        <v>0</v>
      </c>
      <c r="Z539">
        <f>+DB!U539</f>
        <v>0</v>
      </c>
      <c r="AA539">
        <f>+IF(DB!F539="AAAC-35",19.5,33)</f>
        <v>33</v>
      </c>
      <c r="AB539">
        <f>+DB!V539</f>
        <v>0</v>
      </c>
      <c r="AC539" t="str">
        <f t="shared" si="26"/>
        <v>56-4</v>
      </c>
      <c r="AD539" s="21" t="s">
        <v>72</v>
      </c>
      <c r="AE539">
        <f>+DB!X539</f>
        <v>0</v>
      </c>
      <c r="AF539" s="22">
        <f>+DB!Y539</f>
        <v>0</v>
      </c>
      <c r="AG539">
        <f>+DB!AK539</f>
        <v>0</v>
      </c>
    </row>
    <row r="540" spans="1:33" x14ac:dyDescent="0.2">
      <c r="A540">
        <f>+DB!C540</f>
        <v>0</v>
      </c>
      <c r="B540">
        <f>+DB!D540</f>
        <v>0</v>
      </c>
      <c r="C540">
        <f>+DB!E540</f>
        <v>0</v>
      </c>
      <c r="D540">
        <f t="shared" si="24"/>
        <v>0</v>
      </c>
      <c r="E540">
        <f>+DB!G540</f>
        <v>0</v>
      </c>
      <c r="F540">
        <f>+DB!H540</f>
        <v>0</v>
      </c>
      <c r="G540">
        <f>+DB!N540</f>
        <v>0</v>
      </c>
      <c r="H540">
        <f>+DB!O540</f>
        <v>0</v>
      </c>
      <c r="I540">
        <f>+DB!I540</f>
        <v>0</v>
      </c>
      <c r="J540">
        <f>+DB!J540</f>
        <v>0</v>
      </c>
      <c r="K540">
        <f>+DB!L540</f>
        <v>0</v>
      </c>
      <c r="L540" t="str">
        <f t="shared" si="25"/>
        <v/>
      </c>
      <c r="M540" t="str">
        <f>+IF(LEFT(DB!M540,3)="13/","CAC","MAD")</f>
        <v>MAD</v>
      </c>
      <c r="N540" t="str">
        <f>+RIGHT(DB!M540,6)</f>
        <v/>
      </c>
      <c r="O540">
        <v>95</v>
      </c>
      <c r="P540">
        <v>5</v>
      </c>
      <c r="Q540">
        <f>+DB!AB540</f>
        <v>0</v>
      </c>
      <c r="R540">
        <f>+DB!K540</f>
        <v>0</v>
      </c>
      <c r="S540">
        <f>+DB!F540</f>
        <v>0</v>
      </c>
      <c r="T540">
        <f>+IF(DB!F540="AAAC-35",1,3)</f>
        <v>3</v>
      </c>
      <c r="U540">
        <f>+DB!R540</f>
        <v>0</v>
      </c>
      <c r="V540">
        <f>+IF(DB!P540="1RI",1,0)+IF(DB!P540="2RI",2,0)</f>
        <v>0</v>
      </c>
      <c r="W540">
        <f>+IF(DB!P540="1RV",1,0)+IF(DB!P540="2RV",2,0)</f>
        <v>0</v>
      </c>
      <c r="X540">
        <f>+IF(DB!P540="RYI",1,0)</f>
        <v>0</v>
      </c>
      <c r="Y540">
        <f>+IF(DB!P540="RYV",1,0)</f>
        <v>0</v>
      </c>
      <c r="Z540">
        <f>+DB!U540</f>
        <v>0</v>
      </c>
      <c r="AA540">
        <f>+IF(DB!F540="AAAC-35",19.5,33)</f>
        <v>33</v>
      </c>
      <c r="AB540">
        <f>+DB!V540</f>
        <v>0</v>
      </c>
      <c r="AC540" t="str">
        <f t="shared" si="26"/>
        <v>56-4</v>
      </c>
      <c r="AD540" s="21" t="s">
        <v>72</v>
      </c>
      <c r="AE540">
        <f>+DB!X540</f>
        <v>0</v>
      </c>
      <c r="AF540" s="22">
        <f>+DB!Y540</f>
        <v>0</v>
      </c>
      <c r="AG540">
        <f>+DB!AK540</f>
        <v>0</v>
      </c>
    </row>
    <row r="541" spans="1:33" x14ac:dyDescent="0.2">
      <c r="A541">
        <f>+DB!C541</f>
        <v>0</v>
      </c>
      <c r="B541">
        <f>+DB!D541</f>
        <v>0</v>
      </c>
      <c r="C541">
        <f>+DB!E541</f>
        <v>0</v>
      </c>
      <c r="D541">
        <f t="shared" si="24"/>
        <v>0</v>
      </c>
      <c r="E541">
        <f>+DB!G541</f>
        <v>0</v>
      </c>
      <c r="F541">
        <f>+DB!H541</f>
        <v>0</v>
      </c>
      <c r="G541">
        <f>+DB!N541</f>
        <v>0</v>
      </c>
      <c r="H541">
        <f>+DB!O541</f>
        <v>0</v>
      </c>
      <c r="I541">
        <f>+DB!I541</f>
        <v>0</v>
      </c>
      <c r="J541">
        <f>+DB!J541</f>
        <v>0</v>
      </c>
      <c r="K541">
        <f>+DB!L541</f>
        <v>0</v>
      </c>
      <c r="L541" t="str">
        <f t="shared" si="25"/>
        <v/>
      </c>
      <c r="M541" t="str">
        <f>+IF(LEFT(DB!M541,3)="13/","CAC","MAD")</f>
        <v>MAD</v>
      </c>
      <c r="N541" t="str">
        <f>+RIGHT(DB!M541,6)</f>
        <v/>
      </c>
      <c r="O541">
        <v>95</v>
      </c>
      <c r="P541">
        <v>5</v>
      </c>
      <c r="Q541">
        <f>+DB!AB541</f>
        <v>0</v>
      </c>
      <c r="R541">
        <f>+DB!K541</f>
        <v>0</v>
      </c>
      <c r="S541">
        <f>+DB!F541</f>
        <v>0</v>
      </c>
      <c r="T541">
        <f>+IF(DB!F541="AAAC-35",1,3)</f>
        <v>3</v>
      </c>
      <c r="U541">
        <f>+DB!R541</f>
        <v>0</v>
      </c>
      <c r="V541">
        <f>+IF(DB!P541="1RI",1,0)+IF(DB!P541="2RI",2,0)</f>
        <v>0</v>
      </c>
      <c r="W541">
        <f>+IF(DB!P541="1RV",1,0)+IF(DB!P541="2RV",2,0)</f>
        <v>0</v>
      </c>
      <c r="X541">
        <f>+IF(DB!P541="RYI",1,0)</f>
        <v>0</v>
      </c>
      <c r="Y541">
        <f>+IF(DB!P541="RYV",1,0)</f>
        <v>0</v>
      </c>
      <c r="Z541">
        <f>+DB!U541</f>
        <v>0</v>
      </c>
      <c r="AA541">
        <f>+IF(DB!F541="AAAC-35",19.5,33)</f>
        <v>33</v>
      </c>
      <c r="AB541">
        <f>+DB!V541</f>
        <v>0</v>
      </c>
      <c r="AC541" t="str">
        <f t="shared" si="26"/>
        <v>56-4</v>
      </c>
      <c r="AD541" s="21" t="s">
        <v>72</v>
      </c>
      <c r="AE541">
        <f>+DB!X541</f>
        <v>0</v>
      </c>
      <c r="AF541" s="22">
        <f>+DB!Y541</f>
        <v>0</v>
      </c>
      <c r="AG541">
        <f>+DB!AK541</f>
        <v>0</v>
      </c>
    </row>
    <row r="542" spans="1:33" x14ac:dyDescent="0.2">
      <c r="A542">
        <f>+DB!C542</f>
        <v>0</v>
      </c>
      <c r="B542">
        <f>+DB!D542</f>
        <v>0</v>
      </c>
      <c r="C542">
        <f>+DB!E542</f>
        <v>0</v>
      </c>
      <c r="D542">
        <f t="shared" si="24"/>
        <v>0</v>
      </c>
      <c r="E542">
        <f>+DB!G542</f>
        <v>0</v>
      </c>
      <c r="F542">
        <f>+DB!H542</f>
        <v>0</v>
      </c>
      <c r="G542">
        <f>+DB!N542</f>
        <v>0</v>
      </c>
      <c r="H542">
        <f>+DB!O542</f>
        <v>0</v>
      </c>
      <c r="I542">
        <f>+DB!I542</f>
        <v>0</v>
      </c>
      <c r="J542">
        <f>+DB!J542</f>
        <v>0</v>
      </c>
      <c r="K542">
        <f>+DB!L542</f>
        <v>0</v>
      </c>
      <c r="L542" t="str">
        <f t="shared" si="25"/>
        <v/>
      </c>
      <c r="M542" t="str">
        <f>+IF(LEFT(DB!M542,3)="13/","CAC","MAD")</f>
        <v>MAD</v>
      </c>
      <c r="N542" t="str">
        <f>+RIGHT(DB!M542,6)</f>
        <v/>
      </c>
      <c r="O542">
        <v>95</v>
      </c>
      <c r="P542">
        <v>5</v>
      </c>
      <c r="Q542">
        <f>+DB!AB542</f>
        <v>0</v>
      </c>
      <c r="R542">
        <f>+DB!K542</f>
        <v>0</v>
      </c>
      <c r="S542">
        <f>+DB!F542</f>
        <v>0</v>
      </c>
      <c r="T542">
        <f>+IF(DB!F542="AAAC-35",1,3)</f>
        <v>3</v>
      </c>
      <c r="U542">
        <f>+DB!R542</f>
        <v>0</v>
      </c>
      <c r="V542">
        <f>+IF(DB!P542="1RI",1,0)+IF(DB!P542="2RI",2,0)</f>
        <v>0</v>
      </c>
      <c r="W542">
        <f>+IF(DB!P542="1RV",1,0)+IF(DB!P542="2RV",2,0)</f>
        <v>0</v>
      </c>
      <c r="X542">
        <f>+IF(DB!P542="RYI",1,0)</f>
        <v>0</v>
      </c>
      <c r="Y542">
        <f>+IF(DB!P542="RYV",1,0)</f>
        <v>0</v>
      </c>
      <c r="Z542">
        <f>+DB!U542</f>
        <v>0</v>
      </c>
      <c r="AA542">
        <f>+IF(DB!F542="AAAC-35",19.5,33)</f>
        <v>33</v>
      </c>
      <c r="AB542">
        <f>+DB!V542</f>
        <v>0</v>
      </c>
      <c r="AC542" t="str">
        <f t="shared" si="26"/>
        <v>56-4</v>
      </c>
      <c r="AD542" s="21" t="s">
        <v>72</v>
      </c>
      <c r="AE542">
        <f>+DB!X542</f>
        <v>0</v>
      </c>
      <c r="AF542" s="22">
        <f>+DB!Y542</f>
        <v>0</v>
      </c>
      <c r="AG542">
        <f>+DB!AK542</f>
        <v>0</v>
      </c>
    </row>
    <row r="543" spans="1:33" x14ac:dyDescent="0.2">
      <c r="A543">
        <f>+DB!C543</f>
        <v>0</v>
      </c>
      <c r="B543">
        <f>+DB!D543</f>
        <v>0</v>
      </c>
      <c r="C543">
        <f>+DB!E543</f>
        <v>0</v>
      </c>
      <c r="D543">
        <f t="shared" si="24"/>
        <v>0</v>
      </c>
      <c r="E543">
        <f>+DB!G543</f>
        <v>0</v>
      </c>
      <c r="F543">
        <f>+DB!H543</f>
        <v>0</v>
      </c>
      <c r="G543">
        <f>+DB!N543</f>
        <v>0</v>
      </c>
      <c r="H543">
        <f>+DB!O543</f>
        <v>0</v>
      </c>
      <c r="I543">
        <f>+DB!I543</f>
        <v>0</v>
      </c>
      <c r="J543">
        <f>+DB!J543</f>
        <v>0</v>
      </c>
      <c r="K543">
        <f>+DB!L543</f>
        <v>0</v>
      </c>
      <c r="L543" t="str">
        <f t="shared" si="25"/>
        <v/>
      </c>
      <c r="M543" t="str">
        <f>+IF(LEFT(DB!M543,3)="13/","CAC","MAD")</f>
        <v>MAD</v>
      </c>
      <c r="N543" t="str">
        <f>+RIGHT(DB!M543,6)</f>
        <v/>
      </c>
      <c r="O543">
        <v>95</v>
      </c>
      <c r="P543">
        <v>5</v>
      </c>
      <c r="Q543">
        <f>+DB!AB543</f>
        <v>0</v>
      </c>
      <c r="R543">
        <f>+DB!K543</f>
        <v>0</v>
      </c>
      <c r="S543">
        <f>+DB!F543</f>
        <v>0</v>
      </c>
      <c r="T543">
        <f>+IF(DB!F543="AAAC-35",1,3)</f>
        <v>3</v>
      </c>
      <c r="U543">
        <f>+DB!R543</f>
        <v>0</v>
      </c>
      <c r="V543">
        <f>+IF(DB!P543="1RI",1,0)+IF(DB!P543="2RI",2,0)</f>
        <v>0</v>
      </c>
      <c r="W543">
        <f>+IF(DB!P543="1RV",1,0)+IF(DB!P543="2RV",2,0)</f>
        <v>0</v>
      </c>
      <c r="X543">
        <f>+IF(DB!P543="RYI",1,0)</f>
        <v>0</v>
      </c>
      <c r="Y543">
        <f>+IF(DB!P543="RYV",1,0)</f>
        <v>0</v>
      </c>
      <c r="Z543">
        <f>+DB!U543</f>
        <v>0</v>
      </c>
      <c r="AA543">
        <f>+IF(DB!F543="AAAC-35",19.5,33)</f>
        <v>33</v>
      </c>
      <c r="AB543">
        <f>+DB!V543</f>
        <v>0</v>
      </c>
      <c r="AC543" t="str">
        <f t="shared" si="26"/>
        <v>56-4</v>
      </c>
      <c r="AD543" s="21" t="s">
        <v>72</v>
      </c>
      <c r="AE543">
        <f>+DB!X543</f>
        <v>0</v>
      </c>
      <c r="AF543" s="22">
        <f>+DB!Y543</f>
        <v>0</v>
      </c>
      <c r="AG543">
        <f>+DB!AK543</f>
        <v>0</v>
      </c>
    </row>
    <row r="544" spans="1:33" x14ac:dyDescent="0.2">
      <c r="A544">
        <f>+DB!C544</f>
        <v>0</v>
      </c>
      <c r="B544">
        <f>+DB!D544</f>
        <v>0</v>
      </c>
      <c r="C544">
        <f>+DB!E544</f>
        <v>0</v>
      </c>
      <c r="D544">
        <f t="shared" si="24"/>
        <v>0</v>
      </c>
      <c r="E544">
        <f>+DB!G544</f>
        <v>0</v>
      </c>
      <c r="F544">
        <f>+DB!H544</f>
        <v>0</v>
      </c>
      <c r="G544">
        <f>+DB!N544</f>
        <v>0</v>
      </c>
      <c r="H544">
        <f>+DB!O544</f>
        <v>0</v>
      </c>
      <c r="I544">
        <f>+DB!I544</f>
        <v>0</v>
      </c>
      <c r="J544">
        <f>+DB!J544</f>
        <v>0</v>
      </c>
      <c r="K544">
        <f>+DB!L544</f>
        <v>0</v>
      </c>
      <c r="L544" t="str">
        <f t="shared" si="25"/>
        <v/>
      </c>
      <c r="M544" t="str">
        <f>+IF(LEFT(DB!M544,3)="13/","CAC","MAD")</f>
        <v>MAD</v>
      </c>
      <c r="N544" t="str">
        <f>+RIGHT(DB!M544,6)</f>
        <v/>
      </c>
      <c r="O544">
        <v>95</v>
      </c>
      <c r="P544">
        <v>5</v>
      </c>
      <c r="Q544">
        <f>+DB!AB544</f>
        <v>0</v>
      </c>
      <c r="R544">
        <f>+DB!K544</f>
        <v>0</v>
      </c>
      <c r="S544">
        <f>+DB!F544</f>
        <v>0</v>
      </c>
      <c r="T544">
        <f>+IF(DB!F544="AAAC-35",1,3)</f>
        <v>3</v>
      </c>
      <c r="U544">
        <f>+DB!R544</f>
        <v>0</v>
      </c>
      <c r="V544">
        <f>+IF(DB!P544="1RI",1,0)+IF(DB!P544="2RI",2,0)</f>
        <v>0</v>
      </c>
      <c r="W544">
        <f>+IF(DB!P544="1RV",1,0)+IF(DB!P544="2RV",2,0)</f>
        <v>0</v>
      </c>
      <c r="X544">
        <f>+IF(DB!P544="RYI",1,0)</f>
        <v>0</v>
      </c>
      <c r="Y544">
        <f>+IF(DB!P544="RYV",1,0)</f>
        <v>0</v>
      </c>
      <c r="Z544">
        <f>+DB!U544</f>
        <v>0</v>
      </c>
      <c r="AA544">
        <f>+IF(DB!F544="AAAC-35",19.5,33)</f>
        <v>33</v>
      </c>
      <c r="AB544">
        <f>+DB!V544</f>
        <v>0</v>
      </c>
      <c r="AC544" t="str">
        <f t="shared" si="26"/>
        <v>56-4</v>
      </c>
      <c r="AD544" s="21" t="s">
        <v>72</v>
      </c>
      <c r="AE544">
        <f>+DB!X544</f>
        <v>0</v>
      </c>
      <c r="AF544" s="22">
        <f>+DB!Y544</f>
        <v>0</v>
      </c>
      <c r="AG544">
        <f>+DB!AK544</f>
        <v>0</v>
      </c>
    </row>
    <row r="545" spans="1:33" x14ac:dyDescent="0.2">
      <c r="A545">
        <f>+DB!C545</f>
        <v>0</v>
      </c>
      <c r="B545">
        <f>+DB!D545</f>
        <v>0</v>
      </c>
      <c r="C545">
        <f>+DB!E545</f>
        <v>0</v>
      </c>
      <c r="D545">
        <f t="shared" si="24"/>
        <v>0</v>
      </c>
      <c r="E545">
        <f>+DB!G545</f>
        <v>0</v>
      </c>
      <c r="F545">
        <f>+DB!H545</f>
        <v>0</v>
      </c>
      <c r="G545">
        <f>+DB!N545</f>
        <v>0</v>
      </c>
      <c r="H545">
        <f>+DB!O545</f>
        <v>0</v>
      </c>
      <c r="I545">
        <f>+DB!I545</f>
        <v>0</v>
      </c>
      <c r="J545">
        <f>+DB!J545</f>
        <v>0</v>
      </c>
      <c r="K545">
        <f>+DB!L545</f>
        <v>0</v>
      </c>
      <c r="L545" t="str">
        <f t="shared" si="25"/>
        <v/>
      </c>
      <c r="M545" t="str">
        <f>+IF(LEFT(DB!M545,3)="13/","CAC","MAD")</f>
        <v>MAD</v>
      </c>
      <c r="N545" t="str">
        <f>+RIGHT(DB!M545,6)</f>
        <v/>
      </c>
      <c r="O545">
        <v>95</v>
      </c>
      <c r="P545">
        <v>5</v>
      </c>
      <c r="Q545">
        <f>+DB!AB545</f>
        <v>0</v>
      </c>
      <c r="R545">
        <f>+DB!K545</f>
        <v>0</v>
      </c>
      <c r="S545">
        <f>+DB!F545</f>
        <v>0</v>
      </c>
      <c r="T545">
        <f>+IF(DB!F545="AAAC-35",1,3)</f>
        <v>3</v>
      </c>
      <c r="U545">
        <f>+DB!R545</f>
        <v>0</v>
      </c>
      <c r="V545">
        <f>+IF(DB!P545="1RI",1,0)+IF(DB!P545="2RI",2,0)</f>
        <v>0</v>
      </c>
      <c r="W545">
        <f>+IF(DB!P545="1RV",1,0)+IF(DB!P545="2RV",2,0)</f>
        <v>0</v>
      </c>
      <c r="X545">
        <f>+IF(DB!P545="RYI",1,0)</f>
        <v>0</v>
      </c>
      <c r="Y545">
        <f>+IF(DB!P545="RYV",1,0)</f>
        <v>0</v>
      </c>
      <c r="Z545">
        <f>+DB!U545</f>
        <v>0</v>
      </c>
      <c r="AA545">
        <f>+IF(DB!F545="AAAC-35",19.5,33)</f>
        <v>33</v>
      </c>
      <c r="AB545">
        <f>+DB!V545</f>
        <v>0</v>
      </c>
      <c r="AC545" t="str">
        <f t="shared" si="26"/>
        <v>56-4</v>
      </c>
      <c r="AD545" s="21" t="s">
        <v>72</v>
      </c>
      <c r="AE545">
        <f>+DB!X545</f>
        <v>0</v>
      </c>
      <c r="AF545" s="22">
        <f>+DB!Y545</f>
        <v>0</v>
      </c>
      <c r="AG545">
        <f>+DB!AK545</f>
        <v>0</v>
      </c>
    </row>
    <row r="546" spans="1:33" x14ac:dyDescent="0.2">
      <c r="A546">
        <f>+DB!C546</f>
        <v>0</v>
      </c>
      <c r="B546">
        <f>+DB!D546</f>
        <v>0</v>
      </c>
      <c r="C546">
        <f>+DB!E546</f>
        <v>0</v>
      </c>
      <c r="D546">
        <f t="shared" si="24"/>
        <v>0</v>
      </c>
      <c r="E546">
        <f>+DB!G546</f>
        <v>0</v>
      </c>
      <c r="F546">
        <f>+DB!H546</f>
        <v>0</v>
      </c>
      <c r="G546">
        <f>+DB!N546</f>
        <v>0</v>
      </c>
      <c r="H546">
        <f>+DB!O546</f>
        <v>0</v>
      </c>
      <c r="I546">
        <f>+DB!I546</f>
        <v>0</v>
      </c>
      <c r="J546">
        <f>+DB!J546</f>
        <v>0</v>
      </c>
      <c r="K546">
        <f>+DB!L546</f>
        <v>0</v>
      </c>
      <c r="L546" t="str">
        <f t="shared" si="25"/>
        <v/>
      </c>
      <c r="M546" t="str">
        <f>+IF(LEFT(DB!M546,3)="13/","CAC","MAD")</f>
        <v>MAD</v>
      </c>
      <c r="N546" t="str">
        <f>+RIGHT(DB!M546,6)</f>
        <v/>
      </c>
      <c r="O546">
        <v>95</v>
      </c>
      <c r="P546">
        <v>5</v>
      </c>
      <c r="Q546">
        <f>+DB!AB546</f>
        <v>0</v>
      </c>
      <c r="R546">
        <f>+DB!K546</f>
        <v>0</v>
      </c>
      <c r="S546">
        <f>+DB!F546</f>
        <v>0</v>
      </c>
      <c r="T546">
        <f>+IF(DB!F546="AAAC-35",1,3)</f>
        <v>3</v>
      </c>
      <c r="U546">
        <f>+DB!R546</f>
        <v>0</v>
      </c>
      <c r="V546">
        <f>+IF(DB!P546="1RI",1,0)+IF(DB!P546="2RI",2,0)</f>
        <v>0</v>
      </c>
      <c r="W546">
        <f>+IF(DB!P546="1RV",1,0)+IF(DB!P546="2RV",2,0)</f>
        <v>0</v>
      </c>
      <c r="X546">
        <f>+IF(DB!P546="RYI",1,0)</f>
        <v>0</v>
      </c>
      <c r="Y546">
        <f>+IF(DB!P546="RYV",1,0)</f>
        <v>0</v>
      </c>
      <c r="Z546">
        <f>+DB!U546</f>
        <v>0</v>
      </c>
      <c r="AA546">
        <f>+IF(DB!F546="AAAC-35",19.5,33)</f>
        <v>33</v>
      </c>
      <c r="AB546">
        <f>+DB!V546</f>
        <v>0</v>
      </c>
      <c r="AC546" t="str">
        <f t="shared" si="26"/>
        <v>56-4</v>
      </c>
      <c r="AD546" s="21" t="s">
        <v>72</v>
      </c>
      <c r="AE546">
        <f>+DB!X546</f>
        <v>0</v>
      </c>
      <c r="AF546" s="22">
        <f>+DB!Y546</f>
        <v>0</v>
      </c>
      <c r="AG546">
        <f>+DB!AK546</f>
        <v>0</v>
      </c>
    </row>
    <row r="547" spans="1:33" x14ac:dyDescent="0.2">
      <c r="A547">
        <f>+DB!C547</f>
        <v>0</v>
      </c>
      <c r="B547">
        <f>+DB!D547</f>
        <v>0</v>
      </c>
      <c r="C547">
        <f>+DB!E547</f>
        <v>0</v>
      </c>
      <c r="D547">
        <f t="shared" si="24"/>
        <v>0</v>
      </c>
      <c r="E547">
        <f>+DB!G547</f>
        <v>0</v>
      </c>
      <c r="F547">
        <f>+DB!H547</f>
        <v>0</v>
      </c>
      <c r="G547">
        <f>+DB!N547</f>
        <v>0</v>
      </c>
      <c r="H547">
        <f>+DB!O547</f>
        <v>0</v>
      </c>
      <c r="I547">
        <f>+DB!I547</f>
        <v>0</v>
      </c>
      <c r="J547">
        <f>+DB!J547</f>
        <v>0</v>
      </c>
      <c r="K547">
        <f>+DB!L547</f>
        <v>0</v>
      </c>
      <c r="L547" t="str">
        <f t="shared" si="25"/>
        <v/>
      </c>
      <c r="M547" t="str">
        <f>+IF(LEFT(DB!M547,3)="13/","CAC","MAD")</f>
        <v>MAD</v>
      </c>
      <c r="N547" t="str">
        <f>+RIGHT(DB!M547,6)</f>
        <v/>
      </c>
      <c r="O547">
        <v>95</v>
      </c>
      <c r="P547">
        <v>5</v>
      </c>
      <c r="Q547">
        <f>+DB!AB547</f>
        <v>0</v>
      </c>
      <c r="R547">
        <f>+DB!K547</f>
        <v>0</v>
      </c>
      <c r="S547">
        <f>+DB!F547</f>
        <v>0</v>
      </c>
      <c r="T547">
        <f>+IF(DB!F547="AAAC-35",1,3)</f>
        <v>3</v>
      </c>
      <c r="U547">
        <f>+DB!R547</f>
        <v>0</v>
      </c>
      <c r="V547">
        <f>+IF(DB!P547="1RI",1,0)+IF(DB!P547="2RI",2,0)</f>
        <v>0</v>
      </c>
      <c r="W547">
        <f>+IF(DB!P547="1RV",1,0)+IF(DB!P547="2RV",2,0)</f>
        <v>0</v>
      </c>
      <c r="X547">
        <f>+IF(DB!P547="RYI",1,0)</f>
        <v>0</v>
      </c>
      <c r="Y547">
        <f>+IF(DB!P547="RYV",1,0)</f>
        <v>0</v>
      </c>
      <c r="Z547">
        <f>+DB!U547</f>
        <v>0</v>
      </c>
      <c r="AA547">
        <f>+IF(DB!F547="AAAC-35",19.5,33)</f>
        <v>33</v>
      </c>
      <c r="AB547">
        <f>+DB!V547</f>
        <v>0</v>
      </c>
      <c r="AC547" t="str">
        <f t="shared" si="26"/>
        <v>56-4</v>
      </c>
      <c r="AD547" s="21" t="s">
        <v>72</v>
      </c>
      <c r="AE547">
        <f>+DB!X547</f>
        <v>0</v>
      </c>
      <c r="AF547" s="22">
        <f>+DB!Y547</f>
        <v>0</v>
      </c>
      <c r="AG547">
        <f>+DB!AK547</f>
        <v>0</v>
      </c>
    </row>
    <row r="548" spans="1:33" x14ac:dyDescent="0.2">
      <c r="A548">
        <f>+DB!C548</f>
        <v>0</v>
      </c>
      <c r="B548">
        <f>+DB!D548</f>
        <v>0</v>
      </c>
      <c r="C548">
        <f>+DB!E548</f>
        <v>0</v>
      </c>
      <c r="D548">
        <f t="shared" si="24"/>
        <v>0</v>
      </c>
      <c r="E548">
        <f>+DB!G548</f>
        <v>0</v>
      </c>
      <c r="F548">
        <f>+DB!H548</f>
        <v>0</v>
      </c>
      <c r="G548">
        <f>+DB!N548</f>
        <v>0</v>
      </c>
      <c r="H548">
        <f>+DB!O548</f>
        <v>0</v>
      </c>
      <c r="I548">
        <f>+DB!I548</f>
        <v>0</v>
      </c>
      <c r="J548">
        <f>+DB!J548</f>
        <v>0</v>
      </c>
      <c r="K548">
        <f>+DB!L548</f>
        <v>0</v>
      </c>
      <c r="L548" t="str">
        <f t="shared" si="25"/>
        <v/>
      </c>
      <c r="M548" t="str">
        <f>+IF(LEFT(DB!M548,3)="13/","CAC","MAD")</f>
        <v>MAD</v>
      </c>
      <c r="N548" t="str">
        <f>+RIGHT(DB!M548,6)</f>
        <v/>
      </c>
      <c r="O548">
        <v>95</v>
      </c>
      <c r="P548">
        <v>5</v>
      </c>
      <c r="Q548">
        <f>+DB!AB548</f>
        <v>0</v>
      </c>
      <c r="R548">
        <f>+DB!K548</f>
        <v>0</v>
      </c>
      <c r="S548">
        <f>+DB!F548</f>
        <v>0</v>
      </c>
      <c r="T548">
        <f>+IF(DB!F548="AAAC-35",1,3)</f>
        <v>3</v>
      </c>
      <c r="U548">
        <f>+DB!R548</f>
        <v>0</v>
      </c>
      <c r="V548">
        <f>+IF(DB!P548="1RI",1,0)+IF(DB!P548="2RI",2,0)</f>
        <v>0</v>
      </c>
      <c r="W548">
        <f>+IF(DB!P548="1RV",1,0)+IF(DB!P548="2RV",2,0)</f>
        <v>0</v>
      </c>
      <c r="X548">
        <f>+IF(DB!P548="RYI",1,0)</f>
        <v>0</v>
      </c>
      <c r="Y548">
        <f>+IF(DB!P548="RYV",1,0)</f>
        <v>0</v>
      </c>
      <c r="Z548">
        <f>+DB!U548</f>
        <v>0</v>
      </c>
      <c r="AA548">
        <f>+IF(DB!F548="AAAC-35",19.5,33)</f>
        <v>33</v>
      </c>
      <c r="AB548">
        <f>+DB!V548</f>
        <v>0</v>
      </c>
      <c r="AC548" t="str">
        <f t="shared" si="26"/>
        <v>56-4</v>
      </c>
      <c r="AD548" s="21" t="s">
        <v>72</v>
      </c>
      <c r="AE548">
        <f>+DB!X548</f>
        <v>0</v>
      </c>
      <c r="AF548" s="22">
        <f>+DB!Y548</f>
        <v>0</v>
      </c>
      <c r="AG548">
        <f>+DB!AK548</f>
        <v>0</v>
      </c>
    </row>
    <row r="549" spans="1:33" x14ac:dyDescent="0.2">
      <c r="A549">
        <f>+DB!C549</f>
        <v>0</v>
      </c>
      <c r="B549">
        <f>+DB!D549</f>
        <v>0</v>
      </c>
      <c r="C549">
        <f>+DB!E549</f>
        <v>0</v>
      </c>
      <c r="D549">
        <f t="shared" si="24"/>
        <v>0</v>
      </c>
      <c r="E549">
        <f>+DB!G549</f>
        <v>0</v>
      </c>
      <c r="F549">
        <f>+DB!H549</f>
        <v>0</v>
      </c>
      <c r="G549">
        <f>+DB!N549</f>
        <v>0</v>
      </c>
      <c r="H549">
        <f>+DB!O549</f>
        <v>0</v>
      </c>
      <c r="I549">
        <f>+DB!I549</f>
        <v>0</v>
      </c>
      <c r="J549">
        <f>+DB!J549</f>
        <v>0</v>
      </c>
      <c r="K549">
        <f>+DB!L549</f>
        <v>0</v>
      </c>
      <c r="L549" t="str">
        <f t="shared" si="25"/>
        <v/>
      </c>
      <c r="M549" t="str">
        <f>+IF(LEFT(DB!M549,3)="13/","CAC","MAD")</f>
        <v>MAD</v>
      </c>
      <c r="N549" t="str">
        <f>+RIGHT(DB!M549,6)</f>
        <v/>
      </c>
      <c r="O549">
        <v>95</v>
      </c>
      <c r="P549">
        <v>5</v>
      </c>
      <c r="Q549">
        <f>+DB!AB549</f>
        <v>0</v>
      </c>
      <c r="R549">
        <f>+DB!K549</f>
        <v>0</v>
      </c>
      <c r="S549">
        <f>+DB!F549</f>
        <v>0</v>
      </c>
      <c r="T549">
        <f>+IF(DB!F549="AAAC-35",1,3)</f>
        <v>3</v>
      </c>
      <c r="U549">
        <f>+DB!R549</f>
        <v>0</v>
      </c>
      <c r="V549">
        <f>+IF(DB!P549="1RI",1,0)+IF(DB!P549="2RI",2,0)</f>
        <v>0</v>
      </c>
      <c r="W549">
        <f>+IF(DB!P549="1RV",1,0)+IF(DB!P549="2RV",2,0)</f>
        <v>0</v>
      </c>
      <c r="X549">
        <f>+IF(DB!P549="RYI",1,0)</f>
        <v>0</v>
      </c>
      <c r="Y549">
        <f>+IF(DB!P549="RYV",1,0)</f>
        <v>0</v>
      </c>
      <c r="Z549">
        <f>+DB!U549</f>
        <v>0</v>
      </c>
      <c r="AA549">
        <f>+IF(DB!F549="AAAC-35",19.5,33)</f>
        <v>33</v>
      </c>
      <c r="AB549">
        <f>+DB!V549</f>
        <v>0</v>
      </c>
      <c r="AC549" t="str">
        <f t="shared" si="26"/>
        <v>56-4</v>
      </c>
      <c r="AD549" s="21" t="s">
        <v>72</v>
      </c>
      <c r="AE549">
        <f>+DB!X549</f>
        <v>0</v>
      </c>
      <c r="AF549" s="22">
        <f>+DB!Y549</f>
        <v>0</v>
      </c>
      <c r="AG549">
        <f>+DB!AK549</f>
        <v>0</v>
      </c>
    </row>
    <row r="550" spans="1:33" x14ac:dyDescent="0.2">
      <c r="A550">
        <f>+DB!C550</f>
        <v>0</v>
      </c>
      <c r="B550">
        <f>+DB!D550</f>
        <v>0</v>
      </c>
      <c r="C550">
        <f>+DB!E550</f>
        <v>0</v>
      </c>
      <c r="D550">
        <f t="shared" si="24"/>
        <v>0</v>
      </c>
      <c r="E550">
        <f>+DB!G550</f>
        <v>0</v>
      </c>
      <c r="F550">
        <f>+DB!H550</f>
        <v>0</v>
      </c>
      <c r="G550">
        <f>+DB!N550</f>
        <v>0</v>
      </c>
      <c r="H550">
        <f>+DB!O550</f>
        <v>0</v>
      </c>
      <c r="I550">
        <f>+DB!I550</f>
        <v>0</v>
      </c>
      <c r="J550">
        <f>+DB!J550</f>
        <v>0</v>
      </c>
      <c r="K550">
        <f>+DB!L550</f>
        <v>0</v>
      </c>
      <c r="L550" t="str">
        <f t="shared" si="25"/>
        <v/>
      </c>
      <c r="M550" t="str">
        <f>+IF(LEFT(DB!M550,3)="13/","CAC","MAD")</f>
        <v>MAD</v>
      </c>
      <c r="N550" t="str">
        <f>+RIGHT(DB!M550,6)</f>
        <v/>
      </c>
      <c r="O550">
        <v>95</v>
      </c>
      <c r="P550">
        <v>5</v>
      </c>
      <c r="Q550">
        <f>+DB!AB550</f>
        <v>0</v>
      </c>
      <c r="R550">
        <f>+DB!K550</f>
        <v>0</v>
      </c>
      <c r="S550">
        <f>+DB!F550</f>
        <v>0</v>
      </c>
      <c r="T550">
        <f>+IF(DB!F550="AAAC-35",1,3)</f>
        <v>3</v>
      </c>
      <c r="U550">
        <f>+DB!R550</f>
        <v>0</v>
      </c>
      <c r="V550">
        <f>+IF(DB!P550="1RI",1,0)+IF(DB!P550="2RI",2,0)</f>
        <v>0</v>
      </c>
      <c r="W550">
        <f>+IF(DB!P550="1RV",1,0)+IF(DB!P550="2RV",2,0)</f>
        <v>0</v>
      </c>
      <c r="X550">
        <f>+IF(DB!P550="RYI",1,0)</f>
        <v>0</v>
      </c>
      <c r="Y550">
        <f>+IF(DB!P550="RYV",1,0)</f>
        <v>0</v>
      </c>
      <c r="Z550">
        <f>+DB!U550</f>
        <v>0</v>
      </c>
      <c r="AA550">
        <f>+IF(DB!F550="AAAC-35",19.5,33)</f>
        <v>33</v>
      </c>
      <c r="AB550">
        <f>+DB!V550</f>
        <v>0</v>
      </c>
      <c r="AC550" t="str">
        <f t="shared" si="26"/>
        <v>56-4</v>
      </c>
      <c r="AD550" s="21" t="s">
        <v>72</v>
      </c>
      <c r="AE550">
        <f>+DB!X550</f>
        <v>0</v>
      </c>
      <c r="AF550" s="22">
        <f>+DB!Y550</f>
        <v>0</v>
      </c>
      <c r="AG550">
        <f>+DB!AK550</f>
        <v>0</v>
      </c>
    </row>
    <row r="551" spans="1:33" x14ac:dyDescent="0.2">
      <c r="A551">
        <f>+DB!C551</f>
        <v>0</v>
      </c>
      <c r="B551">
        <f>+DB!D551</f>
        <v>0</v>
      </c>
      <c r="C551">
        <f>+DB!E551</f>
        <v>0</v>
      </c>
      <c r="D551">
        <f t="shared" si="24"/>
        <v>0</v>
      </c>
      <c r="E551">
        <f>+DB!G551</f>
        <v>0</v>
      </c>
      <c r="F551">
        <f>+DB!H551</f>
        <v>0</v>
      </c>
      <c r="G551">
        <f>+DB!N551</f>
        <v>0</v>
      </c>
      <c r="H551">
        <f>+DB!O551</f>
        <v>0</v>
      </c>
      <c r="I551">
        <f>+DB!I551</f>
        <v>0</v>
      </c>
      <c r="J551">
        <f>+DB!J551</f>
        <v>0</v>
      </c>
      <c r="K551">
        <f>+DB!L551</f>
        <v>0</v>
      </c>
      <c r="L551" t="str">
        <f t="shared" si="25"/>
        <v/>
      </c>
      <c r="M551" t="str">
        <f>+IF(LEFT(DB!M551,3)="13/","CAC","MAD")</f>
        <v>MAD</v>
      </c>
      <c r="N551" t="str">
        <f>+RIGHT(DB!M551,6)</f>
        <v/>
      </c>
      <c r="O551">
        <v>95</v>
      </c>
      <c r="P551">
        <v>5</v>
      </c>
      <c r="Q551">
        <f>+DB!AB551</f>
        <v>0</v>
      </c>
      <c r="R551">
        <f>+DB!K551</f>
        <v>0</v>
      </c>
      <c r="S551">
        <f>+DB!F551</f>
        <v>0</v>
      </c>
      <c r="T551">
        <f>+IF(DB!F551="AAAC-35",1,3)</f>
        <v>3</v>
      </c>
      <c r="U551">
        <f>+DB!R551</f>
        <v>0</v>
      </c>
      <c r="V551">
        <f>+IF(DB!P551="1RI",1,0)+IF(DB!P551="2RI",2,0)</f>
        <v>0</v>
      </c>
      <c r="W551">
        <f>+IF(DB!P551="1RV",1,0)+IF(DB!P551="2RV",2,0)</f>
        <v>0</v>
      </c>
      <c r="X551">
        <f>+IF(DB!P551="RYI",1,0)</f>
        <v>0</v>
      </c>
      <c r="Y551">
        <f>+IF(DB!P551="RYV",1,0)</f>
        <v>0</v>
      </c>
      <c r="Z551">
        <f>+DB!U551</f>
        <v>0</v>
      </c>
      <c r="AA551">
        <f>+IF(DB!F551="AAAC-35",19.5,33)</f>
        <v>33</v>
      </c>
      <c r="AB551">
        <f>+DB!V551</f>
        <v>0</v>
      </c>
      <c r="AC551" t="str">
        <f t="shared" si="26"/>
        <v>56-4</v>
      </c>
      <c r="AD551" s="21" t="s">
        <v>72</v>
      </c>
      <c r="AE551">
        <f>+DB!X551</f>
        <v>0</v>
      </c>
      <c r="AF551" s="22">
        <f>+DB!Y551</f>
        <v>0</v>
      </c>
      <c r="AG551">
        <f>+DB!AK551</f>
        <v>0</v>
      </c>
    </row>
    <row r="552" spans="1:33" x14ac:dyDescent="0.2">
      <c r="A552">
        <f>+DB!C552</f>
        <v>0</v>
      </c>
      <c r="B552">
        <f>+DB!D552</f>
        <v>0</v>
      </c>
      <c r="C552">
        <f>+DB!E552</f>
        <v>0</v>
      </c>
      <c r="D552">
        <f t="shared" si="24"/>
        <v>0</v>
      </c>
      <c r="E552">
        <f>+DB!G552</f>
        <v>0</v>
      </c>
      <c r="F552">
        <f>+DB!H552</f>
        <v>0</v>
      </c>
      <c r="G552">
        <f>+DB!N552</f>
        <v>0</v>
      </c>
      <c r="H552">
        <f>+DB!O552</f>
        <v>0</v>
      </c>
      <c r="I552">
        <f>+DB!I552</f>
        <v>0</v>
      </c>
      <c r="J552">
        <f>+DB!J552</f>
        <v>0</v>
      </c>
      <c r="K552">
        <f>+DB!L552</f>
        <v>0</v>
      </c>
      <c r="L552" t="str">
        <f t="shared" si="25"/>
        <v/>
      </c>
      <c r="M552" t="str">
        <f>+IF(LEFT(DB!M552,3)="13/","CAC","MAD")</f>
        <v>MAD</v>
      </c>
      <c r="N552" t="str">
        <f>+RIGHT(DB!M552,6)</f>
        <v/>
      </c>
      <c r="O552">
        <v>95</v>
      </c>
      <c r="P552">
        <v>5</v>
      </c>
      <c r="Q552">
        <f>+DB!AB552</f>
        <v>0</v>
      </c>
      <c r="R552">
        <f>+DB!K552</f>
        <v>0</v>
      </c>
      <c r="S552">
        <f>+DB!F552</f>
        <v>0</v>
      </c>
      <c r="T552">
        <f>+IF(DB!F552="AAAC-35",1,3)</f>
        <v>3</v>
      </c>
      <c r="U552">
        <f>+DB!R552</f>
        <v>0</v>
      </c>
      <c r="V552">
        <f>+IF(DB!P552="1RI",1,0)+IF(DB!P552="2RI",2,0)</f>
        <v>0</v>
      </c>
      <c r="W552">
        <f>+IF(DB!P552="1RV",1,0)+IF(DB!P552="2RV",2,0)</f>
        <v>0</v>
      </c>
      <c r="X552">
        <f>+IF(DB!P552="RYI",1,0)</f>
        <v>0</v>
      </c>
      <c r="Y552">
        <f>+IF(DB!P552="RYV",1,0)</f>
        <v>0</v>
      </c>
      <c r="Z552">
        <f>+DB!U552</f>
        <v>0</v>
      </c>
      <c r="AA552">
        <f>+IF(DB!F552="AAAC-35",19.5,33)</f>
        <v>33</v>
      </c>
      <c r="AB552">
        <f>+DB!V552</f>
        <v>0</v>
      </c>
      <c r="AC552" t="str">
        <f t="shared" si="26"/>
        <v>56-4</v>
      </c>
      <c r="AD552" s="21" t="s">
        <v>72</v>
      </c>
      <c r="AE552">
        <f>+DB!X552</f>
        <v>0</v>
      </c>
      <c r="AF552" s="22">
        <f>+DB!Y552</f>
        <v>0</v>
      </c>
      <c r="AG552">
        <f>+DB!AK552</f>
        <v>0</v>
      </c>
    </row>
    <row r="553" spans="1:33" x14ac:dyDescent="0.2">
      <c r="A553">
        <f>+DB!C553</f>
        <v>0</v>
      </c>
      <c r="B553">
        <f>+DB!D553</f>
        <v>0</v>
      </c>
      <c r="C553">
        <f>+DB!E553</f>
        <v>0</v>
      </c>
      <c r="D553">
        <f t="shared" si="24"/>
        <v>0</v>
      </c>
      <c r="E553">
        <f>+DB!G553</f>
        <v>0</v>
      </c>
      <c r="F553">
        <f>+DB!H553</f>
        <v>0</v>
      </c>
      <c r="G553">
        <f>+DB!N553</f>
        <v>0</v>
      </c>
      <c r="H553">
        <f>+DB!O553</f>
        <v>0</v>
      </c>
      <c r="I553">
        <f>+DB!I553</f>
        <v>0</v>
      </c>
      <c r="J553">
        <f>+DB!J553</f>
        <v>0</v>
      </c>
      <c r="K553">
        <f>+DB!L553</f>
        <v>0</v>
      </c>
      <c r="L553" t="str">
        <f t="shared" si="25"/>
        <v/>
      </c>
      <c r="M553" t="str">
        <f>+IF(LEFT(DB!M553,3)="13/","CAC","MAD")</f>
        <v>MAD</v>
      </c>
      <c r="N553" t="str">
        <f>+RIGHT(DB!M553,6)</f>
        <v/>
      </c>
      <c r="O553">
        <v>95</v>
      </c>
      <c r="P553">
        <v>5</v>
      </c>
      <c r="Q553">
        <f>+DB!AB553</f>
        <v>0</v>
      </c>
      <c r="R553">
        <f>+DB!K553</f>
        <v>0</v>
      </c>
      <c r="S553">
        <f>+DB!F553</f>
        <v>0</v>
      </c>
      <c r="T553">
        <f>+IF(DB!F553="AAAC-35",1,3)</f>
        <v>3</v>
      </c>
      <c r="U553">
        <f>+DB!R553</f>
        <v>0</v>
      </c>
      <c r="V553">
        <f>+IF(DB!P553="1RI",1,0)+IF(DB!P553="2RI",2,0)</f>
        <v>0</v>
      </c>
      <c r="W553">
        <f>+IF(DB!P553="1RV",1,0)+IF(DB!P553="2RV",2,0)</f>
        <v>0</v>
      </c>
      <c r="X553">
        <f>+IF(DB!P553="RYI",1,0)</f>
        <v>0</v>
      </c>
      <c r="Y553">
        <f>+IF(DB!P553="RYV",1,0)</f>
        <v>0</v>
      </c>
      <c r="Z553">
        <f>+DB!U553</f>
        <v>0</v>
      </c>
      <c r="AA553">
        <f>+IF(DB!F553="AAAC-35",19.5,33)</f>
        <v>33</v>
      </c>
      <c r="AB553">
        <f>+DB!V553</f>
        <v>0</v>
      </c>
      <c r="AC553" t="str">
        <f t="shared" si="26"/>
        <v>56-4</v>
      </c>
      <c r="AD553" s="21" t="s">
        <v>72</v>
      </c>
      <c r="AE553">
        <f>+DB!X553</f>
        <v>0</v>
      </c>
      <c r="AF553" s="22">
        <f>+DB!Y553</f>
        <v>0</v>
      </c>
      <c r="AG553">
        <f>+DB!AK553</f>
        <v>0</v>
      </c>
    </row>
    <row r="554" spans="1:33" x14ac:dyDescent="0.2">
      <c r="A554">
        <f>+DB!C554</f>
        <v>0</v>
      </c>
      <c r="B554">
        <f>+DB!D554</f>
        <v>0</v>
      </c>
      <c r="C554">
        <f>+DB!E554</f>
        <v>0</v>
      </c>
      <c r="D554">
        <f t="shared" si="24"/>
        <v>0</v>
      </c>
      <c r="E554">
        <f>+DB!G554</f>
        <v>0</v>
      </c>
      <c r="F554">
        <f>+DB!H554</f>
        <v>0</v>
      </c>
      <c r="G554">
        <f>+DB!N554</f>
        <v>0</v>
      </c>
      <c r="H554">
        <f>+DB!O554</f>
        <v>0</v>
      </c>
      <c r="I554">
        <f>+DB!I554</f>
        <v>0</v>
      </c>
      <c r="J554">
        <f>+DB!J554</f>
        <v>0</v>
      </c>
      <c r="K554">
        <f>+DB!L554</f>
        <v>0</v>
      </c>
      <c r="L554" t="str">
        <f t="shared" si="25"/>
        <v/>
      </c>
      <c r="M554" t="str">
        <f>+IF(LEFT(DB!M554,3)="13/","CAC","MAD")</f>
        <v>MAD</v>
      </c>
      <c r="N554" t="str">
        <f>+RIGHT(DB!M554,6)</f>
        <v/>
      </c>
      <c r="O554">
        <v>95</v>
      </c>
      <c r="P554">
        <v>5</v>
      </c>
      <c r="Q554">
        <f>+DB!AB554</f>
        <v>0</v>
      </c>
      <c r="R554">
        <f>+DB!K554</f>
        <v>0</v>
      </c>
      <c r="S554">
        <f>+DB!F554</f>
        <v>0</v>
      </c>
      <c r="T554">
        <f>+IF(DB!F554="AAAC-35",1,3)</f>
        <v>3</v>
      </c>
      <c r="U554">
        <f>+DB!R554</f>
        <v>0</v>
      </c>
      <c r="V554">
        <f>+IF(DB!P554="1RI",1,0)+IF(DB!P554="2RI",2,0)</f>
        <v>0</v>
      </c>
      <c r="W554">
        <f>+IF(DB!P554="1RV",1,0)+IF(DB!P554="2RV",2,0)</f>
        <v>0</v>
      </c>
      <c r="X554">
        <f>+IF(DB!P554="RYI",1,0)</f>
        <v>0</v>
      </c>
      <c r="Y554">
        <f>+IF(DB!P554="RYV",1,0)</f>
        <v>0</v>
      </c>
      <c r="Z554">
        <f>+DB!U554</f>
        <v>0</v>
      </c>
      <c r="AA554">
        <f>+IF(DB!F554="AAAC-35",19.5,33)</f>
        <v>33</v>
      </c>
      <c r="AB554">
        <f>+DB!V554</f>
        <v>0</v>
      </c>
      <c r="AC554" t="str">
        <f t="shared" si="26"/>
        <v>56-4</v>
      </c>
      <c r="AD554" s="21" t="s">
        <v>72</v>
      </c>
      <c r="AE554">
        <f>+DB!X554</f>
        <v>0</v>
      </c>
      <c r="AF554" s="22">
        <f>+DB!Y554</f>
        <v>0</v>
      </c>
      <c r="AG554">
        <f>+DB!AK554</f>
        <v>0</v>
      </c>
    </row>
    <row r="555" spans="1:33" x14ac:dyDescent="0.2">
      <c r="A555">
        <f>+DB!C555</f>
        <v>0</v>
      </c>
      <c r="B555">
        <f>+DB!D555</f>
        <v>0</v>
      </c>
      <c r="C555">
        <f>+DB!E555</f>
        <v>0</v>
      </c>
      <c r="D555">
        <f t="shared" si="24"/>
        <v>0</v>
      </c>
      <c r="E555">
        <f>+DB!G555</f>
        <v>0</v>
      </c>
      <c r="F555">
        <f>+DB!H555</f>
        <v>0</v>
      </c>
      <c r="G555">
        <f>+DB!N555</f>
        <v>0</v>
      </c>
      <c r="H555">
        <f>+DB!O555</f>
        <v>0</v>
      </c>
      <c r="I555">
        <f>+DB!I555</f>
        <v>0</v>
      </c>
      <c r="J555">
        <f>+DB!J555</f>
        <v>0</v>
      </c>
      <c r="K555">
        <f>+DB!L555</f>
        <v>0</v>
      </c>
      <c r="L555" t="str">
        <f t="shared" si="25"/>
        <v/>
      </c>
      <c r="M555" t="str">
        <f>+IF(LEFT(DB!M555,3)="13/","CAC","MAD")</f>
        <v>MAD</v>
      </c>
      <c r="N555" t="str">
        <f>+RIGHT(DB!M555,6)</f>
        <v/>
      </c>
      <c r="O555">
        <v>95</v>
      </c>
      <c r="P555">
        <v>5</v>
      </c>
      <c r="Q555">
        <f>+DB!AB555</f>
        <v>0</v>
      </c>
      <c r="R555">
        <f>+DB!K555</f>
        <v>0</v>
      </c>
      <c r="S555">
        <f>+DB!F555</f>
        <v>0</v>
      </c>
      <c r="T555">
        <f>+IF(DB!F555="AAAC-35",1,3)</f>
        <v>3</v>
      </c>
      <c r="U555">
        <f>+DB!R555</f>
        <v>0</v>
      </c>
      <c r="V555">
        <f>+IF(DB!P555="1RI",1,0)+IF(DB!P555="2RI",2,0)</f>
        <v>0</v>
      </c>
      <c r="W555">
        <f>+IF(DB!P555="1RV",1,0)+IF(DB!P555="2RV",2,0)</f>
        <v>0</v>
      </c>
      <c r="X555">
        <f>+IF(DB!P555="RYI",1,0)</f>
        <v>0</v>
      </c>
      <c r="Y555">
        <f>+IF(DB!P555="RYV",1,0)</f>
        <v>0</v>
      </c>
      <c r="Z555">
        <f>+DB!U555</f>
        <v>0</v>
      </c>
      <c r="AA555">
        <f>+IF(DB!F555="AAAC-35",19.5,33)</f>
        <v>33</v>
      </c>
      <c r="AB555">
        <f>+DB!V555</f>
        <v>0</v>
      </c>
      <c r="AC555" t="str">
        <f t="shared" si="26"/>
        <v>56-4</v>
      </c>
      <c r="AD555" s="21" t="s">
        <v>72</v>
      </c>
      <c r="AE555">
        <f>+DB!X555</f>
        <v>0</v>
      </c>
      <c r="AF555" s="22">
        <f>+DB!Y555</f>
        <v>0</v>
      </c>
      <c r="AG555">
        <f>+DB!AK555</f>
        <v>0</v>
      </c>
    </row>
    <row r="556" spans="1:33" x14ac:dyDescent="0.2">
      <c r="A556">
        <f>+DB!C556</f>
        <v>0</v>
      </c>
      <c r="B556">
        <f>+DB!D556</f>
        <v>0</v>
      </c>
      <c r="C556">
        <f>+DB!E556</f>
        <v>0</v>
      </c>
      <c r="D556">
        <f t="shared" si="24"/>
        <v>0</v>
      </c>
      <c r="E556">
        <f>+DB!G556</f>
        <v>0</v>
      </c>
      <c r="F556">
        <f>+DB!H556</f>
        <v>0</v>
      </c>
      <c r="G556">
        <f>+DB!N556</f>
        <v>0</v>
      </c>
      <c r="H556">
        <f>+DB!O556</f>
        <v>0</v>
      </c>
      <c r="I556">
        <f>+DB!I556</f>
        <v>0</v>
      </c>
      <c r="J556">
        <f>+DB!J556</f>
        <v>0</v>
      </c>
      <c r="K556">
        <f>+DB!L556</f>
        <v>0</v>
      </c>
      <c r="L556" t="str">
        <f t="shared" si="25"/>
        <v/>
      </c>
      <c r="M556" t="str">
        <f>+IF(LEFT(DB!M556,3)="13/","CAC","MAD")</f>
        <v>MAD</v>
      </c>
      <c r="N556" t="str">
        <f>+RIGHT(DB!M556,6)</f>
        <v/>
      </c>
      <c r="O556">
        <v>95</v>
      </c>
      <c r="P556">
        <v>5</v>
      </c>
      <c r="Q556">
        <f>+DB!AB556</f>
        <v>0</v>
      </c>
      <c r="R556">
        <f>+DB!K556</f>
        <v>0</v>
      </c>
      <c r="S556">
        <f>+DB!F556</f>
        <v>0</v>
      </c>
      <c r="T556">
        <f>+IF(DB!F556="AAAC-35",1,3)</f>
        <v>3</v>
      </c>
      <c r="U556">
        <f>+DB!R556</f>
        <v>0</v>
      </c>
      <c r="V556">
        <f>+IF(DB!P556="1RI",1,0)+IF(DB!P556="2RI",2,0)</f>
        <v>0</v>
      </c>
      <c r="W556">
        <f>+IF(DB!P556="1RV",1,0)+IF(DB!P556="2RV",2,0)</f>
        <v>0</v>
      </c>
      <c r="X556">
        <f>+IF(DB!P556="RYI",1,0)</f>
        <v>0</v>
      </c>
      <c r="Y556">
        <f>+IF(DB!P556="RYV",1,0)</f>
        <v>0</v>
      </c>
      <c r="Z556">
        <f>+DB!U556</f>
        <v>0</v>
      </c>
      <c r="AA556">
        <f>+IF(DB!F556="AAAC-35",19.5,33)</f>
        <v>33</v>
      </c>
      <c r="AB556">
        <f>+DB!V556</f>
        <v>0</v>
      </c>
      <c r="AC556" t="str">
        <f t="shared" si="26"/>
        <v>56-4</v>
      </c>
      <c r="AD556" s="21" t="s">
        <v>72</v>
      </c>
      <c r="AE556">
        <f>+DB!X556</f>
        <v>0</v>
      </c>
      <c r="AF556" s="22">
        <f>+DB!Y556</f>
        <v>0</v>
      </c>
      <c r="AG556">
        <f>+DB!AK556</f>
        <v>0</v>
      </c>
    </row>
    <row r="557" spans="1:33" x14ac:dyDescent="0.2">
      <c r="A557">
        <f>+DB!C557</f>
        <v>0</v>
      </c>
      <c r="B557">
        <f>+DB!D557</f>
        <v>0</v>
      </c>
      <c r="C557">
        <f>+DB!E557</f>
        <v>0</v>
      </c>
      <c r="D557">
        <f t="shared" si="24"/>
        <v>0</v>
      </c>
      <c r="E557">
        <f>+DB!G557</f>
        <v>0</v>
      </c>
      <c r="F557">
        <f>+DB!H557</f>
        <v>0</v>
      </c>
      <c r="G557">
        <f>+DB!N557</f>
        <v>0</v>
      </c>
      <c r="H557">
        <f>+DB!O557</f>
        <v>0</v>
      </c>
      <c r="I557">
        <f>+DB!I557</f>
        <v>0</v>
      </c>
      <c r="J557">
        <f>+DB!J557</f>
        <v>0</v>
      </c>
      <c r="K557">
        <f>+DB!L557</f>
        <v>0</v>
      </c>
      <c r="L557" t="str">
        <f t="shared" si="25"/>
        <v/>
      </c>
      <c r="M557" t="str">
        <f>+IF(LEFT(DB!M557,3)="13/","CAC","MAD")</f>
        <v>MAD</v>
      </c>
      <c r="N557" t="str">
        <f>+RIGHT(DB!M557,6)</f>
        <v/>
      </c>
      <c r="O557">
        <v>95</v>
      </c>
      <c r="P557">
        <v>5</v>
      </c>
      <c r="Q557">
        <f>+DB!AB557</f>
        <v>0</v>
      </c>
      <c r="R557">
        <f>+DB!K557</f>
        <v>0</v>
      </c>
      <c r="S557">
        <f>+DB!F557</f>
        <v>0</v>
      </c>
      <c r="T557">
        <f>+IF(DB!F557="AAAC-35",1,3)</f>
        <v>3</v>
      </c>
      <c r="U557">
        <f>+DB!R557</f>
        <v>0</v>
      </c>
      <c r="V557">
        <f>+IF(DB!P557="1RI",1,0)+IF(DB!P557="2RI",2,0)</f>
        <v>0</v>
      </c>
      <c r="W557">
        <f>+IF(DB!P557="1RV",1,0)+IF(DB!P557="2RV",2,0)</f>
        <v>0</v>
      </c>
      <c r="X557">
        <f>+IF(DB!P557="RYI",1,0)</f>
        <v>0</v>
      </c>
      <c r="Y557">
        <f>+IF(DB!P557="RYV",1,0)</f>
        <v>0</v>
      </c>
      <c r="Z557">
        <f>+DB!U557</f>
        <v>0</v>
      </c>
      <c r="AA557">
        <f>+IF(DB!F557="AAAC-35",19.5,33)</f>
        <v>33</v>
      </c>
      <c r="AB557">
        <f>+DB!V557</f>
        <v>0</v>
      </c>
      <c r="AC557" t="str">
        <f t="shared" si="26"/>
        <v>56-4</v>
      </c>
      <c r="AD557" s="21" t="s">
        <v>72</v>
      </c>
      <c r="AE557">
        <f>+DB!X557</f>
        <v>0</v>
      </c>
      <c r="AF557" s="22">
        <f>+DB!Y557</f>
        <v>0</v>
      </c>
      <c r="AG557">
        <f>+DB!AK557</f>
        <v>0</v>
      </c>
    </row>
    <row r="558" spans="1:33" x14ac:dyDescent="0.2">
      <c r="A558">
        <f>+DB!C558</f>
        <v>0</v>
      </c>
      <c r="B558">
        <f>+DB!D558</f>
        <v>0</v>
      </c>
      <c r="C558">
        <f>+DB!E558</f>
        <v>0</v>
      </c>
      <c r="D558">
        <f t="shared" si="24"/>
        <v>0</v>
      </c>
      <c r="E558">
        <f>+DB!G558</f>
        <v>0</v>
      </c>
      <c r="F558">
        <f>+DB!H558</f>
        <v>0</v>
      </c>
      <c r="G558">
        <f>+DB!N558</f>
        <v>0</v>
      </c>
      <c r="H558">
        <f>+DB!O558</f>
        <v>0</v>
      </c>
      <c r="I558">
        <f>+DB!I558</f>
        <v>0</v>
      </c>
      <c r="J558">
        <f>+DB!J558</f>
        <v>0</v>
      </c>
      <c r="K558">
        <f>+DB!L558</f>
        <v>0</v>
      </c>
      <c r="L558" t="str">
        <f t="shared" si="25"/>
        <v/>
      </c>
      <c r="M558" t="str">
        <f>+IF(LEFT(DB!M558,3)="13/","CAC","MAD")</f>
        <v>MAD</v>
      </c>
      <c r="N558" t="str">
        <f>+RIGHT(DB!M558,6)</f>
        <v/>
      </c>
      <c r="O558">
        <v>95</v>
      </c>
      <c r="P558">
        <v>5</v>
      </c>
      <c r="Q558">
        <f>+DB!AB558</f>
        <v>0</v>
      </c>
      <c r="R558">
        <f>+DB!K558</f>
        <v>0</v>
      </c>
      <c r="S558">
        <f>+DB!F558</f>
        <v>0</v>
      </c>
      <c r="T558">
        <f>+IF(DB!F558="AAAC-35",1,3)</f>
        <v>3</v>
      </c>
      <c r="U558">
        <f>+DB!R558</f>
        <v>0</v>
      </c>
      <c r="V558">
        <f>+IF(DB!P558="1RI",1,0)+IF(DB!P558="2RI",2,0)</f>
        <v>0</v>
      </c>
      <c r="W558">
        <f>+IF(DB!P558="1RV",1,0)+IF(DB!P558="2RV",2,0)</f>
        <v>0</v>
      </c>
      <c r="X558">
        <f>+IF(DB!P558="RYI",1,0)</f>
        <v>0</v>
      </c>
      <c r="Y558">
        <f>+IF(DB!P558="RYV",1,0)</f>
        <v>0</v>
      </c>
      <c r="Z558">
        <f>+DB!U558</f>
        <v>0</v>
      </c>
      <c r="AA558">
        <f>+IF(DB!F558="AAAC-35",19.5,33)</f>
        <v>33</v>
      </c>
      <c r="AB558">
        <f>+DB!V558</f>
        <v>0</v>
      </c>
      <c r="AC558" t="str">
        <f t="shared" si="26"/>
        <v>56-4</v>
      </c>
      <c r="AD558" s="21" t="s">
        <v>72</v>
      </c>
      <c r="AE558">
        <f>+DB!X558</f>
        <v>0</v>
      </c>
      <c r="AF558" s="22">
        <f>+DB!Y558</f>
        <v>0</v>
      </c>
      <c r="AG558">
        <f>+DB!AK558</f>
        <v>0</v>
      </c>
    </row>
    <row r="559" spans="1:33" x14ac:dyDescent="0.2">
      <c r="A559">
        <f>+DB!C559</f>
        <v>0</v>
      </c>
      <c r="B559">
        <f>+DB!D559</f>
        <v>0</v>
      </c>
      <c r="C559">
        <f>+DB!E559</f>
        <v>0</v>
      </c>
      <c r="D559">
        <f t="shared" si="24"/>
        <v>0</v>
      </c>
      <c r="E559">
        <f>+DB!G559</f>
        <v>0</v>
      </c>
      <c r="F559">
        <f>+DB!H559</f>
        <v>0</v>
      </c>
      <c r="G559">
        <f>+DB!N559</f>
        <v>0</v>
      </c>
      <c r="H559">
        <f>+DB!O559</f>
        <v>0</v>
      </c>
      <c r="I559">
        <f>+DB!I559</f>
        <v>0</v>
      </c>
      <c r="J559">
        <f>+DB!J559</f>
        <v>0</v>
      </c>
      <c r="K559">
        <f>+DB!L559</f>
        <v>0</v>
      </c>
      <c r="L559" t="str">
        <f t="shared" si="25"/>
        <v/>
      </c>
      <c r="M559" t="str">
        <f>+IF(LEFT(DB!M559,3)="13/","CAC","MAD")</f>
        <v>MAD</v>
      </c>
      <c r="N559" t="str">
        <f>+RIGHT(DB!M559,6)</f>
        <v/>
      </c>
      <c r="O559">
        <v>95</v>
      </c>
      <c r="P559">
        <v>5</v>
      </c>
      <c r="Q559">
        <f>+DB!AB559</f>
        <v>0</v>
      </c>
      <c r="R559">
        <f>+DB!K559</f>
        <v>0</v>
      </c>
      <c r="S559">
        <f>+DB!F559</f>
        <v>0</v>
      </c>
      <c r="T559">
        <f>+IF(DB!F559="AAAC-35",1,3)</f>
        <v>3</v>
      </c>
      <c r="U559">
        <f>+DB!R559</f>
        <v>0</v>
      </c>
      <c r="V559">
        <f>+IF(DB!P559="1RI",1,0)+IF(DB!P559="2RI",2,0)</f>
        <v>0</v>
      </c>
      <c r="W559">
        <f>+IF(DB!P559="1RV",1,0)+IF(DB!P559="2RV",2,0)</f>
        <v>0</v>
      </c>
      <c r="X559">
        <f>+IF(DB!P559="RYI",1,0)</f>
        <v>0</v>
      </c>
      <c r="Y559">
        <f>+IF(DB!P559="RYV",1,0)</f>
        <v>0</v>
      </c>
      <c r="Z559">
        <f>+DB!U559</f>
        <v>0</v>
      </c>
      <c r="AA559">
        <f>+IF(DB!F559="AAAC-35",19.5,33)</f>
        <v>33</v>
      </c>
      <c r="AB559">
        <f>+DB!V559</f>
        <v>0</v>
      </c>
      <c r="AC559" t="str">
        <f t="shared" si="26"/>
        <v>56-4</v>
      </c>
      <c r="AD559" s="21" t="s">
        <v>72</v>
      </c>
      <c r="AE559">
        <f>+DB!X559</f>
        <v>0</v>
      </c>
      <c r="AF559" s="22">
        <f>+DB!Y559</f>
        <v>0</v>
      </c>
      <c r="AG559">
        <f>+DB!AK559</f>
        <v>0</v>
      </c>
    </row>
    <row r="560" spans="1:33" x14ac:dyDescent="0.2">
      <c r="A560">
        <f>+DB!C560</f>
        <v>0</v>
      </c>
      <c r="B560">
        <f>+DB!D560</f>
        <v>0</v>
      </c>
      <c r="C560">
        <f>+DB!E560</f>
        <v>0</v>
      </c>
      <c r="D560">
        <f t="shared" si="24"/>
        <v>0</v>
      </c>
      <c r="E560">
        <f>+DB!G560</f>
        <v>0</v>
      </c>
      <c r="F560">
        <f>+DB!H560</f>
        <v>0</v>
      </c>
      <c r="G560">
        <f>+DB!N560</f>
        <v>0</v>
      </c>
      <c r="H560">
        <f>+DB!O560</f>
        <v>0</v>
      </c>
      <c r="I560">
        <f>+DB!I560</f>
        <v>0</v>
      </c>
      <c r="J560">
        <f>+DB!J560</f>
        <v>0</v>
      </c>
      <c r="K560">
        <f>+DB!L560</f>
        <v>0</v>
      </c>
      <c r="L560" t="str">
        <f t="shared" si="25"/>
        <v/>
      </c>
      <c r="M560" t="str">
        <f>+IF(LEFT(DB!M560,3)="13/","CAC","MAD")</f>
        <v>MAD</v>
      </c>
      <c r="N560" t="str">
        <f>+RIGHT(DB!M560,6)</f>
        <v/>
      </c>
      <c r="O560">
        <v>95</v>
      </c>
      <c r="P560">
        <v>5</v>
      </c>
      <c r="Q560">
        <f>+DB!AB560</f>
        <v>0</v>
      </c>
      <c r="R560">
        <f>+DB!K560</f>
        <v>0</v>
      </c>
      <c r="S560">
        <f>+DB!F560</f>
        <v>0</v>
      </c>
      <c r="T560">
        <f>+IF(DB!F560="AAAC-35",1,3)</f>
        <v>3</v>
      </c>
      <c r="U560">
        <f>+DB!R560</f>
        <v>0</v>
      </c>
      <c r="V560">
        <f>+IF(DB!P560="1RI",1,0)+IF(DB!P560="2RI",2,0)</f>
        <v>0</v>
      </c>
      <c r="W560">
        <f>+IF(DB!P560="1RV",1,0)+IF(DB!P560="2RV",2,0)</f>
        <v>0</v>
      </c>
      <c r="X560">
        <f>+IF(DB!P560="RYI",1,0)</f>
        <v>0</v>
      </c>
      <c r="Y560">
        <f>+IF(DB!P560="RYV",1,0)</f>
        <v>0</v>
      </c>
      <c r="Z560">
        <f>+DB!U560</f>
        <v>0</v>
      </c>
      <c r="AA560">
        <f>+IF(DB!F560="AAAC-35",19.5,33)</f>
        <v>33</v>
      </c>
      <c r="AB560">
        <f>+DB!V560</f>
        <v>0</v>
      </c>
      <c r="AC560" t="str">
        <f t="shared" si="26"/>
        <v>56-4</v>
      </c>
      <c r="AD560" s="21" t="s">
        <v>72</v>
      </c>
      <c r="AE560">
        <f>+DB!X560</f>
        <v>0</v>
      </c>
      <c r="AF560" s="22">
        <f>+DB!Y560</f>
        <v>0</v>
      </c>
      <c r="AG560">
        <f>+DB!AK560</f>
        <v>0</v>
      </c>
    </row>
    <row r="561" spans="1:33" x14ac:dyDescent="0.2">
      <c r="A561">
        <f>+DB!C561</f>
        <v>0</v>
      </c>
      <c r="B561">
        <f>+DB!D561</f>
        <v>0</v>
      </c>
      <c r="C561">
        <f>+DB!E561</f>
        <v>0</v>
      </c>
      <c r="D561">
        <f t="shared" si="24"/>
        <v>0</v>
      </c>
      <c r="E561">
        <f>+DB!G561</f>
        <v>0</v>
      </c>
      <c r="F561">
        <f>+DB!H561</f>
        <v>0</v>
      </c>
      <c r="G561">
        <f>+DB!N561</f>
        <v>0</v>
      </c>
      <c r="H561">
        <f>+DB!O561</f>
        <v>0</v>
      </c>
      <c r="I561">
        <f>+DB!I561</f>
        <v>0</v>
      </c>
      <c r="J561">
        <f>+DB!J561</f>
        <v>0</v>
      </c>
      <c r="K561">
        <f>+DB!L561</f>
        <v>0</v>
      </c>
      <c r="L561" t="str">
        <f t="shared" si="25"/>
        <v/>
      </c>
      <c r="M561" t="str">
        <f>+IF(LEFT(DB!M561,3)="13/","CAC","MAD")</f>
        <v>MAD</v>
      </c>
      <c r="N561" t="str">
        <f>+RIGHT(DB!M561,6)</f>
        <v/>
      </c>
      <c r="O561">
        <v>95</v>
      </c>
      <c r="P561">
        <v>5</v>
      </c>
      <c r="Q561">
        <f>+DB!AB561</f>
        <v>0</v>
      </c>
      <c r="R561">
        <f>+DB!K561</f>
        <v>0</v>
      </c>
      <c r="S561">
        <f>+DB!F561</f>
        <v>0</v>
      </c>
      <c r="T561">
        <f>+IF(DB!F561="AAAC-35",1,3)</f>
        <v>3</v>
      </c>
      <c r="U561">
        <f>+DB!R561</f>
        <v>0</v>
      </c>
      <c r="V561">
        <f>+IF(DB!P561="1RI",1,0)+IF(DB!P561="2RI",2,0)</f>
        <v>0</v>
      </c>
      <c r="W561">
        <f>+IF(DB!P561="1RV",1,0)+IF(DB!P561="2RV",2,0)</f>
        <v>0</v>
      </c>
      <c r="X561">
        <f>+IF(DB!P561="RYI",1,0)</f>
        <v>0</v>
      </c>
      <c r="Y561">
        <f>+IF(DB!P561="RYV",1,0)</f>
        <v>0</v>
      </c>
      <c r="Z561">
        <f>+DB!U561</f>
        <v>0</v>
      </c>
      <c r="AA561">
        <f>+IF(DB!F561="AAAC-35",19.5,33)</f>
        <v>33</v>
      </c>
      <c r="AB561">
        <f>+DB!V561</f>
        <v>0</v>
      </c>
      <c r="AC561" t="str">
        <f t="shared" si="26"/>
        <v>56-4</v>
      </c>
      <c r="AD561" s="21" t="s">
        <v>72</v>
      </c>
      <c r="AE561">
        <f>+DB!X561</f>
        <v>0</v>
      </c>
      <c r="AF561" s="22">
        <f>+DB!Y561</f>
        <v>0</v>
      </c>
      <c r="AG561">
        <f>+DB!AK561</f>
        <v>0</v>
      </c>
    </row>
    <row r="562" spans="1:33" x14ac:dyDescent="0.2">
      <c r="A562">
        <f>+DB!C562</f>
        <v>0</v>
      </c>
      <c r="B562">
        <f>+DB!D562</f>
        <v>0</v>
      </c>
      <c r="C562">
        <f>+DB!E562</f>
        <v>0</v>
      </c>
      <c r="D562">
        <f t="shared" si="24"/>
        <v>0</v>
      </c>
      <c r="E562">
        <f>+DB!G562</f>
        <v>0</v>
      </c>
      <c r="F562">
        <f>+DB!H562</f>
        <v>0</v>
      </c>
      <c r="G562">
        <f>+DB!N562</f>
        <v>0</v>
      </c>
      <c r="H562">
        <f>+DB!O562</f>
        <v>0</v>
      </c>
      <c r="I562">
        <f>+DB!I562</f>
        <v>0</v>
      </c>
      <c r="J562">
        <f>+DB!J562</f>
        <v>0</v>
      </c>
      <c r="K562">
        <f>+DB!L562</f>
        <v>0</v>
      </c>
      <c r="L562" t="str">
        <f t="shared" si="25"/>
        <v/>
      </c>
      <c r="M562" t="str">
        <f>+IF(LEFT(DB!M562,3)="13/","CAC","MAD")</f>
        <v>MAD</v>
      </c>
      <c r="N562" t="str">
        <f>+RIGHT(DB!M562,6)</f>
        <v/>
      </c>
      <c r="O562">
        <v>95</v>
      </c>
      <c r="P562">
        <v>5</v>
      </c>
      <c r="Q562">
        <f>+DB!AB562</f>
        <v>0</v>
      </c>
      <c r="R562">
        <f>+DB!K562</f>
        <v>0</v>
      </c>
      <c r="S562">
        <f>+DB!F562</f>
        <v>0</v>
      </c>
      <c r="T562">
        <f>+IF(DB!F562="AAAC-35",1,3)</f>
        <v>3</v>
      </c>
      <c r="U562">
        <f>+DB!R562</f>
        <v>0</v>
      </c>
      <c r="V562">
        <f>+IF(DB!P562="1RI",1,0)+IF(DB!P562="2RI",2,0)</f>
        <v>0</v>
      </c>
      <c r="W562">
        <f>+IF(DB!P562="1RV",1,0)+IF(DB!P562="2RV",2,0)</f>
        <v>0</v>
      </c>
      <c r="X562">
        <f>+IF(DB!P562="RYI",1,0)</f>
        <v>0</v>
      </c>
      <c r="Y562">
        <f>+IF(DB!P562="RYV",1,0)</f>
        <v>0</v>
      </c>
      <c r="Z562">
        <f>+DB!U562</f>
        <v>0</v>
      </c>
      <c r="AA562">
        <f>+IF(DB!F562="AAAC-35",19.5,33)</f>
        <v>33</v>
      </c>
      <c r="AB562">
        <f>+DB!V562</f>
        <v>0</v>
      </c>
      <c r="AC562" t="str">
        <f t="shared" si="26"/>
        <v>56-4</v>
      </c>
      <c r="AD562" s="21" t="s">
        <v>72</v>
      </c>
      <c r="AE562">
        <f>+DB!X562</f>
        <v>0</v>
      </c>
      <c r="AF562" s="22">
        <f>+DB!Y562</f>
        <v>0</v>
      </c>
      <c r="AG562">
        <f>+DB!AK562</f>
        <v>0</v>
      </c>
    </row>
    <row r="563" spans="1:33" x14ac:dyDescent="0.2">
      <c r="A563">
        <f>+DB!C563</f>
        <v>0</v>
      </c>
      <c r="B563">
        <f>+DB!D563</f>
        <v>0</v>
      </c>
      <c r="C563">
        <f>+DB!E563</f>
        <v>0</v>
      </c>
      <c r="D563">
        <f t="shared" si="24"/>
        <v>0</v>
      </c>
      <c r="E563">
        <f>+DB!G563</f>
        <v>0</v>
      </c>
      <c r="F563">
        <f>+DB!H563</f>
        <v>0</v>
      </c>
      <c r="G563">
        <f>+DB!N563</f>
        <v>0</v>
      </c>
      <c r="H563">
        <f>+DB!O563</f>
        <v>0</v>
      </c>
      <c r="I563">
        <f>+DB!I563</f>
        <v>0</v>
      </c>
      <c r="J563">
        <f>+DB!J563</f>
        <v>0</v>
      </c>
      <c r="K563">
        <f>+DB!L563</f>
        <v>0</v>
      </c>
      <c r="L563" t="str">
        <f t="shared" si="25"/>
        <v/>
      </c>
      <c r="M563" t="str">
        <f>+IF(LEFT(DB!M563,3)="13/","CAC","MAD")</f>
        <v>MAD</v>
      </c>
      <c r="N563" t="str">
        <f>+RIGHT(DB!M563,6)</f>
        <v/>
      </c>
      <c r="O563">
        <v>95</v>
      </c>
      <c r="P563">
        <v>5</v>
      </c>
      <c r="Q563">
        <f>+DB!AB563</f>
        <v>0</v>
      </c>
      <c r="R563">
        <f>+DB!K563</f>
        <v>0</v>
      </c>
      <c r="S563">
        <f>+DB!F563</f>
        <v>0</v>
      </c>
      <c r="T563">
        <f>+IF(DB!F563="AAAC-35",1,3)</f>
        <v>3</v>
      </c>
      <c r="U563">
        <f>+DB!R563</f>
        <v>0</v>
      </c>
      <c r="V563">
        <f>+IF(DB!P563="1RI",1,0)+IF(DB!P563="2RI",2,0)</f>
        <v>0</v>
      </c>
      <c r="W563">
        <f>+IF(DB!P563="1RV",1,0)+IF(DB!P563="2RV",2,0)</f>
        <v>0</v>
      </c>
      <c r="X563">
        <f>+IF(DB!P563="RYI",1,0)</f>
        <v>0</v>
      </c>
      <c r="Y563">
        <f>+IF(DB!P563="RYV",1,0)</f>
        <v>0</v>
      </c>
      <c r="Z563">
        <f>+DB!U563</f>
        <v>0</v>
      </c>
      <c r="AA563">
        <f>+IF(DB!F563="AAAC-35",19.5,33)</f>
        <v>33</v>
      </c>
      <c r="AB563">
        <f>+DB!V563</f>
        <v>0</v>
      </c>
      <c r="AC563" t="str">
        <f t="shared" si="26"/>
        <v>56-4</v>
      </c>
      <c r="AD563" s="21" t="s">
        <v>72</v>
      </c>
      <c r="AE563">
        <f>+DB!X563</f>
        <v>0</v>
      </c>
      <c r="AF563" s="22">
        <f>+DB!Y563</f>
        <v>0</v>
      </c>
      <c r="AG563">
        <f>+DB!AK563</f>
        <v>0</v>
      </c>
    </row>
    <row r="564" spans="1:33" x14ac:dyDescent="0.2">
      <c r="A564">
        <f>+DB!C564</f>
        <v>0</v>
      </c>
      <c r="B564">
        <f>+DB!D564</f>
        <v>0</v>
      </c>
      <c r="C564">
        <f>+DB!E564</f>
        <v>0</v>
      </c>
      <c r="D564">
        <f t="shared" si="24"/>
        <v>0</v>
      </c>
      <c r="E564">
        <f>+DB!G564</f>
        <v>0</v>
      </c>
      <c r="F564">
        <f>+DB!H564</f>
        <v>0</v>
      </c>
      <c r="G564">
        <f>+DB!N564</f>
        <v>0</v>
      </c>
      <c r="H564">
        <f>+DB!O564</f>
        <v>0</v>
      </c>
      <c r="I564">
        <f>+DB!I564</f>
        <v>0</v>
      </c>
      <c r="J564">
        <f>+DB!J564</f>
        <v>0</v>
      </c>
      <c r="K564">
        <f>+DB!L564</f>
        <v>0</v>
      </c>
      <c r="L564" t="str">
        <f t="shared" si="25"/>
        <v/>
      </c>
      <c r="M564" t="str">
        <f>+IF(LEFT(DB!M564,3)="13/","CAC","MAD")</f>
        <v>MAD</v>
      </c>
      <c r="N564" t="str">
        <f>+RIGHT(DB!M564,6)</f>
        <v/>
      </c>
      <c r="O564">
        <v>95</v>
      </c>
      <c r="P564">
        <v>5</v>
      </c>
      <c r="Q564">
        <f>+DB!AB564</f>
        <v>0</v>
      </c>
      <c r="R564">
        <f>+DB!K564</f>
        <v>0</v>
      </c>
      <c r="S564">
        <f>+DB!F564</f>
        <v>0</v>
      </c>
      <c r="T564">
        <f>+IF(DB!F564="AAAC-35",1,3)</f>
        <v>3</v>
      </c>
      <c r="U564">
        <f>+DB!R564</f>
        <v>0</v>
      </c>
      <c r="V564">
        <f>+IF(DB!P564="1RI",1,0)+IF(DB!P564="2RI",2,0)</f>
        <v>0</v>
      </c>
      <c r="W564">
        <f>+IF(DB!P564="1RV",1,0)+IF(DB!P564="2RV",2,0)</f>
        <v>0</v>
      </c>
      <c r="X564">
        <f>+IF(DB!P564="RYI",1,0)</f>
        <v>0</v>
      </c>
      <c r="Y564">
        <f>+IF(DB!P564="RYV",1,0)</f>
        <v>0</v>
      </c>
      <c r="Z564">
        <f>+DB!U564</f>
        <v>0</v>
      </c>
      <c r="AA564">
        <f>+IF(DB!F564="AAAC-35",19.5,33)</f>
        <v>33</v>
      </c>
      <c r="AB564">
        <f>+DB!V564</f>
        <v>0</v>
      </c>
      <c r="AC564" t="str">
        <f t="shared" si="26"/>
        <v>56-4</v>
      </c>
      <c r="AD564" s="21" t="s">
        <v>72</v>
      </c>
      <c r="AE564">
        <f>+DB!X564</f>
        <v>0</v>
      </c>
      <c r="AF564" s="22">
        <f>+DB!Y564</f>
        <v>0</v>
      </c>
      <c r="AG564">
        <f>+DB!AK564</f>
        <v>0</v>
      </c>
    </row>
    <row r="565" spans="1:33" x14ac:dyDescent="0.2">
      <c r="A565">
        <f>+DB!C565</f>
        <v>0</v>
      </c>
      <c r="B565">
        <f>+DB!D565</f>
        <v>0</v>
      </c>
      <c r="C565">
        <f>+DB!E565</f>
        <v>0</v>
      </c>
      <c r="D565">
        <f t="shared" si="24"/>
        <v>0</v>
      </c>
      <c r="E565">
        <f>+DB!G565</f>
        <v>0</v>
      </c>
      <c r="F565">
        <f>+DB!H565</f>
        <v>0</v>
      </c>
      <c r="G565">
        <f>+DB!N565</f>
        <v>0</v>
      </c>
      <c r="H565">
        <f>+DB!O565</f>
        <v>0</v>
      </c>
      <c r="I565">
        <f>+DB!I565</f>
        <v>0</v>
      </c>
      <c r="J565">
        <f>+DB!J565</f>
        <v>0</v>
      </c>
      <c r="K565">
        <f>+DB!L565</f>
        <v>0</v>
      </c>
      <c r="L565" t="str">
        <f t="shared" si="25"/>
        <v/>
      </c>
      <c r="M565" t="str">
        <f>+IF(LEFT(DB!M565,3)="13/","CAC","MAD")</f>
        <v>MAD</v>
      </c>
      <c r="N565" t="str">
        <f>+RIGHT(DB!M565,6)</f>
        <v/>
      </c>
      <c r="O565">
        <v>95</v>
      </c>
      <c r="P565">
        <v>5</v>
      </c>
      <c r="Q565">
        <f>+DB!AB565</f>
        <v>0</v>
      </c>
      <c r="R565">
        <f>+DB!K565</f>
        <v>0</v>
      </c>
      <c r="S565">
        <f>+DB!F565</f>
        <v>0</v>
      </c>
      <c r="T565">
        <f>+IF(DB!F565="AAAC-35",1,3)</f>
        <v>3</v>
      </c>
      <c r="U565">
        <f>+DB!R565</f>
        <v>0</v>
      </c>
      <c r="V565">
        <f>+IF(DB!P565="1RI",1,0)+IF(DB!P565="2RI",2,0)</f>
        <v>0</v>
      </c>
      <c r="W565">
        <f>+IF(DB!P565="1RV",1,0)+IF(DB!P565="2RV",2,0)</f>
        <v>0</v>
      </c>
      <c r="X565">
        <f>+IF(DB!P565="RYI",1,0)</f>
        <v>0</v>
      </c>
      <c r="Y565">
        <f>+IF(DB!P565="RYV",1,0)</f>
        <v>0</v>
      </c>
      <c r="Z565">
        <f>+DB!U565</f>
        <v>0</v>
      </c>
      <c r="AA565">
        <f>+IF(DB!F565="AAAC-35",19.5,33)</f>
        <v>33</v>
      </c>
      <c r="AB565">
        <f>+DB!V565</f>
        <v>0</v>
      </c>
      <c r="AC565" t="str">
        <f t="shared" si="26"/>
        <v>56-4</v>
      </c>
      <c r="AD565" s="21" t="s">
        <v>72</v>
      </c>
      <c r="AE565">
        <f>+DB!X565</f>
        <v>0</v>
      </c>
      <c r="AF565" s="22">
        <f>+DB!Y565</f>
        <v>0</v>
      </c>
      <c r="AG565">
        <f>+DB!AK565</f>
        <v>0</v>
      </c>
    </row>
    <row r="566" spans="1:33" x14ac:dyDescent="0.2">
      <c r="A566">
        <f>+DB!C566</f>
        <v>0</v>
      </c>
      <c r="B566">
        <f>+DB!D566</f>
        <v>0</v>
      </c>
      <c r="C566">
        <f>+DB!E566</f>
        <v>0</v>
      </c>
      <c r="D566">
        <f t="shared" si="24"/>
        <v>0</v>
      </c>
      <c r="E566">
        <f>+DB!G566</f>
        <v>0</v>
      </c>
      <c r="F566">
        <f>+DB!H566</f>
        <v>0</v>
      </c>
      <c r="G566">
        <f>+DB!N566</f>
        <v>0</v>
      </c>
      <c r="H566">
        <f>+DB!O566</f>
        <v>0</v>
      </c>
      <c r="I566">
        <f>+DB!I566</f>
        <v>0</v>
      </c>
      <c r="J566">
        <f>+DB!J566</f>
        <v>0</v>
      </c>
      <c r="K566">
        <f>+DB!L566</f>
        <v>0</v>
      </c>
      <c r="L566" t="str">
        <f t="shared" si="25"/>
        <v/>
      </c>
      <c r="M566" t="str">
        <f>+IF(LEFT(DB!M566,3)="13/","CAC","MAD")</f>
        <v>MAD</v>
      </c>
      <c r="N566" t="str">
        <f>+RIGHT(DB!M566,6)</f>
        <v/>
      </c>
      <c r="O566">
        <v>95</v>
      </c>
      <c r="P566">
        <v>5</v>
      </c>
      <c r="Q566">
        <f>+DB!AB566</f>
        <v>0</v>
      </c>
      <c r="R566">
        <f>+DB!K566</f>
        <v>0</v>
      </c>
      <c r="S566">
        <f>+DB!F566</f>
        <v>0</v>
      </c>
      <c r="T566">
        <f>+IF(DB!F566="AAAC-35",1,3)</f>
        <v>3</v>
      </c>
      <c r="U566">
        <f>+DB!R566</f>
        <v>0</v>
      </c>
      <c r="V566">
        <f>+IF(DB!P566="1RI",1,0)+IF(DB!P566="2RI",2,0)</f>
        <v>0</v>
      </c>
      <c r="W566">
        <f>+IF(DB!P566="1RV",1,0)+IF(DB!P566="2RV",2,0)</f>
        <v>0</v>
      </c>
      <c r="X566">
        <f>+IF(DB!P566="RYI",1,0)</f>
        <v>0</v>
      </c>
      <c r="Y566">
        <f>+IF(DB!P566="RYV",1,0)</f>
        <v>0</v>
      </c>
      <c r="Z566">
        <f>+DB!U566</f>
        <v>0</v>
      </c>
      <c r="AA566">
        <f>+IF(DB!F566="AAAC-35",19.5,33)</f>
        <v>33</v>
      </c>
      <c r="AB566">
        <f>+DB!V566</f>
        <v>0</v>
      </c>
      <c r="AC566" t="str">
        <f t="shared" si="26"/>
        <v>56-4</v>
      </c>
      <c r="AD566" s="21" t="s">
        <v>72</v>
      </c>
      <c r="AE566">
        <f>+DB!X566</f>
        <v>0</v>
      </c>
      <c r="AF566" s="22">
        <f>+DB!Y566</f>
        <v>0</v>
      </c>
      <c r="AG566">
        <f>+DB!AK566</f>
        <v>0</v>
      </c>
    </row>
    <row r="567" spans="1:33" x14ac:dyDescent="0.2">
      <c r="A567">
        <f>+DB!C567</f>
        <v>0</v>
      </c>
      <c r="B567">
        <f>+DB!D567</f>
        <v>0</v>
      </c>
      <c r="C567">
        <f>+DB!E567</f>
        <v>0</v>
      </c>
      <c r="D567">
        <f t="shared" si="24"/>
        <v>0</v>
      </c>
      <c r="E567">
        <f>+DB!G567</f>
        <v>0</v>
      </c>
      <c r="F567">
        <f>+DB!H567</f>
        <v>0</v>
      </c>
      <c r="G567">
        <f>+DB!N567</f>
        <v>0</v>
      </c>
      <c r="H567">
        <f>+DB!O567</f>
        <v>0</v>
      </c>
      <c r="I567">
        <f>+DB!I567</f>
        <v>0</v>
      </c>
      <c r="J567">
        <f>+DB!J567</f>
        <v>0</v>
      </c>
      <c r="K567">
        <f>+DB!L567</f>
        <v>0</v>
      </c>
      <c r="L567" t="str">
        <f t="shared" si="25"/>
        <v/>
      </c>
      <c r="M567" t="str">
        <f>+IF(LEFT(DB!M567,3)="13/","CAC","MAD")</f>
        <v>MAD</v>
      </c>
      <c r="N567" t="str">
        <f>+RIGHT(DB!M567,6)</f>
        <v/>
      </c>
      <c r="O567">
        <v>95</v>
      </c>
      <c r="P567">
        <v>5</v>
      </c>
      <c r="Q567">
        <f>+DB!AB567</f>
        <v>0</v>
      </c>
      <c r="R567">
        <f>+DB!K567</f>
        <v>0</v>
      </c>
      <c r="S567">
        <f>+DB!F567</f>
        <v>0</v>
      </c>
      <c r="T567">
        <f>+IF(DB!F567="AAAC-35",1,3)</f>
        <v>3</v>
      </c>
      <c r="U567">
        <f>+DB!R567</f>
        <v>0</v>
      </c>
      <c r="V567">
        <f>+IF(DB!P567="1RI",1,0)+IF(DB!P567="2RI",2,0)</f>
        <v>0</v>
      </c>
      <c r="W567">
        <f>+IF(DB!P567="1RV",1,0)+IF(DB!P567="2RV",2,0)</f>
        <v>0</v>
      </c>
      <c r="X567">
        <f>+IF(DB!P567="RYI",1,0)</f>
        <v>0</v>
      </c>
      <c r="Y567">
        <f>+IF(DB!P567="RYV",1,0)</f>
        <v>0</v>
      </c>
      <c r="Z567">
        <f>+DB!U567</f>
        <v>0</v>
      </c>
      <c r="AA567">
        <f>+IF(DB!F567="AAAC-35",19.5,33)</f>
        <v>33</v>
      </c>
      <c r="AB567">
        <f>+DB!V567</f>
        <v>0</v>
      </c>
      <c r="AC567" t="str">
        <f t="shared" si="26"/>
        <v>56-4</v>
      </c>
      <c r="AD567" s="21" t="s">
        <v>72</v>
      </c>
      <c r="AE567">
        <f>+DB!X567</f>
        <v>0</v>
      </c>
      <c r="AF567" s="22">
        <f>+DB!Y567</f>
        <v>0</v>
      </c>
      <c r="AG567">
        <f>+DB!AK567</f>
        <v>0</v>
      </c>
    </row>
    <row r="568" spans="1:33" x14ac:dyDescent="0.2">
      <c r="A568">
        <f>+DB!C568</f>
        <v>0</v>
      </c>
      <c r="B568">
        <f>+DB!D568</f>
        <v>0</v>
      </c>
      <c r="C568">
        <f>+DB!E568</f>
        <v>0</v>
      </c>
      <c r="D568">
        <f t="shared" si="24"/>
        <v>0</v>
      </c>
      <c r="E568">
        <f>+DB!G568</f>
        <v>0</v>
      </c>
      <c r="F568">
        <f>+DB!H568</f>
        <v>0</v>
      </c>
      <c r="G568">
        <f>+DB!N568</f>
        <v>0</v>
      </c>
      <c r="H568">
        <f>+DB!O568</f>
        <v>0</v>
      </c>
      <c r="I568">
        <f>+DB!I568</f>
        <v>0</v>
      </c>
      <c r="J568">
        <f>+DB!J568</f>
        <v>0</v>
      </c>
      <c r="K568">
        <f>+DB!L568</f>
        <v>0</v>
      </c>
      <c r="L568" t="str">
        <f t="shared" si="25"/>
        <v/>
      </c>
      <c r="M568" t="str">
        <f>+IF(LEFT(DB!M568,3)="13/","CAC","MAD")</f>
        <v>MAD</v>
      </c>
      <c r="N568" t="str">
        <f>+RIGHT(DB!M568,6)</f>
        <v/>
      </c>
      <c r="O568">
        <v>95</v>
      </c>
      <c r="P568">
        <v>5</v>
      </c>
      <c r="Q568">
        <f>+DB!AB568</f>
        <v>0</v>
      </c>
      <c r="R568">
        <f>+DB!K568</f>
        <v>0</v>
      </c>
      <c r="S568">
        <f>+DB!F568</f>
        <v>0</v>
      </c>
      <c r="T568">
        <f>+IF(DB!F568="AAAC-35",1,3)</f>
        <v>3</v>
      </c>
      <c r="U568">
        <f>+DB!R568</f>
        <v>0</v>
      </c>
      <c r="V568">
        <f>+IF(DB!P568="1RI",1,0)+IF(DB!P568="2RI",2,0)</f>
        <v>0</v>
      </c>
      <c r="W568">
        <f>+IF(DB!P568="1RV",1,0)+IF(DB!P568="2RV",2,0)</f>
        <v>0</v>
      </c>
      <c r="X568">
        <f>+IF(DB!P568="RYI",1,0)</f>
        <v>0</v>
      </c>
      <c r="Y568">
        <f>+IF(DB!P568="RYV",1,0)</f>
        <v>0</v>
      </c>
      <c r="Z568">
        <f>+DB!U568</f>
        <v>0</v>
      </c>
      <c r="AA568">
        <f>+IF(DB!F568="AAAC-35",19.5,33)</f>
        <v>33</v>
      </c>
      <c r="AB568">
        <f>+DB!V568</f>
        <v>0</v>
      </c>
      <c r="AC568" t="str">
        <f t="shared" si="26"/>
        <v>56-4</v>
      </c>
      <c r="AD568" s="21" t="s">
        <v>72</v>
      </c>
      <c r="AE568">
        <f>+DB!X568</f>
        <v>0</v>
      </c>
      <c r="AF568" s="22">
        <f>+DB!Y568</f>
        <v>0</v>
      </c>
      <c r="AG568">
        <f>+DB!AK568</f>
        <v>0</v>
      </c>
    </row>
    <row r="569" spans="1:33" x14ac:dyDescent="0.2">
      <c r="A569">
        <f>+DB!C569</f>
        <v>0</v>
      </c>
      <c r="B569">
        <f>+DB!D569</f>
        <v>0</v>
      </c>
      <c r="C569">
        <f>+DB!E569</f>
        <v>0</v>
      </c>
      <c r="D569">
        <f t="shared" si="24"/>
        <v>0</v>
      </c>
      <c r="E569">
        <f>+DB!G569</f>
        <v>0</v>
      </c>
      <c r="F569">
        <f>+DB!H569</f>
        <v>0</v>
      </c>
      <c r="G569">
        <f>+DB!N569</f>
        <v>0</v>
      </c>
      <c r="H569">
        <f>+DB!O569</f>
        <v>0</v>
      </c>
      <c r="I569">
        <f>+DB!I569</f>
        <v>0</v>
      </c>
      <c r="J569">
        <f>+DB!J569</f>
        <v>0</v>
      </c>
      <c r="K569">
        <f>+DB!L569</f>
        <v>0</v>
      </c>
      <c r="L569" t="str">
        <f t="shared" si="25"/>
        <v/>
      </c>
      <c r="M569" t="str">
        <f>+IF(LEFT(DB!M569,3)="13/","CAC","MAD")</f>
        <v>MAD</v>
      </c>
      <c r="N569" t="str">
        <f>+RIGHT(DB!M569,6)</f>
        <v/>
      </c>
      <c r="O569">
        <v>95</v>
      </c>
      <c r="P569">
        <v>5</v>
      </c>
      <c r="Q569">
        <f>+DB!AB569</f>
        <v>0</v>
      </c>
      <c r="R569">
        <f>+DB!K569</f>
        <v>0</v>
      </c>
      <c r="S569">
        <f>+DB!F569</f>
        <v>0</v>
      </c>
      <c r="T569">
        <f>+IF(DB!F569="AAAC-35",1,3)</f>
        <v>3</v>
      </c>
      <c r="U569">
        <f>+DB!R569</f>
        <v>0</v>
      </c>
      <c r="V569">
        <f>+IF(DB!P569="1RI",1,0)+IF(DB!P569="2RI",2,0)</f>
        <v>0</v>
      </c>
      <c r="W569">
        <f>+IF(DB!P569="1RV",1,0)+IF(DB!P569="2RV",2,0)</f>
        <v>0</v>
      </c>
      <c r="X569">
        <f>+IF(DB!P569="RYI",1,0)</f>
        <v>0</v>
      </c>
      <c r="Y569">
        <f>+IF(DB!P569="RYV",1,0)</f>
        <v>0</v>
      </c>
      <c r="Z569">
        <f>+DB!U569</f>
        <v>0</v>
      </c>
      <c r="AA569">
        <f>+IF(DB!F569="AAAC-35",19.5,33)</f>
        <v>33</v>
      </c>
      <c r="AB569">
        <f>+DB!V569</f>
        <v>0</v>
      </c>
      <c r="AC569" t="str">
        <f t="shared" si="26"/>
        <v>56-4</v>
      </c>
      <c r="AD569" s="21" t="s">
        <v>72</v>
      </c>
      <c r="AE569">
        <f>+DB!X569</f>
        <v>0</v>
      </c>
      <c r="AF569" s="22">
        <f>+DB!Y569</f>
        <v>0</v>
      </c>
      <c r="AG569">
        <f>+DB!AK569</f>
        <v>0</v>
      </c>
    </row>
    <row r="570" spans="1:33" x14ac:dyDescent="0.2">
      <c r="A570">
        <f>+DB!C570</f>
        <v>0</v>
      </c>
      <c r="B570">
        <f>+DB!D570</f>
        <v>0</v>
      </c>
      <c r="C570">
        <f>+DB!E570</f>
        <v>0</v>
      </c>
      <c r="D570">
        <f t="shared" si="24"/>
        <v>0</v>
      </c>
      <c r="E570">
        <f>+DB!G570</f>
        <v>0</v>
      </c>
      <c r="F570">
        <f>+DB!H570</f>
        <v>0</v>
      </c>
      <c r="G570">
        <f>+DB!N570</f>
        <v>0</v>
      </c>
      <c r="H570">
        <f>+DB!O570</f>
        <v>0</v>
      </c>
      <c r="I570">
        <f>+DB!I570</f>
        <v>0</v>
      </c>
      <c r="J570">
        <f>+DB!J570</f>
        <v>0</v>
      </c>
      <c r="K570">
        <f>+DB!L570</f>
        <v>0</v>
      </c>
      <c r="L570" t="str">
        <f t="shared" si="25"/>
        <v/>
      </c>
      <c r="M570" t="str">
        <f>+IF(LEFT(DB!M570,3)="13/","CAC","MAD")</f>
        <v>MAD</v>
      </c>
      <c r="N570" t="str">
        <f>+RIGHT(DB!M570,6)</f>
        <v/>
      </c>
      <c r="O570">
        <v>95</v>
      </c>
      <c r="P570">
        <v>5</v>
      </c>
      <c r="Q570">
        <f>+DB!AB570</f>
        <v>0</v>
      </c>
      <c r="R570">
        <f>+DB!K570</f>
        <v>0</v>
      </c>
      <c r="S570">
        <f>+DB!F570</f>
        <v>0</v>
      </c>
      <c r="T570">
        <f>+IF(DB!F570="AAAC-35",1,3)</f>
        <v>3</v>
      </c>
      <c r="U570">
        <f>+DB!R570</f>
        <v>0</v>
      </c>
      <c r="V570">
        <f>+IF(DB!P570="1RI",1,0)+IF(DB!P570="2RI",2,0)</f>
        <v>0</v>
      </c>
      <c r="W570">
        <f>+IF(DB!P570="1RV",1,0)+IF(DB!P570="2RV",2,0)</f>
        <v>0</v>
      </c>
      <c r="X570">
        <f>+IF(DB!P570="RYI",1,0)</f>
        <v>0</v>
      </c>
      <c r="Y570">
        <f>+IF(DB!P570="RYV",1,0)</f>
        <v>0</v>
      </c>
      <c r="Z570">
        <f>+DB!U570</f>
        <v>0</v>
      </c>
      <c r="AA570">
        <f>+IF(DB!F570="AAAC-35",19.5,33)</f>
        <v>33</v>
      </c>
      <c r="AB570">
        <f>+DB!V570</f>
        <v>0</v>
      </c>
      <c r="AC570" t="str">
        <f t="shared" si="26"/>
        <v>56-4</v>
      </c>
      <c r="AD570" s="21" t="s">
        <v>72</v>
      </c>
      <c r="AE570">
        <f>+DB!X570</f>
        <v>0</v>
      </c>
      <c r="AF570" s="22">
        <f>+DB!Y570</f>
        <v>0</v>
      </c>
      <c r="AG570">
        <f>+DB!AK570</f>
        <v>0</v>
      </c>
    </row>
    <row r="571" spans="1:33" x14ac:dyDescent="0.2">
      <c r="A571">
        <f>+DB!C571</f>
        <v>0</v>
      </c>
      <c r="B571">
        <f>+DB!D571</f>
        <v>0</v>
      </c>
      <c r="C571">
        <f>+DB!E571</f>
        <v>0</v>
      </c>
      <c r="D571">
        <f t="shared" si="24"/>
        <v>0</v>
      </c>
      <c r="E571">
        <f>+DB!G571</f>
        <v>0</v>
      </c>
      <c r="F571">
        <f>+DB!H571</f>
        <v>0</v>
      </c>
      <c r="G571">
        <f>+DB!N571</f>
        <v>0</v>
      </c>
      <c r="H571">
        <f>+DB!O571</f>
        <v>0</v>
      </c>
      <c r="I571">
        <f>+DB!I571</f>
        <v>0</v>
      </c>
      <c r="J571">
        <f>+DB!J571</f>
        <v>0</v>
      </c>
      <c r="K571">
        <f>+DB!L571</f>
        <v>0</v>
      </c>
      <c r="L571" t="str">
        <f t="shared" si="25"/>
        <v/>
      </c>
      <c r="M571" t="str">
        <f>+IF(LEFT(DB!M571,3)="13/","CAC","MAD")</f>
        <v>MAD</v>
      </c>
      <c r="N571" t="str">
        <f>+RIGHT(DB!M571,6)</f>
        <v/>
      </c>
      <c r="O571">
        <v>95</v>
      </c>
      <c r="P571">
        <v>5</v>
      </c>
      <c r="Q571">
        <f>+DB!AB571</f>
        <v>0</v>
      </c>
      <c r="R571">
        <f>+DB!K571</f>
        <v>0</v>
      </c>
      <c r="S571">
        <f>+DB!F571</f>
        <v>0</v>
      </c>
      <c r="T571">
        <f>+IF(DB!F571="AAAC-35",1,3)</f>
        <v>3</v>
      </c>
      <c r="U571">
        <f>+DB!R571</f>
        <v>0</v>
      </c>
      <c r="V571">
        <f>+IF(DB!P571="1RI",1,0)+IF(DB!P571="2RI",2,0)</f>
        <v>0</v>
      </c>
      <c r="W571">
        <f>+IF(DB!P571="1RV",1,0)+IF(DB!P571="2RV",2,0)</f>
        <v>0</v>
      </c>
      <c r="X571">
        <f>+IF(DB!P571="RYI",1,0)</f>
        <v>0</v>
      </c>
      <c r="Y571">
        <f>+IF(DB!P571="RYV",1,0)</f>
        <v>0</v>
      </c>
      <c r="Z571">
        <f>+DB!U571</f>
        <v>0</v>
      </c>
      <c r="AA571">
        <f>+IF(DB!F571="AAAC-35",19.5,33)</f>
        <v>33</v>
      </c>
      <c r="AB571">
        <f>+DB!V571</f>
        <v>0</v>
      </c>
      <c r="AC571" t="str">
        <f t="shared" si="26"/>
        <v>56-4</v>
      </c>
      <c r="AD571" s="21" t="s">
        <v>72</v>
      </c>
      <c r="AE571">
        <f>+DB!X571</f>
        <v>0</v>
      </c>
      <c r="AF571" s="22">
        <f>+DB!Y571</f>
        <v>0</v>
      </c>
      <c r="AG571">
        <f>+DB!AK571</f>
        <v>0</v>
      </c>
    </row>
    <row r="572" spans="1:33" x14ac:dyDescent="0.2">
      <c r="A572">
        <f>+DB!C572</f>
        <v>0</v>
      </c>
      <c r="B572">
        <f>+DB!D572</f>
        <v>0</v>
      </c>
      <c r="C572">
        <f>+DB!E572</f>
        <v>0</v>
      </c>
      <c r="D572">
        <f t="shared" si="24"/>
        <v>0</v>
      </c>
      <c r="E572">
        <f>+DB!G572</f>
        <v>0</v>
      </c>
      <c r="F572">
        <f>+DB!H572</f>
        <v>0</v>
      </c>
      <c r="G572">
        <f>+DB!N572</f>
        <v>0</v>
      </c>
      <c r="H572">
        <f>+DB!O572</f>
        <v>0</v>
      </c>
      <c r="I572">
        <f>+DB!I572</f>
        <v>0</v>
      </c>
      <c r="J572">
        <f>+DB!J572</f>
        <v>0</v>
      </c>
      <c r="K572">
        <f>+DB!L572</f>
        <v>0</v>
      </c>
      <c r="L572" t="str">
        <f t="shared" si="25"/>
        <v/>
      </c>
      <c r="M572" t="str">
        <f>+IF(LEFT(DB!M572,3)="13/","CAC","MAD")</f>
        <v>MAD</v>
      </c>
      <c r="N572" t="str">
        <f>+RIGHT(DB!M572,6)</f>
        <v/>
      </c>
      <c r="O572">
        <v>95</v>
      </c>
      <c r="P572">
        <v>5</v>
      </c>
      <c r="Q572">
        <f>+DB!AB572</f>
        <v>0</v>
      </c>
      <c r="R572">
        <f>+DB!K572</f>
        <v>0</v>
      </c>
      <c r="S572">
        <f>+DB!F572</f>
        <v>0</v>
      </c>
      <c r="T572">
        <f>+IF(DB!F572="AAAC-35",1,3)</f>
        <v>3</v>
      </c>
      <c r="U572">
        <f>+DB!R572</f>
        <v>0</v>
      </c>
      <c r="V572">
        <f>+IF(DB!P572="1RI",1,0)+IF(DB!P572="2RI",2,0)</f>
        <v>0</v>
      </c>
      <c r="W572">
        <f>+IF(DB!P572="1RV",1,0)+IF(DB!P572="2RV",2,0)</f>
        <v>0</v>
      </c>
      <c r="X572">
        <f>+IF(DB!P572="RYI",1,0)</f>
        <v>0</v>
      </c>
      <c r="Y572">
        <f>+IF(DB!P572="RYV",1,0)</f>
        <v>0</v>
      </c>
      <c r="Z572">
        <f>+DB!U572</f>
        <v>0</v>
      </c>
      <c r="AA572">
        <f>+IF(DB!F572="AAAC-35",19.5,33)</f>
        <v>33</v>
      </c>
      <c r="AB572">
        <f>+DB!V572</f>
        <v>0</v>
      </c>
      <c r="AC572" t="str">
        <f t="shared" si="26"/>
        <v>56-4</v>
      </c>
      <c r="AD572" s="21" t="s">
        <v>72</v>
      </c>
      <c r="AE572">
        <f>+DB!X572</f>
        <v>0</v>
      </c>
      <c r="AF572" s="22">
        <f>+DB!Y572</f>
        <v>0</v>
      </c>
      <c r="AG572">
        <f>+DB!AK572</f>
        <v>0</v>
      </c>
    </row>
    <row r="573" spans="1:33" x14ac:dyDescent="0.2">
      <c r="A573">
        <f>+DB!C573</f>
        <v>0</v>
      </c>
      <c r="B573">
        <f>+DB!D573</f>
        <v>0</v>
      </c>
      <c r="C573">
        <f>+DB!E573</f>
        <v>0</v>
      </c>
      <c r="D573">
        <f t="shared" si="24"/>
        <v>0</v>
      </c>
      <c r="E573">
        <f>+DB!G573</f>
        <v>0</v>
      </c>
      <c r="F573">
        <f>+DB!H573</f>
        <v>0</v>
      </c>
      <c r="G573">
        <f>+DB!N573</f>
        <v>0</v>
      </c>
      <c r="H573">
        <f>+DB!O573</f>
        <v>0</v>
      </c>
      <c r="I573">
        <f>+DB!I573</f>
        <v>0</v>
      </c>
      <c r="J573">
        <f>+DB!J573</f>
        <v>0</v>
      </c>
      <c r="K573">
        <f>+DB!L573</f>
        <v>0</v>
      </c>
      <c r="L573" t="str">
        <f t="shared" si="25"/>
        <v/>
      </c>
      <c r="M573" t="str">
        <f>+IF(LEFT(DB!M573,3)="13/","CAC","MAD")</f>
        <v>MAD</v>
      </c>
      <c r="N573" t="str">
        <f>+RIGHT(DB!M573,6)</f>
        <v/>
      </c>
      <c r="O573">
        <v>95</v>
      </c>
      <c r="P573">
        <v>5</v>
      </c>
      <c r="Q573">
        <f>+DB!AB573</f>
        <v>0</v>
      </c>
      <c r="R573">
        <f>+DB!K573</f>
        <v>0</v>
      </c>
      <c r="S573">
        <f>+DB!F573</f>
        <v>0</v>
      </c>
      <c r="T573">
        <f>+IF(DB!F573="AAAC-35",1,3)</f>
        <v>3</v>
      </c>
      <c r="U573">
        <f>+DB!R573</f>
        <v>0</v>
      </c>
      <c r="V573">
        <f>+IF(DB!P573="1RI",1,0)+IF(DB!P573="2RI",2,0)</f>
        <v>0</v>
      </c>
      <c r="W573">
        <f>+IF(DB!P573="1RV",1,0)+IF(DB!P573="2RV",2,0)</f>
        <v>0</v>
      </c>
      <c r="X573">
        <f>+IF(DB!P573="RYI",1,0)</f>
        <v>0</v>
      </c>
      <c r="Y573">
        <f>+IF(DB!P573="RYV",1,0)</f>
        <v>0</v>
      </c>
      <c r="Z573">
        <f>+DB!U573</f>
        <v>0</v>
      </c>
      <c r="AA573">
        <f>+IF(DB!F573="AAAC-35",19.5,33)</f>
        <v>33</v>
      </c>
      <c r="AB573">
        <f>+DB!V573</f>
        <v>0</v>
      </c>
      <c r="AC573" t="str">
        <f t="shared" si="26"/>
        <v>56-4</v>
      </c>
      <c r="AD573" s="21" t="s">
        <v>72</v>
      </c>
      <c r="AE573">
        <f>+DB!X573</f>
        <v>0</v>
      </c>
      <c r="AF573" s="22">
        <f>+DB!Y573</f>
        <v>0</v>
      </c>
      <c r="AG573">
        <f>+DB!AK573</f>
        <v>0</v>
      </c>
    </row>
    <row r="574" spans="1:33" x14ac:dyDescent="0.2">
      <c r="A574">
        <f>+DB!C574</f>
        <v>0</v>
      </c>
      <c r="B574">
        <f>+DB!D574</f>
        <v>0</v>
      </c>
      <c r="C574">
        <f>+DB!E574</f>
        <v>0</v>
      </c>
      <c r="D574">
        <f t="shared" si="24"/>
        <v>0</v>
      </c>
      <c r="E574">
        <f>+DB!G574</f>
        <v>0</v>
      </c>
      <c r="F574">
        <f>+DB!H574</f>
        <v>0</v>
      </c>
      <c r="G574">
        <f>+DB!N574</f>
        <v>0</v>
      </c>
      <c r="H574">
        <f>+DB!O574</f>
        <v>0</v>
      </c>
      <c r="I574">
        <f>+DB!I574</f>
        <v>0</v>
      </c>
      <c r="J574">
        <f>+DB!J574</f>
        <v>0</v>
      </c>
      <c r="K574">
        <f>+DB!L574</f>
        <v>0</v>
      </c>
      <c r="L574" t="str">
        <f t="shared" si="25"/>
        <v/>
      </c>
      <c r="M574" t="str">
        <f>+IF(LEFT(DB!M574,3)="13/","CAC","MAD")</f>
        <v>MAD</v>
      </c>
      <c r="N574" t="str">
        <f>+RIGHT(DB!M574,6)</f>
        <v/>
      </c>
      <c r="O574">
        <v>95</v>
      </c>
      <c r="P574">
        <v>5</v>
      </c>
      <c r="Q574">
        <f>+DB!AB574</f>
        <v>0</v>
      </c>
      <c r="R574">
        <f>+DB!K574</f>
        <v>0</v>
      </c>
      <c r="S574">
        <f>+DB!F574</f>
        <v>0</v>
      </c>
      <c r="T574">
        <f>+IF(DB!F574="AAAC-35",1,3)</f>
        <v>3</v>
      </c>
      <c r="U574">
        <f>+DB!R574</f>
        <v>0</v>
      </c>
      <c r="V574">
        <f>+IF(DB!P574="1RI",1,0)+IF(DB!P574="2RI",2,0)</f>
        <v>0</v>
      </c>
      <c r="W574">
        <f>+IF(DB!P574="1RV",1,0)+IF(DB!P574="2RV",2,0)</f>
        <v>0</v>
      </c>
      <c r="X574">
        <f>+IF(DB!P574="RYI",1,0)</f>
        <v>0</v>
      </c>
      <c r="Y574">
        <f>+IF(DB!P574="RYV",1,0)</f>
        <v>0</v>
      </c>
      <c r="Z574">
        <f>+DB!U574</f>
        <v>0</v>
      </c>
      <c r="AA574">
        <f>+IF(DB!F574="AAAC-35",19.5,33)</f>
        <v>33</v>
      </c>
      <c r="AB574">
        <f>+DB!V574</f>
        <v>0</v>
      </c>
      <c r="AC574" t="str">
        <f t="shared" si="26"/>
        <v>56-4</v>
      </c>
      <c r="AD574" s="21" t="s">
        <v>72</v>
      </c>
      <c r="AE574">
        <f>+DB!X574</f>
        <v>0</v>
      </c>
      <c r="AF574" s="22">
        <f>+DB!Y574</f>
        <v>0</v>
      </c>
      <c r="AG574">
        <f>+DB!AK574</f>
        <v>0</v>
      </c>
    </row>
    <row r="575" spans="1:33" x14ac:dyDescent="0.2">
      <c r="A575">
        <f>+DB!C575</f>
        <v>0</v>
      </c>
      <c r="B575">
        <f>+DB!D575</f>
        <v>0</v>
      </c>
      <c r="C575">
        <f>+DB!E575</f>
        <v>0</v>
      </c>
      <c r="D575">
        <f t="shared" si="24"/>
        <v>0</v>
      </c>
      <c r="E575">
        <f>+DB!G575</f>
        <v>0</v>
      </c>
      <c r="F575">
        <f>+DB!H575</f>
        <v>0</v>
      </c>
      <c r="G575">
        <f>+DB!N575</f>
        <v>0</v>
      </c>
      <c r="H575">
        <f>+DB!O575</f>
        <v>0</v>
      </c>
      <c r="I575">
        <f>+DB!I575</f>
        <v>0</v>
      </c>
      <c r="J575">
        <f>+DB!J575</f>
        <v>0</v>
      </c>
      <c r="K575">
        <f>+DB!L575</f>
        <v>0</v>
      </c>
      <c r="L575" t="str">
        <f t="shared" si="25"/>
        <v/>
      </c>
      <c r="M575" t="str">
        <f>+IF(LEFT(DB!M575,3)="13/","CAC","MAD")</f>
        <v>MAD</v>
      </c>
      <c r="N575" t="str">
        <f>+RIGHT(DB!M575,6)</f>
        <v/>
      </c>
      <c r="O575">
        <v>95</v>
      </c>
      <c r="P575">
        <v>5</v>
      </c>
      <c r="Q575">
        <f>+DB!AB575</f>
        <v>0</v>
      </c>
      <c r="R575">
        <f>+DB!K575</f>
        <v>0</v>
      </c>
      <c r="S575">
        <f>+DB!F575</f>
        <v>0</v>
      </c>
      <c r="T575">
        <f>+IF(DB!F575="AAAC-35",1,3)</f>
        <v>3</v>
      </c>
      <c r="U575">
        <f>+DB!R575</f>
        <v>0</v>
      </c>
      <c r="V575">
        <f>+IF(DB!P575="1RI",1,0)+IF(DB!P575="2RI",2,0)</f>
        <v>0</v>
      </c>
      <c r="W575">
        <f>+IF(DB!P575="1RV",1,0)+IF(DB!P575="2RV",2,0)</f>
        <v>0</v>
      </c>
      <c r="X575">
        <f>+IF(DB!P575="RYI",1,0)</f>
        <v>0</v>
      </c>
      <c r="Y575">
        <f>+IF(DB!P575="RYV",1,0)</f>
        <v>0</v>
      </c>
      <c r="Z575">
        <f>+DB!U575</f>
        <v>0</v>
      </c>
      <c r="AA575">
        <f>+IF(DB!F575="AAAC-35",19.5,33)</f>
        <v>33</v>
      </c>
      <c r="AB575">
        <f>+DB!V575</f>
        <v>0</v>
      </c>
      <c r="AC575" t="str">
        <f t="shared" si="26"/>
        <v>56-4</v>
      </c>
      <c r="AD575" s="21" t="s">
        <v>72</v>
      </c>
      <c r="AE575">
        <f>+DB!X575</f>
        <v>0</v>
      </c>
      <c r="AF575" s="22">
        <f>+DB!Y575</f>
        <v>0</v>
      </c>
      <c r="AG575">
        <f>+DB!AK575</f>
        <v>0</v>
      </c>
    </row>
    <row r="576" spans="1:33" x14ac:dyDescent="0.2">
      <c r="A576">
        <f>+DB!C576</f>
        <v>0</v>
      </c>
      <c r="B576">
        <f>+DB!D576</f>
        <v>0</v>
      </c>
      <c r="C576">
        <f>+DB!E576</f>
        <v>0</v>
      </c>
      <c r="D576">
        <f t="shared" si="24"/>
        <v>0</v>
      </c>
      <c r="E576">
        <f>+DB!G576</f>
        <v>0</v>
      </c>
      <c r="F576">
        <f>+DB!H576</f>
        <v>0</v>
      </c>
      <c r="G576">
        <f>+DB!N576</f>
        <v>0</v>
      </c>
      <c r="H576">
        <f>+DB!O576</f>
        <v>0</v>
      </c>
      <c r="I576">
        <f>+DB!I576</f>
        <v>0</v>
      </c>
      <c r="J576">
        <f>+DB!J576</f>
        <v>0</v>
      </c>
      <c r="K576">
        <f>+DB!L576</f>
        <v>0</v>
      </c>
      <c r="L576" t="str">
        <f t="shared" si="25"/>
        <v/>
      </c>
      <c r="M576" t="str">
        <f>+IF(LEFT(DB!M576,3)="13/","CAC","MAD")</f>
        <v>MAD</v>
      </c>
      <c r="N576" t="str">
        <f>+RIGHT(DB!M576,6)</f>
        <v/>
      </c>
      <c r="O576">
        <v>95</v>
      </c>
      <c r="P576">
        <v>5</v>
      </c>
      <c r="Q576">
        <f>+DB!AB576</f>
        <v>0</v>
      </c>
      <c r="R576">
        <f>+DB!K576</f>
        <v>0</v>
      </c>
      <c r="S576">
        <f>+DB!F576</f>
        <v>0</v>
      </c>
      <c r="T576">
        <f>+IF(DB!F576="AAAC-35",1,3)</f>
        <v>3</v>
      </c>
      <c r="U576">
        <f>+DB!R576</f>
        <v>0</v>
      </c>
      <c r="V576">
        <f>+IF(DB!P576="1RI",1,0)+IF(DB!P576="2RI",2,0)</f>
        <v>0</v>
      </c>
      <c r="W576">
        <f>+IF(DB!P576="1RV",1,0)+IF(DB!P576="2RV",2,0)</f>
        <v>0</v>
      </c>
      <c r="X576">
        <f>+IF(DB!P576="RYI",1,0)</f>
        <v>0</v>
      </c>
      <c r="Y576">
        <f>+IF(DB!P576="RYV",1,0)</f>
        <v>0</v>
      </c>
      <c r="Z576">
        <f>+DB!U576</f>
        <v>0</v>
      </c>
      <c r="AA576">
        <f>+IF(DB!F576="AAAC-35",19.5,33)</f>
        <v>33</v>
      </c>
      <c r="AB576">
        <f>+DB!V576</f>
        <v>0</v>
      </c>
      <c r="AC576" t="str">
        <f t="shared" si="26"/>
        <v>56-4</v>
      </c>
      <c r="AD576" s="21" t="s">
        <v>72</v>
      </c>
      <c r="AE576">
        <f>+DB!X576</f>
        <v>0</v>
      </c>
      <c r="AF576" s="22">
        <f>+DB!Y576</f>
        <v>0</v>
      </c>
      <c r="AG576">
        <f>+DB!AK576</f>
        <v>0</v>
      </c>
    </row>
    <row r="577" spans="1:33" x14ac:dyDescent="0.2">
      <c r="A577">
        <f>+DB!C577</f>
        <v>0</v>
      </c>
      <c r="B577">
        <f>+DB!D577</f>
        <v>0</v>
      </c>
      <c r="C577">
        <f>+DB!E577</f>
        <v>0</v>
      </c>
      <c r="D577">
        <f t="shared" si="24"/>
        <v>0</v>
      </c>
      <c r="E577">
        <f>+DB!G577</f>
        <v>0</v>
      </c>
      <c r="F577">
        <f>+DB!H577</f>
        <v>0</v>
      </c>
      <c r="G577">
        <f>+DB!N577</f>
        <v>0</v>
      </c>
      <c r="H577">
        <f>+DB!O577</f>
        <v>0</v>
      </c>
      <c r="I577">
        <f>+DB!I577</f>
        <v>0</v>
      </c>
      <c r="J577">
        <f>+DB!J577</f>
        <v>0</v>
      </c>
      <c r="K577">
        <f>+DB!L577</f>
        <v>0</v>
      </c>
      <c r="L577" t="str">
        <f t="shared" si="25"/>
        <v/>
      </c>
      <c r="M577" t="str">
        <f>+IF(LEFT(DB!M577,3)="13/","CAC","MAD")</f>
        <v>MAD</v>
      </c>
      <c r="N577" t="str">
        <f>+RIGHT(DB!M577,6)</f>
        <v/>
      </c>
      <c r="O577">
        <v>95</v>
      </c>
      <c r="P577">
        <v>5</v>
      </c>
      <c r="Q577">
        <f>+DB!AB577</f>
        <v>0</v>
      </c>
      <c r="R577">
        <f>+DB!K577</f>
        <v>0</v>
      </c>
      <c r="S577">
        <f>+DB!F577</f>
        <v>0</v>
      </c>
      <c r="T577">
        <f>+IF(DB!F577="AAAC-35",1,3)</f>
        <v>3</v>
      </c>
      <c r="U577">
        <f>+DB!R577</f>
        <v>0</v>
      </c>
      <c r="V577">
        <f>+IF(DB!P577="1RI",1,0)+IF(DB!P577="2RI",2,0)</f>
        <v>0</v>
      </c>
      <c r="W577">
        <f>+IF(DB!P577="1RV",1,0)+IF(DB!P577="2RV",2,0)</f>
        <v>0</v>
      </c>
      <c r="X577">
        <f>+IF(DB!P577="RYI",1,0)</f>
        <v>0</v>
      </c>
      <c r="Y577">
        <f>+IF(DB!P577="RYV",1,0)</f>
        <v>0</v>
      </c>
      <c r="Z577">
        <f>+DB!U577</f>
        <v>0</v>
      </c>
      <c r="AA577">
        <f>+IF(DB!F577="AAAC-35",19.5,33)</f>
        <v>33</v>
      </c>
      <c r="AB577">
        <f>+DB!V577</f>
        <v>0</v>
      </c>
      <c r="AC577" t="str">
        <f t="shared" si="26"/>
        <v>56-4</v>
      </c>
      <c r="AD577" s="21" t="s">
        <v>72</v>
      </c>
      <c r="AE577">
        <f>+DB!X577</f>
        <v>0</v>
      </c>
      <c r="AF577" s="22">
        <f>+DB!Y577</f>
        <v>0</v>
      </c>
      <c r="AG577">
        <f>+DB!AK577</f>
        <v>0</v>
      </c>
    </row>
    <row r="578" spans="1:33" x14ac:dyDescent="0.2">
      <c r="A578">
        <f>+DB!C578</f>
        <v>0</v>
      </c>
      <c r="B578">
        <f>+DB!D578</f>
        <v>0</v>
      </c>
      <c r="C578">
        <f>+DB!E578</f>
        <v>0</v>
      </c>
      <c r="D578">
        <f t="shared" si="24"/>
        <v>0</v>
      </c>
      <c r="E578">
        <f>+DB!G578</f>
        <v>0</v>
      </c>
      <c r="F578">
        <f>+DB!H578</f>
        <v>0</v>
      </c>
      <c r="G578">
        <f>+DB!N578</f>
        <v>0</v>
      </c>
      <c r="H578">
        <f>+DB!O578</f>
        <v>0</v>
      </c>
      <c r="I578">
        <f>+DB!I578</f>
        <v>0</v>
      </c>
      <c r="J578">
        <f>+DB!J578</f>
        <v>0</v>
      </c>
      <c r="K578">
        <f>+DB!L578</f>
        <v>0</v>
      </c>
      <c r="L578" t="str">
        <f t="shared" si="25"/>
        <v/>
      </c>
      <c r="M578" t="str">
        <f>+IF(LEFT(DB!M578,3)="13/","CAC","MAD")</f>
        <v>MAD</v>
      </c>
      <c r="N578" t="str">
        <f>+RIGHT(DB!M578,6)</f>
        <v/>
      </c>
      <c r="O578">
        <v>95</v>
      </c>
      <c r="P578">
        <v>5</v>
      </c>
      <c r="Q578">
        <f>+DB!AB578</f>
        <v>0</v>
      </c>
      <c r="R578">
        <f>+DB!K578</f>
        <v>0</v>
      </c>
      <c r="S578">
        <f>+DB!F578</f>
        <v>0</v>
      </c>
      <c r="T578">
        <f>+IF(DB!F578="AAAC-35",1,3)</f>
        <v>3</v>
      </c>
      <c r="U578">
        <f>+DB!R578</f>
        <v>0</v>
      </c>
      <c r="V578">
        <f>+IF(DB!P578="1RI",1,0)+IF(DB!P578="2RI",2,0)</f>
        <v>0</v>
      </c>
      <c r="W578">
        <f>+IF(DB!P578="1RV",1,0)+IF(DB!P578="2RV",2,0)</f>
        <v>0</v>
      </c>
      <c r="X578">
        <f>+IF(DB!P578="RYI",1,0)</f>
        <v>0</v>
      </c>
      <c r="Y578">
        <f>+IF(DB!P578="RYV",1,0)</f>
        <v>0</v>
      </c>
      <c r="Z578">
        <f>+DB!U578</f>
        <v>0</v>
      </c>
      <c r="AA578">
        <f>+IF(DB!F578="AAAC-35",19.5,33)</f>
        <v>33</v>
      </c>
      <c r="AB578">
        <f>+DB!V578</f>
        <v>0</v>
      </c>
      <c r="AC578" t="str">
        <f t="shared" si="26"/>
        <v>56-4</v>
      </c>
      <c r="AD578" s="21" t="s">
        <v>72</v>
      </c>
      <c r="AE578">
        <f>+DB!X578</f>
        <v>0</v>
      </c>
      <c r="AF578" s="22">
        <f>+DB!Y578</f>
        <v>0</v>
      </c>
      <c r="AG578">
        <f>+DB!AK578</f>
        <v>0</v>
      </c>
    </row>
    <row r="579" spans="1:33" x14ac:dyDescent="0.2">
      <c r="A579">
        <f>+DB!C579</f>
        <v>0</v>
      </c>
      <c r="B579">
        <f>+DB!D579</f>
        <v>0</v>
      </c>
      <c r="C579">
        <f>+DB!E579</f>
        <v>0</v>
      </c>
      <c r="D579">
        <f t="shared" ref="D579:D642" si="27">+IF(B579="PSEC-0PA","K",0)</f>
        <v>0</v>
      </c>
      <c r="E579">
        <f>+DB!G579</f>
        <v>0</v>
      </c>
      <c r="F579">
        <f>+DB!H579</f>
        <v>0</v>
      </c>
      <c r="G579">
        <f>+DB!N579</f>
        <v>0</v>
      </c>
      <c r="H579">
        <f>+DB!O579</f>
        <v>0</v>
      </c>
      <c r="I579">
        <f>+DB!I579</f>
        <v>0</v>
      </c>
      <c r="J579">
        <f>+DB!J579</f>
        <v>0</v>
      </c>
      <c r="K579">
        <f>+DB!L579</f>
        <v>0</v>
      </c>
      <c r="L579" t="str">
        <f t="shared" ref="L579:L642" si="28">+LEFT(N579,2)</f>
        <v/>
      </c>
      <c r="M579" t="str">
        <f>+IF(LEFT(DB!M579,3)="13/","CAC","MAD")</f>
        <v>MAD</v>
      </c>
      <c r="N579" t="str">
        <f>+RIGHT(DB!M579,6)</f>
        <v/>
      </c>
      <c r="O579">
        <v>95</v>
      </c>
      <c r="P579">
        <v>5</v>
      </c>
      <c r="Q579">
        <f>+DB!AB579</f>
        <v>0</v>
      </c>
      <c r="R579">
        <f>+DB!K579</f>
        <v>0</v>
      </c>
      <c r="S579">
        <f>+DB!F579</f>
        <v>0</v>
      </c>
      <c r="T579">
        <f>+IF(DB!F579="AAAC-35",1,3)</f>
        <v>3</v>
      </c>
      <c r="U579">
        <f>+DB!R579</f>
        <v>0</v>
      </c>
      <c r="V579">
        <f>+IF(DB!P579="1RI",1,0)+IF(DB!P579="2RI",2,0)</f>
        <v>0</v>
      </c>
      <c r="W579">
        <f>+IF(DB!P579="1RV",1,0)+IF(DB!P579="2RV",2,0)</f>
        <v>0</v>
      </c>
      <c r="X579">
        <f>+IF(DB!P579="RYI",1,0)</f>
        <v>0</v>
      </c>
      <c r="Y579">
        <f>+IF(DB!P579="RYV",1,0)</f>
        <v>0</v>
      </c>
      <c r="Z579">
        <f>+DB!U579</f>
        <v>0</v>
      </c>
      <c r="AA579">
        <f>+IF(DB!F579="AAAC-35",19.5,33)</f>
        <v>33</v>
      </c>
      <c r="AB579">
        <f>+DB!V579</f>
        <v>0</v>
      </c>
      <c r="AC579" t="str">
        <f t="shared" ref="AC579:AC642" si="29">+IF(F579&gt;1675,"56-5","56-4")</f>
        <v>56-4</v>
      </c>
      <c r="AD579" s="21" t="s">
        <v>72</v>
      </c>
      <c r="AE579">
        <f>+DB!X579</f>
        <v>0</v>
      </c>
      <c r="AF579" s="22">
        <f>+DB!Y579</f>
        <v>0</v>
      </c>
      <c r="AG579">
        <f>+DB!AK579</f>
        <v>0</v>
      </c>
    </row>
    <row r="580" spans="1:33" x14ac:dyDescent="0.2">
      <c r="A580">
        <f>+DB!C580</f>
        <v>0</v>
      </c>
      <c r="B580">
        <f>+DB!D580</f>
        <v>0</v>
      </c>
      <c r="C580">
        <f>+DB!E580</f>
        <v>0</v>
      </c>
      <c r="D580">
        <f t="shared" si="27"/>
        <v>0</v>
      </c>
      <c r="E580">
        <f>+DB!G580</f>
        <v>0</v>
      </c>
      <c r="F580">
        <f>+DB!H580</f>
        <v>0</v>
      </c>
      <c r="G580">
        <f>+DB!N580</f>
        <v>0</v>
      </c>
      <c r="H580">
        <f>+DB!O580</f>
        <v>0</v>
      </c>
      <c r="I580">
        <f>+DB!I580</f>
        <v>0</v>
      </c>
      <c r="J580">
        <f>+DB!J580</f>
        <v>0</v>
      </c>
      <c r="K580">
        <f>+DB!L580</f>
        <v>0</v>
      </c>
      <c r="L580" t="str">
        <f t="shared" si="28"/>
        <v/>
      </c>
      <c r="M580" t="str">
        <f>+IF(LEFT(DB!M580,3)="13/","CAC","MAD")</f>
        <v>MAD</v>
      </c>
      <c r="N580" t="str">
        <f>+RIGHT(DB!M580,6)</f>
        <v/>
      </c>
      <c r="O580">
        <v>95</v>
      </c>
      <c r="P580">
        <v>5</v>
      </c>
      <c r="Q580">
        <f>+DB!AB580</f>
        <v>0</v>
      </c>
      <c r="R580">
        <f>+DB!K580</f>
        <v>0</v>
      </c>
      <c r="S580">
        <f>+DB!F580</f>
        <v>0</v>
      </c>
      <c r="T580">
        <f>+IF(DB!F580="AAAC-35",1,3)</f>
        <v>3</v>
      </c>
      <c r="U580">
        <f>+DB!R580</f>
        <v>0</v>
      </c>
      <c r="V580">
        <f>+IF(DB!P580="1RI",1,0)+IF(DB!P580="2RI",2,0)</f>
        <v>0</v>
      </c>
      <c r="W580">
        <f>+IF(DB!P580="1RV",1,0)+IF(DB!P580="2RV",2,0)</f>
        <v>0</v>
      </c>
      <c r="X580">
        <f>+IF(DB!P580="RYI",1,0)</f>
        <v>0</v>
      </c>
      <c r="Y580">
        <f>+IF(DB!P580="RYV",1,0)</f>
        <v>0</v>
      </c>
      <c r="Z580">
        <f>+DB!U580</f>
        <v>0</v>
      </c>
      <c r="AA580">
        <f>+IF(DB!F580="AAAC-35",19.5,33)</f>
        <v>33</v>
      </c>
      <c r="AB580">
        <f>+DB!V580</f>
        <v>0</v>
      </c>
      <c r="AC580" t="str">
        <f t="shared" si="29"/>
        <v>56-4</v>
      </c>
      <c r="AD580" s="21" t="s">
        <v>72</v>
      </c>
      <c r="AE580">
        <f>+DB!X580</f>
        <v>0</v>
      </c>
      <c r="AF580" s="22">
        <f>+DB!Y580</f>
        <v>0</v>
      </c>
      <c r="AG580">
        <f>+DB!AK580</f>
        <v>0</v>
      </c>
    </row>
    <row r="581" spans="1:33" x14ac:dyDescent="0.2">
      <c r="A581">
        <f>+DB!C581</f>
        <v>0</v>
      </c>
      <c r="B581">
        <f>+DB!D581</f>
        <v>0</v>
      </c>
      <c r="C581">
        <f>+DB!E581</f>
        <v>0</v>
      </c>
      <c r="D581">
        <f t="shared" si="27"/>
        <v>0</v>
      </c>
      <c r="E581">
        <f>+DB!G581</f>
        <v>0</v>
      </c>
      <c r="F581">
        <f>+DB!H581</f>
        <v>0</v>
      </c>
      <c r="G581">
        <f>+DB!N581</f>
        <v>0</v>
      </c>
      <c r="H581">
        <f>+DB!O581</f>
        <v>0</v>
      </c>
      <c r="I581">
        <f>+DB!I581</f>
        <v>0</v>
      </c>
      <c r="J581">
        <f>+DB!J581</f>
        <v>0</v>
      </c>
      <c r="K581">
        <f>+DB!L581</f>
        <v>0</v>
      </c>
      <c r="L581" t="str">
        <f t="shared" si="28"/>
        <v/>
      </c>
      <c r="M581" t="str">
        <f>+IF(LEFT(DB!M581,3)="13/","CAC","MAD")</f>
        <v>MAD</v>
      </c>
      <c r="N581" t="str">
        <f>+RIGHT(DB!M581,6)</f>
        <v/>
      </c>
      <c r="O581">
        <v>95</v>
      </c>
      <c r="P581">
        <v>5</v>
      </c>
      <c r="Q581">
        <f>+DB!AB581</f>
        <v>0</v>
      </c>
      <c r="R581">
        <f>+DB!K581</f>
        <v>0</v>
      </c>
      <c r="S581">
        <f>+DB!F581</f>
        <v>0</v>
      </c>
      <c r="T581">
        <f>+IF(DB!F581="AAAC-35",1,3)</f>
        <v>3</v>
      </c>
      <c r="U581">
        <f>+DB!R581</f>
        <v>0</v>
      </c>
      <c r="V581">
        <f>+IF(DB!P581="1RI",1,0)+IF(DB!P581="2RI",2,0)</f>
        <v>0</v>
      </c>
      <c r="W581">
        <f>+IF(DB!P581="1RV",1,0)+IF(DB!P581="2RV",2,0)</f>
        <v>0</v>
      </c>
      <c r="X581">
        <f>+IF(DB!P581="RYI",1,0)</f>
        <v>0</v>
      </c>
      <c r="Y581">
        <f>+IF(DB!P581="RYV",1,0)</f>
        <v>0</v>
      </c>
      <c r="Z581">
        <f>+DB!U581</f>
        <v>0</v>
      </c>
      <c r="AA581">
        <f>+IF(DB!F581="AAAC-35",19.5,33)</f>
        <v>33</v>
      </c>
      <c r="AB581">
        <f>+DB!V581</f>
        <v>0</v>
      </c>
      <c r="AC581" t="str">
        <f t="shared" si="29"/>
        <v>56-4</v>
      </c>
      <c r="AD581" s="21" t="s">
        <v>72</v>
      </c>
      <c r="AE581">
        <f>+DB!X581</f>
        <v>0</v>
      </c>
      <c r="AF581" s="22">
        <f>+DB!Y581</f>
        <v>0</v>
      </c>
      <c r="AG581">
        <f>+DB!AK581</f>
        <v>0</v>
      </c>
    </row>
    <row r="582" spans="1:33" x14ac:dyDescent="0.2">
      <c r="A582">
        <f>+DB!C582</f>
        <v>0</v>
      </c>
      <c r="B582">
        <f>+DB!D582</f>
        <v>0</v>
      </c>
      <c r="C582">
        <f>+DB!E582</f>
        <v>0</v>
      </c>
      <c r="D582">
        <f t="shared" si="27"/>
        <v>0</v>
      </c>
      <c r="E582">
        <f>+DB!G582</f>
        <v>0</v>
      </c>
      <c r="F582">
        <f>+DB!H582</f>
        <v>0</v>
      </c>
      <c r="G582">
        <f>+DB!N582</f>
        <v>0</v>
      </c>
      <c r="H582">
        <f>+DB!O582</f>
        <v>0</v>
      </c>
      <c r="I582">
        <f>+DB!I582</f>
        <v>0</v>
      </c>
      <c r="J582">
        <f>+DB!J582</f>
        <v>0</v>
      </c>
      <c r="K582">
        <f>+DB!L582</f>
        <v>0</v>
      </c>
      <c r="L582" t="str">
        <f t="shared" si="28"/>
        <v/>
      </c>
      <c r="M582" t="str">
        <f>+IF(LEFT(DB!M582,3)="13/","CAC","MAD")</f>
        <v>MAD</v>
      </c>
      <c r="N582" t="str">
        <f>+RIGHT(DB!M582,6)</f>
        <v/>
      </c>
      <c r="O582">
        <v>95</v>
      </c>
      <c r="P582">
        <v>5</v>
      </c>
      <c r="Q582">
        <f>+DB!AB582</f>
        <v>0</v>
      </c>
      <c r="R582">
        <f>+DB!K582</f>
        <v>0</v>
      </c>
      <c r="S582">
        <f>+DB!F582</f>
        <v>0</v>
      </c>
      <c r="T582">
        <f>+IF(DB!F582="AAAC-35",1,3)</f>
        <v>3</v>
      </c>
      <c r="U582">
        <f>+DB!R582</f>
        <v>0</v>
      </c>
      <c r="V582">
        <f>+IF(DB!P582="1RI",1,0)+IF(DB!P582="2RI",2,0)</f>
        <v>0</v>
      </c>
      <c r="W582">
        <f>+IF(DB!P582="1RV",1,0)+IF(DB!P582="2RV",2,0)</f>
        <v>0</v>
      </c>
      <c r="X582">
        <f>+IF(DB!P582="RYI",1,0)</f>
        <v>0</v>
      </c>
      <c r="Y582">
        <f>+IF(DB!P582="RYV",1,0)</f>
        <v>0</v>
      </c>
      <c r="Z582">
        <f>+DB!U582</f>
        <v>0</v>
      </c>
      <c r="AA582">
        <f>+IF(DB!F582="AAAC-35",19.5,33)</f>
        <v>33</v>
      </c>
      <c r="AB582">
        <f>+DB!V582</f>
        <v>0</v>
      </c>
      <c r="AC582" t="str">
        <f t="shared" si="29"/>
        <v>56-4</v>
      </c>
      <c r="AD582" s="21" t="s">
        <v>72</v>
      </c>
      <c r="AE582">
        <f>+DB!X582</f>
        <v>0</v>
      </c>
      <c r="AF582" s="22">
        <f>+DB!Y582</f>
        <v>0</v>
      </c>
      <c r="AG582">
        <f>+DB!AK582</f>
        <v>0</v>
      </c>
    </row>
    <row r="583" spans="1:33" x14ac:dyDescent="0.2">
      <c r="A583">
        <f>+DB!C583</f>
        <v>0</v>
      </c>
      <c r="B583">
        <f>+DB!D583</f>
        <v>0</v>
      </c>
      <c r="C583">
        <f>+DB!E583</f>
        <v>0</v>
      </c>
      <c r="D583">
        <f t="shared" si="27"/>
        <v>0</v>
      </c>
      <c r="E583">
        <f>+DB!G583</f>
        <v>0</v>
      </c>
      <c r="F583">
        <f>+DB!H583</f>
        <v>0</v>
      </c>
      <c r="G583">
        <f>+DB!N583</f>
        <v>0</v>
      </c>
      <c r="H583">
        <f>+DB!O583</f>
        <v>0</v>
      </c>
      <c r="I583">
        <f>+DB!I583</f>
        <v>0</v>
      </c>
      <c r="J583">
        <f>+DB!J583</f>
        <v>0</v>
      </c>
      <c r="K583">
        <f>+DB!L583</f>
        <v>0</v>
      </c>
      <c r="L583" t="str">
        <f t="shared" si="28"/>
        <v/>
      </c>
      <c r="M583" t="str">
        <f>+IF(LEFT(DB!M583,3)="13/","CAC","MAD")</f>
        <v>MAD</v>
      </c>
      <c r="N583" t="str">
        <f>+RIGHT(DB!M583,6)</f>
        <v/>
      </c>
      <c r="O583">
        <v>95</v>
      </c>
      <c r="P583">
        <v>5</v>
      </c>
      <c r="Q583">
        <f>+DB!AB583</f>
        <v>0</v>
      </c>
      <c r="R583">
        <f>+DB!K583</f>
        <v>0</v>
      </c>
      <c r="S583">
        <f>+DB!F583</f>
        <v>0</v>
      </c>
      <c r="T583">
        <f>+IF(DB!F583="AAAC-35",1,3)</f>
        <v>3</v>
      </c>
      <c r="U583">
        <f>+DB!R583</f>
        <v>0</v>
      </c>
      <c r="V583">
        <f>+IF(DB!P583="1RI",1,0)+IF(DB!P583="2RI",2,0)</f>
        <v>0</v>
      </c>
      <c r="W583">
        <f>+IF(DB!P583="1RV",1,0)+IF(DB!P583="2RV",2,0)</f>
        <v>0</v>
      </c>
      <c r="X583">
        <f>+IF(DB!P583="RYI",1,0)</f>
        <v>0</v>
      </c>
      <c r="Y583">
        <f>+IF(DB!P583="RYV",1,0)</f>
        <v>0</v>
      </c>
      <c r="Z583">
        <f>+DB!U583</f>
        <v>0</v>
      </c>
      <c r="AA583">
        <f>+IF(DB!F583="AAAC-35",19.5,33)</f>
        <v>33</v>
      </c>
      <c r="AB583">
        <f>+DB!V583</f>
        <v>0</v>
      </c>
      <c r="AC583" t="str">
        <f t="shared" si="29"/>
        <v>56-4</v>
      </c>
      <c r="AD583" s="21" t="s">
        <v>72</v>
      </c>
      <c r="AE583">
        <f>+DB!X583</f>
        <v>0</v>
      </c>
      <c r="AF583" s="22">
        <f>+DB!Y583</f>
        <v>0</v>
      </c>
      <c r="AG583">
        <f>+DB!AK583</f>
        <v>0</v>
      </c>
    </row>
    <row r="584" spans="1:33" x14ac:dyDescent="0.2">
      <c r="A584">
        <f>+DB!C584</f>
        <v>0</v>
      </c>
      <c r="B584">
        <f>+DB!D584</f>
        <v>0</v>
      </c>
      <c r="C584">
        <f>+DB!E584</f>
        <v>0</v>
      </c>
      <c r="D584">
        <f t="shared" si="27"/>
        <v>0</v>
      </c>
      <c r="E584">
        <f>+DB!G584</f>
        <v>0</v>
      </c>
      <c r="F584">
        <f>+DB!H584</f>
        <v>0</v>
      </c>
      <c r="G584">
        <f>+DB!N584</f>
        <v>0</v>
      </c>
      <c r="H584">
        <f>+DB!O584</f>
        <v>0</v>
      </c>
      <c r="I584">
        <f>+DB!I584</f>
        <v>0</v>
      </c>
      <c r="J584">
        <f>+DB!J584</f>
        <v>0</v>
      </c>
      <c r="K584">
        <f>+DB!L584</f>
        <v>0</v>
      </c>
      <c r="L584" t="str">
        <f t="shared" si="28"/>
        <v/>
      </c>
      <c r="M584" t="str">
        <f>+IF(LEFT(DB!M584,3)="13/","CAC","MAD")</f>
        <v>MAD</v>
      </c>
      <c r="N584" t="str">
        <f>+RIGHT(DB!M584,6)</f>
        <v/>
      </c>
      <c r="O584">
        <v>95</v>
      </c>
      <c r="P584">
        <v>5</v>
      </c>
      <c r="Q584">
        <f>+DB!AB584</f>
        <v>0</v>
      </c>
      <c r="R584">
        <f>+DB!K584</f>
        <v>0</v>
      </c>
      <c r="S584">
        <f>+DB!F584</f>
        <v>0</v>
      </c>
      <c r="T584">
        <f>+IF(DB!F584="AAAC-35",1,3)</f>
        <v>3</v>
      </c>
      <c r="U584">
        <f>+DB!R584</f>
        <v>0</v>
      </c>
      <c r="V584">
        <f>+IF(DB!P584="1RI",1,0)+IF(DB!P584="2RI",2,0)</f>
        <v>0</v>
      </c>
      <c r="W584">
        <f>+IF(DB!P584="1RV",1,0)+IF(DB!P584="2RV",2,0)</f>
        <v>0</v>
      </c>
      <c r="X584">
        <f>+IF(DB!P584="RYI",1,0)</f>
        <v>0</v>
      </c>
      <c r="Y584">
        <f>+IF(DB!P584="RYV",1,0)</f>
        <v>0</v>
      </c>
      <c r="Z584">
        <f>+DB!U584</f>
        <v>0</v>
      </c>
      <c r="AA584">
        <f>+IF(DB!F584="AAAC-35",19.5,33)</f>
        <v>33</v>
      </c>
      <c r="AB584">
        <f>+DB!V584</f>
        <v>0</v>
      </c>
      <c r="AC584" t="str">
        <f t="shared" si="29"/>
        <v>56-4</v>
      </c>
      <c r="AD584" s="21" t="s">
        <v>72</v>
      </c>
      <c r="AE584">
        <f>+DB!X584</f>
        <v>0</v>
      </c>
      <c r="AF584" s="22">
        <f>+DB!Y584</f>
        <v>0</v>
      </c>
      <c r="AG584">
        <f>+DB!AK584</f>
        <v>0</v>
      </c>
    </row>
    <row r="585" spans="1:33" x14ac:dyDescent="0.2">
      <c r="A585">
        <f>+DB!C585</f>
        <v>0</v>
      </c>
      <c r="B585">
        <f>+DB!D585</f>
        <v>0</v>
      </c>
      <c r="C585">
        <f>+DB!E585</f>
        <v>0</v>
      </c>
      <c r="D585">
        <f t="shared" si="27"/>
        <v>0</v>
      </c>
      <c r="E585">
        <f>+DB!G585</f>
        <v>0</v>
      </c>
      <c r="F585">
        <f>+DB!H585</f>
        <v>0</v>
      </c>
      <c r="G585">
        <f>+DB!N585</f>
        <v>0</v>
      </c>
      <c r="H585">
        <f>+DB!O585</f>
        <v>0</v>
      </c>
      <c r="I585">
        <f>+DB!I585</f>
        <v>0</v>
      </c>
      <c r="J585">
        <f>+DB!J585</f>
        <v>0</v>
      </c>
      <c r="K585">
        <f>+DB!L585</f>
        <v>0</v>
      </c>
      <c r="L585" t="str">
        <f t="shared" si="28"/>
        <v/>
      </c>
      <c r="M585" t="str">
        <f>+IF(LEFT(DB!M585,3)="13/","CAC","MAD")</f>
        <v>MAD</v>
      </c>
      <c r="N585" t="str">
        <f>+RIGHT(DB!M585,6)</f>
        <v/>
      </c>
      <c r="O585">
        <v>95</v>
      </c>
      <c r="P585">
        <v>5</v>
      </c>
      <c r="Q585">
        <f>+DB!AB585</f>
        <v>0</v>
      </c>
      <c r="R585">
        <f>+DB!K585</f>
        <v>0</v>
      </c>
      <c r="S585">
        <f>+DB!F585</f>
        <v>0</v>
      </c>
      <c r="T585">
        <f>+IF(DB!F585="AAAC-35",1,3)</f>
        <v>3</v>
      </c>
      <c r="U585">
        <f>+DB!R585</f>
        <v>0</v>
      </c>
      <c r="V585">
        <f>+IF(DB!P585="1RI",1,0)+IF(DB!P585="2RI",2,0)</f>
        <v>0</v>
      </c>
      <c r="W585">
        <f>+IF(DB!P585="1RV",1,0)+IF(DB!P585="2RV",2,0)</f>
        <v>0</v>
      </c>
      <c r="X585">
        <f>+IF(DB!P585="RYI",1,0)</f>
        <v>0</v>
      </c>
      <c r="Y585">
        <f>+IF(DB!P585="RYV",1,0)</f>
        <v>0</v>
      </c>
      <c r="Z585">
        <f>+DB!U585</f>
        <v>0</v>
      </c>
      <c r="AA585">
        <f>+IF(DB!F585="AAAC-35",19.5,33)</f>
        <v>33</v>
      </c>
      <c r="AB585">
        <f>+DB!V585</f>
        <v>0</v>
      </c>
      <c r="AC585" t="str">
        <f t="shared" si="29"/>
        <v>56-4</v>
      </c>
      <c r="AD585" s="21" t="s">
        <v>72</v>
      </c>
      <c r="AE585">
        <f>+DB!X585</f>
        <v>0</v>
      </c>
      <c r="AF585" s="22">
        <f>+DB!Y585</f>
        <v>0</v>
      </c>
      <c r="AG585">
        <f>+DB!AK585</f>
        <v>0</v>
      </c>
    </row>
    <row r="586" spans="1:33" x14ac:dyDescent="0.2">
      <c r="A586">
        <f>+DB!C586</f>
        <v>0</v>
      </c>
      <c r="B586">
        <f>+DB!D586</f>
        <v>0</v>
      </c>
      <c r="C586">
        <f>+DB!E586</f>
        <v>0</v>
      </c>
      <c r="D586">
        <f t="shared" si="27"/>
        <v>0</v>
      </c>
      <c r="E586">
        <f>+DB!G586</f>
        <v>0</v>
      </c>
      <c r="F586">
        <f>+DB!H586</f>
        <v>0</v>
      </c>
      <c r="G586">
        <f>+DB!N586</f>
        <v>0</v>
      </c>
      <c r="H586">
        <f>+DB!O586</f>
        <v>0</v>
      </c>
      <c r="I586">
        <f>+DB!I586</f>
        <v>0</v>
      </c>
      <c r="J586">
        <f>+DB!J586</f>
        <v>0</v>
      </c>
      <c r="K586">
        <f>+DB!L586</f>
        <v>0</v>
      </c>
      <c r="L586" t="str">
        <f t="shared" si="28"/>
        <v/>
      </c>
      <c r="M586" t="str">
        <f>+IF(LEFT(DB!M586,3)="13/","CAC","MAD")</f>
        <v>MAD</v>
      </c>
      <c r="N586" t="str">
        <f>+RIGHT(DB!M586,6)</f>
        <v/>
      </c>
      <c r="O586">
        <v>95</v>
      </c>
      <c r="P586">
        <v>5</v>
      </c>
      <c r="Q586">
        <f>+DB!AB586</f>
        <v>0</v>
      </c>
      <c r="R586">
        <f>+DB!K586</f>
        <v>0</v>
      </c>
      <c r="S586">
        <f>+DB!F586</f>
        <v>0</v>
      </c>
      <c r="T586">
        <f>+IF(DB!F586="AAAC-35",1,3)</f>
        <v>3</v>
      </c>
      <c r="U586">
        <f>+DB!R586</f>
        <v>0</v>
      </c>
      <c r="V586">
        <f>+IF(DB!P586="1RI",1,0)+IF(DB!P586="2RI",2,0)</f>
        <v>0</v>
      </c>
      <c r="W586">
        <f>+IF(DB!P586="1RV",1,0)+IF(DB!P586="2RV",2,0)</f>
        <v>0</v>
      </c>
      <c r="X586">
        <f>+IF(DB!P586="RYI",1,0)</f>
        <v>0</v>
      </c>
      <c r="Y586">
        <f>+IF(DB!P586="RYV",1,0)</f>
        <v>0</v>
      </c>
      <c r="Z586">
        <f>+DB!U586</f>
        <v>0</v>
      </c>
      <c r="AA586">
        <f>+IF(DB!F586="AAAC-35",19.5,33)</f>
        <v>33</v>
      </c>
      <c r="AB586">
        <f>+DB!V586</f>
        <v>0</v>
      </c>
      <c r="AC586" t="str">
        <f t="shared" si="29"/>
        <v>56-4</v>
      </c>
      <c r="AD586" s="21" t="s">
        <v>72</v>
      </c>
      <c r="AE586">
        <f>+DB!X586</f>
        <v>0</v>
      </c>
      <c r="AF586" s="22">
        <f>+DB!Y586</f>
        <v>0</v>
      </c>
      <c r="AG586">
        <f>+DB!AK586</f>
        <v>0</v>
      </c>
    </row>
    <row r="587" spans="1:33" x14ac:dyDescent="0.2">
      <c r="A587">
        <f>+DB!C587</f>
        <v>0</v>
      </c>
      <c r="B587">
        <f>+DB!D587</f>
        <v>0</v>
      </c>
      <c r="C587">
        <f>+DB!E587</f>
        <v>0</v>
      </c>
      <c r="D587">
        <f t="shared" si="27"/>
        <v>0</v>
      </c>
      <c r="E587">
        <f>+DB!G587</f>
        <v>0</v>
      </c>
      <c r="F587">
        <f>+DB!H587</f>
        <v>0</v>
      </c>
      <c r="G587">
        <f>+DB!N587</f>
        <v>0</v>
      </c>
      <c r="H587">
        <f>+DB!O587</f>
        <v>0</v>
      </c>
      <c r="I587">
        <f>+DB!I587</f>
        <v>0</v>
      </c>
      <c r="J587">
        <f>+DB!J587</f>
        <v>0</v>
      </c>
      <c r="K587">
        <f>+DB!L587</f>
        <v>0</v>
      </c>
      <c r="L587" t="str">
        <f t="shared" si="28"/>
        <v/>
      </c>
      <c r="M587" t="str">
        <f>+IF(LEFT(DB!M587,3)="13/","CAC","MAD")</f>
        <v>MAD</v>
      </c>
      <c r="N587" t="str">
        <f>+RIGHT(DB!M587,6)</f>
        <v/>
      </c>
      <c r="O587">
        <v>95</v>
      </c>
      <c r="P587">
        <v>5</v>
      </c>
      <c r="Q587">
        <f>+DB!AB587</f>
        <v>0</v>
      </c>
      <c r="R587">
        <f>+DB!K587</f>
        <v>0</v>
      </c>
      <c r="S587">
        <f>+DB!F587</f>
        <v>0</v>
      </c>
      <c r="T587">
        <f>+IF(DB!F587="AAAC-35",1,3)</f>
        <v>3</v>
      </c>
      <c r="U587">
        <f>+DB!R587</f>
        <v>0</v>
      </c>
      <c r="V587">
        <f>+IF(DB!P587="1RI",1,0)+IF(DB!P587="2RI",2,0)</f>
        <v>0</v>
      </c>
      <c r="W587">
        <f>+IF(DB!P587="1RV",1,0)+IF(DB!P587="2RV",2,0)</f>
        <v>0</v>
      </c>
      <c r="X587">
        <f>+IF(DB!P587="RYI",1,0)</f>
        <v>0</v>
      </c>
      <c r="Y587">
        <f>+IF(DB!P587="RYV",1,0)</f>
        <v>0</v>
      </c>
      <c r="Z587">
        <f>+DB!U587</f>
        <v>0</v>
      </c>
      <c r="AA587">
        <f>+IF(DB!F587="AAAC-35",19.5,33)</f>
        <v>33</v>
      </c>
      <c r="AB587">
        <f>+DB!V587</f>
        <v>0</v>
      </c>
      <c r="AC587" t="str">
        <f t="shared" si="29"/>
        <v>56-4</v>
      </c>
      <c r="AD587" s="21" t="s">
        <v>72</v>
      </c>
      <c r="AE587">
        <f>+DB!X587</f>
        <v>0</v>
      </c>
      <c r="AF587" s="22">
        <f>+DB!Y587</f>
        <v>0</v>
      </c>
      <c r="AG587">
        <f>+DB!AK587</f>
        <v>0</v>
      </c>
    </row>
    <row r="588" spans="1:33" x14ac:dyDescent="0.2">
      <c r="A588">
        <f>+DB!C588</f>
        <v>0</v>
      </c>
      <c r="B588">
        <f>+DB!D588</f>
        <v>0</v>
      </c>
      <c r="C588">
        <f>+DB!E588</f>
        <v>0</v>
      </c>
      <c r="D588">
        <f t="shared" si="27"/>
        <v>0</v>
      </c>
      <c r="E588">
        <f>+DB!G588</f>
        <v>0</v>
      </c>
      <c r="F588">
        <f>+DB!H588</f>
        <v>0</v>
      </c>
      <c r="G588">
        <f>+DB!N588</f>
        <v>0</v>
      </c>
      <c r="H588">
        <f>+DB!O588</f>
        <v>0</v>
      </c>
      <c r="I588">
        <f>+DB!I588</f>
        <v>0</v>
      </c>
      <c r="J588">
        <f>+DB!J588</f>
        <v>0</v>
      </c>
      <c r="K588">
        <f>+DB!L588</f>
        <v>0</v>
      </c>
      <c r="L588" t="str">
        <f t="shared" si="28"/>
        <v/>
      </c>
      <c r="M588" t="str">
        <f>+IF(LEFT(DB!M588,3)="13/","CAC","MAD")</f>
        <v>MAD</v>
      </c>
      <c r="N588" t="str">
        <f>+RIGHT(DB!M588,6)</f>
        <v/>
      </c>
      <c r="O588">
        <v>95</v>
      </c>
      <c r="P588">
        <v>5</v>
      </c>
      <c r="Q588">
        <f>+DB!AB588</f>
        <v>0</v>
      </c>
      <c r="R588">
        <f>+DB!K588</f>
        <v>0</v>
      </c>
      <c r="S588">
        <f>+DB!F588</f>
        <v>0</v>
      </c>
      <c r="T588">
        <f>+IF(DB!F588="AAAC-35",1,3)</f>
        <v>3</v>
      </c>
      <c r="U588">
        <f>+DB!R588</f>
        <v>0</v>
      </c>
      <c r="V588">
        <f>+IF(DB!P588="1RI",1,0)+IF(DB!P588="2RI",2,0)</f>
        <v>0</v>
      </c>
      <c r="W588">
        <f>+IF(DB!P588="1RV",1,0)+IF(DB!P588="2RV",2,0)</f>
        <v>0</v>
      </c>
      <c r="X588">
        <f>+IF(DB!P588="RYI",1,0)</f>
        <v>0</v>
      </c>
      <c r="Y588">
        <f>+IF(DB!P588="RYV",1,0)</f>
        <v>0</v>
      </c>
      <c r="Z588">
        <f>+DB!U588</f>
        <v>0</v>
      </c>
      <c r="AA588">
        <f>+IF(DB!F588="AAAC-35",19.5,33)</f>
        <v>33</v>
      </c>
      <c r="AB588">
        <f>+DB!V588</f>
        <v>0</v>
      </c>
      <c r="AC588" t="str">
        <f t="shared" si="29"/>
        <v>56-4</v>
      </c>
      <c r="AD588" s="21" t="s">
        <v>72</v>
      </c>
      <c r="AE588">
        <f>+DB!X588</f>
        <v>0</v>
      </c>
      <c r="AF588" s="22">
        <f>+DB!Y588</f>
        <v>0</v>
      </c>
      <c r="AG588">
        <f>+DB!AK588</f>
        <v>0</v>
      </c>
    </row>
    <row r="589" spans="1:33" x14ac:dyDescent="0.2">
      <c r="A589">
        <f>+DB!C589</f>
        <v>0</v>
      </c>
      <c r="B589">
        <f>+DB!D589</f>
        <v>0</v>
      </c>
      <c r="C589">
        <f>+DB!E589</f>
        <v>0</v>
      </c>
      <c r="D589">
        <f t="shared" si="27"/>
        <v>0</v>
      </c>
      <c r="E589">
        <f>+DB!G589</f>
        <v>0</v>
      </c>
      <c r="F589">
        <f>+DB!H589</f>
        <v>0</v>
      </c>
      <c r="G589">
        <f>+DB!N589</f>
        <v>0</v>
      </c>
      <c r="H589">
        <f>+DB!O589</f>
        <v>0</v>
      </c>
      <c r="I589">
        <f>+DB!I589</f>
        <v>0</v>
      </c>
      <c r="J589">
        <f>+DB!J589</f>
        <v>0</v>
      </c>
      <c r="K589">
        <f>+DB!L589</f>
        <v>0</v>
      </c>
      <c r="L589" t="str">
        <f t="shared" si="28"/>
        <v/>
      </c>
      <c r="M589" t="str">
        <f>+IF(LEFT(DB!M589,3)="13/","CAC","MAD")</f>
        <v>MAD</v>
      </c>
      <c r="N589" t="str">
        <f>+RIGHT(DB!M589,6)</f>
        <v/>
      </c>
      <c r="O589">
        <v>95</v>
      </c>
      <c r="P589">
        <v>5</v>
      </c>
      <c r="Q589">
        <f>+DB!AB589</f>
        <v>0</v>
      </c>
      <c r="R589">
        <f>+DB!K589</f>
        <v>0</v>
      </c>
      <c r="S589">
        <f>+DB!F589</f>
        <v>0</v>
      </c>
      <c r="T589">
        <f>+IF(DB!F589="AAAC-35",1,3)</f>
        <v>3</v>
      </c>
      <c r="U589">
        <f>+DB!R589</f>
        <v>0</v>
      </c>
      <c r="V589">
        <f>+IF(DB!P589="1RI",1,0)+IF(DB!P589="2RI",2,0)</f>
        <v>0</v>
      </c>
      <c r="W589">
        <f>+IF(DB!P589="1RV",1,0)+IF(DB!P589="2RV",2,0)</f>
        <v>0</v>
      </c>
      <c r="X589">
        <f>+IF(DB!P589="RYI",1,0)</f>
        <v>0</v>
      </c>
      <c r="Y589">
        <f>+IF(DB!P589="RYV",1,0)</f>
        <v>0</v>
      </c>
      <c r="Z589">
        <f>+DB!U589</f>
        <v>0</v>
      </c>
      <c r="AA589">
        <f>+IF(DB!F589="AAAC-35",19.5,33)</f>
        <v>33</v>
      </c>
      <c r="AB589">
        <f>+DB!V589</f>
        <v>0</v>
      </c>
      <c r="AC589" t="str">
        <f t="shared" si="29"/>
        <v>56-4</v>
      </c>
      <c r="AD589" s="21" t="s">
        <v>72</v>
      </c>
      <c r="AE589">
        <f>+DB!X589</f>
        <v>0</v>
      </c>
      <c r="AF589" s="22">
        <f>+DB!Y589</f>
        <v>0</v>
      </c>
      <c r="AG589">
        <f>+DB!AK589</f>
        <v>0</v>
      </c>
    </row>
    <row r="590" spans="1:33" x14ac:dyDescent="0.2">
      <c r="A590">
        <f>+DB!C590</f>
        <v>0</v>
      </c>
      <c r="B590">
        <f>+DB!D590</f>
        <v>0</v>
      </c>
      <c r="C590">
        <f>+DB!E590</f>
        <v>0</v>
      </c>
      <c r="D590">
        <f t="shared" si="27"/>
        <v>0</v>
      </c>
      <c r="E590">
        <f>+DB!G590</f>
        <v>0</v>
      </c>
      <c r="F590">
        <f>+DB!H590</f>
        <v>0</v>
      </c>
      <c r="G590">
        <f>+DB!N590</f>
        <v>0</v>
      </c>
      <c r="H590">
        <f>+DB!O590</f>
        <v>0</v>
      </c>
      <c r="I590">
        <f>+DB!I590</f>
        <v>0</v>
      </c>
      <c r="J590">
        <f>+DB!J590</f>
        <v>0</v>
      </c>
      <c r="K590">
        <f>+DB!L590</f>
        <v>0</v>
      </c>
      <c r="L590" t="str">
        <f t="shared" si="28"/>
        <v/>
      </c>
      <c r="M590" t="str">
        <f>+IF(LEFT(DB!M590,3)="13/","CAC","MAD")</f>
        <v>MAD</v>
      </c>
      <c r="N590" t="str">
        <f>+RIGHT(DB!M590,6)</f>
        <v/>
      </c>
      <c r="O590">
        <v>95</v>
      </c>
      <c r="P590">
        <v>5</v>
      </c>
      <c r="Q590">
        <f>+DB!AB590</f>
        <v>0</v>
      </c>
      <c r="R590">
        <f>+DB!K590</f>
        <v>0</v>
      </c>
      <c r="S590">
        <f>+DB!F590</f>
        <v>0</v>
      </c>
      <c r="T590">
        <f>+IF(DB!F590="AAAC-35",1,3)</f>
        <v>3</v>
      </c>
      <c r="U590">
        <f>+DB!R590</f>
        <v>0</v>
      </c>
      <c r="V590">
        <f>+IF(DB!P590="1RI",1,0)+IF(DB!P590="2RI",2,0)</f>
        <v>0</v>
      </c>
      <c r="W590">
        <f>+IF(DB!P590="1RV",1,0)+IF(DB!P590="2RV",2,0)</f>
        <v>0</v>
      </c>
      <c r="X590">
        <f>+IF(DB!P590="RYI",1,0)</f>
        <v>0</v>
      </c>
      <c r="Y590">
        <f>+IF(DB!P590="RYV",1,0)</f>
        <v>0</v>
      </c>
      <c r="Z590">
        <f>+DB!U590</f>
        <v>0</v>
      </c>
      <c r="AA590">
        <f>+IF(DB!F590="AAAC-35",19.5,33)</f>
        <v>33</v>
      </c>
      <c r="AB590">
        <f>+DB!V590</f>
        <v>0</v>
      </c>
      <c r="AC590" t="str">
        <f t="shared" si="29"/>
        <v>56-4</v>
      </c>
      <c r="AD590" s="21" t="s">
        <v>72</v>
      </c>
      <c r="AE590">
        <f>+DB!X590</f>
        <v>0</v>
      </c>
      <c r="AF590" s="22">
        <f>+DB!Y590</f>
        <v>0</v>
      </c>
      <c r="AG590">
        <f>+DB!AK590</f>
        <v>0</v>
      </c>
    </row>
    <row r="591" spans="1:33" x14ac:dyDescent="0.2">
      <c r="A591">
        <f>+DB!C591</f>
        <v>0</v>
      </c>
      <c r="B591">
        <f>+DB!D591</f>
        <v>0</v>
      </c>
      <c r="C591">
        <f>+DB!E591</f>
        <v>0</v>
      </c>
      <c r="D591">
        <f t="shared" si="27"/>
        <v>0</v>
      </c>
      <c r="E591">
        <f>+DB!G591</f>
        <v>0</v>
      </c>
      <c r="F591">
        <f>+DB!H591</f>
        <v>0</v>
      </c>
      <c r="G591">
        <f>+DB!N591</f>
        <v>0</v>
      </c>
      <c r="H591">
        <f>+DB!O591</f>
        <v>0</v>
      </c>
      <c r="I591">
        <f>+DB!I591</f>
        <v>0</v>
      </c>
      <c r="J591">
        <f>+DB!J591</f>
        <v>0</v>
      </c>
      <c r="K591">
        <f>+DB!L591</f>
        <v>0</v>
      </c>
      <c r="L591" t="str">
        <f t="shared" si="28"/>
        <v/>
      </c>
      <c r="M591" t="str">
        <f>+IF(LEFT(DB!M591,3)="13/","CAC","MAD")</f>
        <v>MAD</v>
      </c>
      <c r="N591" t="str">
        <f>+RIGHT(DB!M591,6)</f>
        <v/>
      </c>
      <c r="O591">
        <v>95</v>
      </c>
      <c r="P591">
        <v>5</v>
      </c>
      <c r="Q591">
        <f>+DB!AB591</f>
        <v>0</v>
      </c>
      <c r="R591">
        <f>+DB!K591</f>
        <v>0</v>
      </c>
      <c r="S591">
        <f>+DB!F591</f>
        <v>0</v>
      </c>
      <c r="T591">
        <f>+IF(DB!F591="AAAC-35",1,3)</f>
        <v>3</v>
      </c>
      <c r="U591">
        <f>+DB!R591</f>
        <v>0</v>
      </c>
      <c r="V591">
        <f>+IF(DB!P591="1RI",1,0)+IF(DB!P591="2RI",2,0)</f>
        <v>0</v>
      </c>
      <c r="W591">
        <f>+IF(DB!P591="1RV",1,0)+IF(DB!P591="2RV",2,0)</f>
        <v>0</v>
      </c>
      <c r="X591">
        <f>+IF(DB!P591="RYI",1,0)</f>
        <v>0</v>
      </c>
      <c r="Y591">
        <f>+IF(DB!P591="RYV",1,0)</f>
        <v>0</v>
      </c>
      <c r="Z591">
        <f>+DB!U591</f>
        <v>0</v>
      </c>
      <c r="AA591">
        <f>+IF(DB!F591="AAAC-35",19.5,33)</f>
        <v>33</v>
      </c>
      <c r="AB591">
        <f>+DB!V591</f>
        <v>0</v>
      </c>
      <c r="AC591" t="str">
        <f t="shared" si="29"/>
        <v>56-4</v>
      </c>
      <c r="AD591" s="21" t="s">
        <v>72</v>
      </c>
      <c r="AE591">
        <f>+DB!X591</f>
        <v>0</v>
      </c>
      <c r="AF591" s="22">
        <f>+DB!Y591</f>
        <v>0</v>
      </c>
      <c r="AG591">
        <f>+DB!AK591</f>
        <v>0</v>
      </c>
    </row>
    <row r="592" spans="1:33" x14ac:dyDescent="0.2">
      <c r="A592">
        <f>+DB!C592</f>
        <v>0</v>
      </c>
      <c r="B592">
        <f>+DB!D592</f>
        <v>0</v>
      </c>
      <c r="C592">
        <f>+DB!E592</f>
        <v>0</v>
      </c>
      <c r="D592">
        <f t="shared" si="27"/>
        <v>0</v>
      </c>
      <c r="E592">
        <f>+DB!G592</f>
        <v>0</v>
      </c>
      <c r="F592">
        <f>+DB!H592</f>
        <v>0</v>
      </c>
      <c r="G592">
        <f>+DB!N592</f>
        <v>0</v>
      </c>
      <c r="H592">
        <f>+DB!O592</f>
        <v>0</v>
      </c>
      <c r="I592">
        <f>+DB!I592</f>
        <v>0</v>
      </c>
      <c r="J592">
        <f>+DB!J592</f>
        <v>0</v>
      </c>
      <c r="K592">
        <f>+DB!L592</f>
        <v>0</v>
      </c>
      <c r="L592" t="str">
        <f t="shared" si="28"/>
        <v/>
      </c>
      <c r="M592" t="str">
        <f>+IF(LEFT(DB!M592,3)="13/","CAC","MAD")</f>
        <v>MAD</v>
      </c>
      <c r="N592" t="str">
        <f>+RIGHT(DB!M592,6)</f>
        <v/>
      </c>
      <c r="O592">
        <v>95</v>
      </c>
      <c r="P592">
        <v>5</v>
      </c>
      <c r="Q592">
        <f>+DB!AB592</f>
        <v>0</v>
      </c>
      <c r="R592">
        <f>+DB!K592</f>
        <v>0</v>
      </c>
      <c r="S592">
        <f>+DB!F592</f>
        <v>0</v>
      </c>
      <c r="T592">
        <f>+IF(DB!F592="AAAC-35",1,3)</f>
        <v>3</v>
      </c>
      <c r="U592">
        <f>+DB!R592</f>
        <v>0</v>
      </c>
      <c r="V592">
        <f>+IF(DB!P592="1RI",1,0)+IF(DB!P592="2RI",2,0)</f>
        <v>0</v>
      </c>
      <c r="W592">
        <f>+IF(DB!P592="1RV",1,0)+IF(DB!P592="2RV",2,0)</f>
        <v>0</v>
      </c>
      <c r="X592">
        <f>+IF(DB!P592="RYI",1,0)</f>
        <v>0</v>
      </c>
      <c r="Y592">
        <f>+IF(DB!P592="RYV",1,0)</f>
        <v>0</v>
      </c>
      <c r="Z592">
        <f>+DB!U592</f>
        <v>0</v>
      </c>
      <c r="AA592">
        <f>+IF(DB!F592="AAAC-35",19.5,33)</f>
        <v>33</v>
      </c>
      <c r="AB592">
        <f>+DB!V592</f>
        <v>0</v>
      </c>
      <c r="AC592" t="str">
        <f t="shared" si="29"/>
        <v>56-4</v>
      </c>
      <c r="AD592" s="21" t="s">
        <v>72</v>
      </c>
      <c r="AE592">
        <f>+DB!X592</f>
        <v>0</v>
      </c>
      <c r="AF592" s="22">
        <f>+DB!Y592</f>
        <v>0</v>
      </c>
      <c r="AG592">
        <f>+DB!AK592</f>
        <v>0</v>
      </c>
    </row>
    <row r="593" spans="1:33" x14ac:dyDescent="0.2">
      <c r="A593">
        <f>+DB!C593</f>
        <v>0</v>
      </c>
      <c r="B593">
        <f>+DB!D593</f>
        <v>0</v>
      </c>
      <c r="C593">
        <f>+DB!E593</f>
        <v>0</v>
      </c>
      <c r="D593">
        <f t="shared" si="27"/>
        <v>0</v>
      </c>
      <c r="E593">
        <f>+DB!G593</f>
        <v>0</v>
      </c>
      <c r="F593">
        <f>+DB!H593</f>
        <v>0</v>
      </c>
      <c r="G593">
        <f>+DB!N593</f>
        <v>0</v>
      </c>
      <c r="H593">
        <f>+DB!O593</f>
        <v>0</v>
      </c>
      <c r="I593">
        <f>+DB!I593</f>
        <v>0</v>
      </c>
      <c r="J593">
        <f>+DB!J593</f>
        <v>0</v>
      </c>
      <c r="K593">
        <f>+DB!L593</f>
        <v>0</v>
      </c>
      <c r="L593" t="str">
        <f t="shared" si="28"/>
        <v/>
      </c>
      <c r="M593" t="str">
        <f>+IF(LEFT(DB!M593,3)="13/","CAC","MAD")</f>
        <v>MAD</v>
      </c>
      <c r="N593" t="str">
        <f>+RIGHT(DB!M593,6)</f>
        <v/>
      </c>
      <c r="O593">
        <v>95</v>
      </c>
      <c r="P593">
        <v>5</v>
      </c>
      <c r="Q593">
        <f>+DB!AB593</f>
        <v>0</v>
      </c>
      <c r="R593">
        <f>+DB!K593</f>
        <v>0</v>
      </c>
      <c r="S593">
        <f>+DB!F593</f>
        <v>0</v>
      </c>
      <c r="T593">
        <f>+IF(DB!F593="AAAC-35",1,3)</f>
        <v>3</v>
      </c>
      <c r="U593">
        <f>+DB!R593</f>
        <v>0</v>
      </c>
      <c r="V593">
        <f>+IF(DB!P593="1RI",1,0)+IF(DB!P593="2RI",2,0)</f>
        <v>0</v>
      </c>
      <c r="W593">
        <f>+IF(DB!P593="1RV",1,0)+IF(DB!P593="2RV",2,0)</f>
        <v>0</v>
      </c>
      <c r="X593">
        <f>+IF(DB!P593="RYI",1,0)</f>
        <v>0</v>
      </c>
      <c r="Y593">
        <f>+IF(DB!P593="RYV",1,0)</f>
        <v>0</v>
      </c>
      <c r="Z593">
        <f>+DB!U593</f>
        <v>0</v>
      </c>
      <c r="AA593">
        <f>+IF(DB!F593="AAAC-35",19.5,33)</f>
        <v>33</v>
      </c>
      <c r="AB593">
        <f>+DB!V593</f>
        <v>0</v>
      </c>
      <c r="AC593" t="str">
        <f t="shared" si="29"/>
        <v>56-4</v>
      </c>
      <c r="AD593" s="21" t="s">
        <v>72</v>
      </c>
      <c r="AE593">
        <f>+DB!X593</f>
        <v>0</v>
      </c>
      <c r="AF593" s="22">
        <f>+DB!Y593</f>
        <v>0</v>
      </c>
      <c r="AG593">
        <f>+DB!AK593</f>
        <v>0</v>
      </c>
    </row>
    <row r="594" spans="1:33" x14ac:dyDescent="0.2">
      <c r="A594">
        <f>+DB!C594</f>
        <v>0</v>
      </c>
      <c r="B594">
        <f>+DB!D594</f>
        <v>0</v>
      </c>
      <c r="C594">
        <f>+DB!E594</f>
        <v>0</v>
      </c>
      <c r="D594">
        <f t="shared" si="27"/>
        <v>0</v>
      </c>
      <c r="E594">
        <f>+DB!G594</f>
        <v>0</v>
      </c>
      <c r="F594">
        <f>+DB!H594</f>
        <v>0</v>
      </c>
      <c r="G594">
        <f>+DB!N594</f>
        <v>0</v>
      </c>
      <c r="H594">
        <f>+DB!O594</f>
        <v>0</v>
      </c>
      <c r="I594">
        <f>+DB!I594</f>
        <v>0</v>
      </c>
      <c r="J594">
        <f>+DB!J594</f>
        <v>0</v>
      </c>
      <c r="K594">
        <f>+DB!L594</f>
        <v>0</v>
      </c>
      <c r="L594" t="str">
        <f t="shared" si="28"/>
        <v/>
      </c>
      <c r="M594" t="str">
        <f>+IF(LEFT(DB!M594,3)="13/","CAC","MAD")</f>
        <v>MAD</v>
      </c>
      <c r="N594" t="str">
        <f>+RIGHT(DB!M594,6)</f>
        <v/>
      </c>
      <c r="O594">
        <v>95</v>
      </c>
      <c r="P594">
        <v>5</v>
      </c>
      <c r="Q594">
        <f>+DB!AB594</f>
        <v>0</v>
      </c>
      <c r="R594">
        <f>+DB!K594</f>
        <v>0</v>
      </c>
      <c r="S594">
        <f>+DB!F594</f>
        <v>0</v>
      </c>
      <c r="T594">
        <f>+IF(DB!F594="AAAC-35",1,3)</f>
        <v>3</v>
      </c>
      <c r="U594">
        <f>+DB!R594</f>
        <v>0</v>
      </c>
      <c r="V594">
        <f>+IF(DB!P594="1RI",1,0)+IF(DB!P594="2RI",2,0)</f>
        <v>0</v>
      </c>
      <c r="W594">
        <f>+IF(DB!P594="1RV",1,0)+IF(DB!P594="2RV",2,0)</f>
        <v>0</v>
      </c>
      <c r="X594">
        <f>+IF(DB!P594="RYI",1,0)</f>
        <v>0</v>
      </c>
      <c r="Y594">
        <f>+IF(DB!P594="RYV",1,0)</f>
        <v>0</v>
      </c>
      <c r="Z594">
        <f>+DB!U594</f>
        <v>0</v>
      </c>
      <c r="AA594">
        <f>+IF(DB!F594="AAAC-35",19.5,33)</f>
        <v>33</v>
      </c>
      <c r="AB594">
        <f>+DB!V594</f>
        <v>0</v>
      </c>
      <c r="AC594" t="str">
        <f t="shared" si="29"/>
        <v>56-4</v>
      </c>
      <c r="AD594" s="21" t="s">
        <v>72</v>
      </c>
      <c r="AE594">
        <f>+DB!X594</f>
        <v>0</v>
      </c>
      <c r="AF594" s="22">
        <f>+DB!Y594</f>
        <v>0</v>
      </c>
      <c r="AG594">
        <f>+DB!AK594</f>
        <v>0</v>
      </c>
    </row>
    <row r="595" spans="1:33" x14ac:dyDescent="0.2">
      <c r="A595">
        <f>+DB!C595</f>
        <v>0</v>
      </c>
      <c r="B595">
        <f>+DB!D595</f>
        <v>0</v>
      </c>
      <c r="C595">
        <f>+DB!E595</f>
        <v>0</v>
      </c>
      <c r="D595">
        <f t="shared" si="27"/>
        <v>0</v>
      </c>
      <c r="E595">
        <f>+DB!G595</f>
        <v>0</v>
      </c>
      <c r="F595">
        <f>+DB!H595</f>
        <v>0</v>
      </c>
      <c r="G595">
        <f>+DB!N595</f>
        <v>0</v>
      </c>
      <c r="H595">
        <f>+DB!O595</f>
        <v>0</v>
      </c>
      <c r="I595">
        <f>+DB!I595</f>
        <v>0</v>
      </c>
      <c r="J595">
        <f>+DB!J595</f>
        <v>0</v>
      </c>
      <c r="K595">
        <f>+DB!L595</f>
        <v>0</v>
      </c>
      <c r="L595" t="str">
        <f t="shared" si="28"/>
        <v/>
      </c>
      <c r="M595" t="str">
        <f>+IF(LEFT(DB!M595,3)="13/","CAC","MAD")</f>
        <v>MAD</v>
      </c>
      <c r="N595" t="str">
        <f>+RIGHT(DB!M595,6)</f>
        <v/>
      </c>
      <c r="O595">
        <v>95</v>
      </c>
      <c r="P595">
        <v>5</v>
      </c>
      <c r="Q595">
        <f>+DB!AB595</f>
        <v>0</v>
      </c>
      <c r="R595">
        <f>+DB!K595</f>
        <v>0</v>
      </c>
      <c r="S595">
        <f>+DB!F595</f>
        <v>0</v>
      </c>
      <c r="T595">
        <f>+IF(DB!F595="AAAC-35",1,3)</f>
        <v>3</v>
      </c>
      <c r="U595">
        <f>+DB!R595</f>
        <v>0</v>
      </c>
      <c r="V595">
        <f>+IF(DB!P595="1RI",1,0)+IF(DB!P595="2RI",2,0)</f>
        <v>0</v>
      </c>
      <c r="W595">
        <f>+IF(DB!P595="1RV",1,0)+IF(DB!P595="2RV",2,0)</f>
        <v>0</v>
      </c>
      <c r="X595">
        <f>+IF(DB!P595="RYI",1,0)</f>
        <v>0</v>
      </c>
      <c r="Y595">
        <f>+IF(DB!P595="RYV",1,0)</f>
        <v>0</v>
      </c>
      <c r="Z595">
        <f>+DB!U595</f>
        <v>0</v>
      </c>
      <c r="AA595">
        <f>+IF(DB!F595="AAAC-35",19.5,33)</f>
        <v>33</v>
      </c>
      <c r="AB595">
        <f>+DB!V595</f>
        <v>0</v>
      </c>
      <c r="AC595" t="str">
        <f t="shared" si="29"/>
        <v>56-4</v>
      </c>
      <c r="AD595" s="21" t="s">
        <v>72</v>
      </c>
      <c r="AE595">
        <f>+DB!X595</f>
        <v>0</v>
      </c>
      <c r="AF595" s="22">
        <f>+DB!Y595</f>
        <v>0</v>
      </c>
      <c r="AG595">
        <f>+DB!AK595</f>
        <v>0</v>
      </c>
    </row>
    <row r="596" spans="1:33" x14ac:dyDescent="0.2">
      <c r="A596">
        <f>+DB!C596</f>
        <v>0</v>
      </c>
      <c r="B596">
        <f>+DB!D596</f>
        <v>0</v>
      </c>
      <c r="C596">
        <f>+DB!E596</f>
        <v>0</v>
      </c>
      <c r="D596">
        <f t="shared" si="27"/>
        <v>0</v>
      </c>
      <c r="E596">
        <f>+DB!G596</f>
        <v>0</v>
      </c>
      <c r="F596">
        <f>+DB!H596</f>
        <v>0</v>
      </c>
      <c r="G596">
        <f>+DB!N596</f>
        <v>0</v>
      </c>
      <c r="H596">
        <f>+DB!O596</f>
        <v>0</v>
      </c>
      <c r="I596">
        <f>+DB!I596</f>
        <v>0</v>
      </c>
      <c r="J596">
        <f>+DB!J596</f>
        <v>0</v>
      </c>
      <c r="K596">
        <f>+DB!L596</f>
        <v>0</v>
      </c>
      <c r="L596" t="str">
        <f t="shared" si="28"/>
        <v/>
      </c>
      <c r="M596" t="str">
        <f>+IF(LEFT(DB!M596,3)="13/","CAC","MAD")</f>
        <v>MAD</v>
      </c>
      <c r="N596" t="str">
        <f>+RIGHT(DB!M596,6)</f>
        <v/>
      </c>
      <c r="O596">
        <v>95</v>
      </c>
      <c r="P596">
        <v>5</v>
      </c>
      <c r="Q596">
        <f>+DB!AB596</f>
        <v>0</v>
      </c>
      <c r="R596">
        <f>+DB!K596</f>
        <v>0</v>
      </c>
      <c r="S596">
        <f>+DB!F596</f>
        <v>0</v>
      </c>
      <c r="T596">
        <f>+IF(DB!F596="AAAC-35",1,3)</f>
        <v>3</v>
      </c>
      <c r="U596">
        <f>+DB!R596</f>
        <v>0</v>
      </c>
      <c r="V596">
        <f>+IF(DB!P596="1RI",1,0)+IF(DB!P596="2RI",2,0)</f>
        <v>0</v>
      </c>
      <c r="W596">
        <f>+IF(DB!P596="1RV",1,0)+IF(DB!P596="2RV",2,0)</f>
        <v>0</v>
      </c>
      <c r="X596">
        <f>+IF(DB!P596="RYI",1,0)</f>
        <v>0</v>
      </c>
      <c r="Y596">
        <f>+IF(DB!P596="RYV",1,0)</f>
        <v>0</v>
      </c>
      <c r="Z596">
        <f>+DB!U596</f>
        <v>0</v>
      </c>
      <c r="AA596">
        <f>+IF(DB!F596="AAAC-35",19.5,33)</f>
        <v>33</v>
      </c>
      <c r="AB596">
        <f>+DB!V596</f>
        <v>0</v>
      </c>
      <c r="AC596" t="str">
        <f t="shared" si="29"/>
        <v>56-4</v>
      </c>
      <c r="AD596" s="21" t="s">
        <v>72</v>
      </c>
      <c r="AE596">
        <f>+DB!X596</f>
        <v>0</v>
      </c>
      <c r="AF596" s="22">
        <f>+DB!Y596</f>
        <v>0</v>
      </c>
      <c r="AG596">
        <f>+DB!AK596</f>
        <v>0</v>
      </c>
    </row>
    <row r="597" spans="1:33" x14ac:dyDescent="0.2">
      <c r="A597">
        <f>+DB!C597</f>
        <v>0</v>
      </c>
      <c r="B597">
        <f>+DB!D597</f>
        <v>0</v>
      </c>
      <c r="C597">
        <f>+DB!E597</f>
        <v>0</v>
      </c>
      <c r="D597">
        <f t="shared" si="27"/>
        <v>0</v>
      </c>
      <c r="E597">
        <f>+DB!G597</f>
        <v>0</v>
      </c>
      <c r="F597">
        <f>+DB!H597</f>
        <v>0</v>
      </c>
      <c r="G597">
        <f>+DB!N597</f>
        <v>0</v>
      </c>
      <c r="H597">
        <f>+DB!O597</f>
        <v>0</v>
      </c>
      <c r="I597">
        <f>+DB!I597</f>
        <v>0</v>
      </c>
      <c r="J597">
        <f>+DB!J597</f>
        <v>0</v>
      </c>
      <c r="K597">
        <f>+DB!L597</f>
        <v>0</v>
      </c>
      <c r="L597" t="str">
        <f t="shared" si="28"/>
        <v/>
      </c>
      <c r="M597" t="str">
        <f>+IF(LEFT(DB!M597,3)="13/","CAC","MAD")</f>
        <v>MAD</v>
      </c>
      <c r="N597" t="str">
        <f>+RIGHT(DB!M597,6)</f>
        <v/>
      </c>
      <c r="O597">
        <v>95</v>
      </c>
      <c r="P597">
        <v>5</v>
      </c>
      <c r="Q597">
        <f>+DB!AB597</f>
        <v>0</v>
      </c>
      <c r="R597">
        <f>+DB!K597</f>
        <v>0</v>
      </c>
      <c r="S597">
        <f>+DB!F597</f>
        <v>0</v>
      </c>
      <c r="T597">
        <f>+IF(DB!F597="AAAC-35",1,3)</f>
        <v>3</v>
      </c>
      <c r="U597">
        <f>+DB!R597</f>
        <v>0</v>
      </c>
      <c r="V597">
        <f>+IF(DB!P597="1RI",1,0)+IF(DB!P597="2RI",2,0)</f>
        <v>0</v>
      </c>
      <c r="W597">
        <f>+IF(DB!P597="1RV",1,0)+IF(DB!P597="2RV",2,0)</f>
        <v>0</v>
      </c>
      <c r="X597">
        <f>+IF(DB!P597="RYI",1,0)</f>
        <v>0</v>
      </c>
      <c r="Y597">
        <f>+IF(DB!P597="RYV",1,0)</f>
        <v>0</v>
      </c>
      <c r="Z597">
        <f>+DB!U597</f>
        <v>0</v>
      </c>
      <c r="AA597">
        <f>+IF(DB!F597="AAAC-35",19.5,33)</f>
        <v>33</v>
      </c>
      <c r="AB597">
        <f>+DB!V597</f>
        <v>0</v>
      </c>
      <c r="AC597" t="str">
        <f t="shared" si="29"/>
        <v>56-4</v>
      </c>
      <c r="AD597" s="21" t="s">
        <v>72</v>
      </c>
      <c r="AE597">
        <f>+DB!X597</f>
        <v>0</v>
      </c>
      <c r="AF597" s="22">
        <f>+DB!Y597</f>
        <v>0</v>
      </c>
      <c r="AG597">
        <f>+DB!AK597</f>
        <v>0</v>
      </c>
    </row>
    <row r="598" spans="1:33" x14ac:dyDescent="0.2">
      <c r="A598">
        <f>+DB!C598</f>
        <v>0</v>
      </c>
      <c r="B598">
        <f>+DB!D598</f>
        <v>0</v>
      </c>
      <c r="C598">
        <f>+DB!E598</f>
        <v>0</v>
      </c>
      <c r="D598">
        <f t="shared" si="27"/>
        <v>0</v>
      </c>
      <c r="E598">
        <f>+DB!G598</f>
        <v>0</v>
      </c>
      <c r="F598">
        <f>+DB!H598</f>
        <v>0</v>
      </c>
      <c r="G598">
        <f>+DB!N598</f>
        <v>0</v>
      </c>
      <c r="H598">
        <f>+DB!O598</f>
        <v>0</v>
      </c>
      <c r="I598">
        <f>+DB!I598</f>
        <v>0</v>
      </c>
      <c r="J598">
        <f>+DB!J598</f>
        <v>0</v>
      </c>
      <c r="K598">
        <f>+DB!L598</f>
        <v>0</v>
      </c>
      <c r="L598" t="str">
        <f t="shared" si="28"/>
        <v/>
      </c>
      <c r="M598" t="str">
        <f>+IF(LEFT(DB!M598,3)="13/","CAC","MAD")</f>
        <v>MAD</v>
      </c>
      <c r="N598" t="str">
        <f>+RIGHT(DB!M598,6)</f>
        <v/>
      </c>
      <c r="O598">
        <v>95</v>
      </c>
      <c r="P598">
        <v>5</v>
      </c>
      <c r="Q598">
        <f>+DB!AB598</f>
        <v>0</v>
      </c>
      <c r="R598">
        <f>+DB!K598</f>
        <v>0</v>
      </c>
      <c r="S598">
        <f>+DB!F598</f>
        <v>0</v>
      </c>
      <c r="T598">
        <f>+IF(DB!F598="AAAC-35",1,3)</f>
        <v>3</v>
      </c>
      <c r="U598">
        <f>+DB!R598</f>
        <v>0</v>
      </c>
      <c r="V598">
        <f>+IF(DB!P598="1RI",1,0)+IF(DB!P598="2RI",2,0)</f>
        <v>0</v>
      </c>
      <c r="W598">
        <f>+IF(DB!P598="1RV",1,0)+IF(DB!P598="2RV",2,0)</f>
        <v>0</v>
      </c>
      <c r="X598">
        <f>+IF(DB!P598="RYI",1,0)</f>
        <v>0</v>
      </c>
      <c r="Y598">
        <f>+IF(DB!P598="RYV",1,0)</f>
        <v>0</v>
      </c>
      <c r="Z598">
        <f>+DB!U598</f>
        <v>0</v>
      </c>
      <c r="AA598">
        <f>+IF(DB!F598="AAAC-35",19.5,33)</f>
        <v>33</v>
      </c>
      <c r="AB598">
        <f>+DB!V598</f>
        <v>0</v>
      </c>
      <c r="AC598" t="str">
        <f t="shared" si="29"/>
        <v>56-4</v>
      </c>
      <c r="AD598" s="21" t="s">
        <v>72</v>
      </c>
      <c r="AE598">
        <f>+DB!X598</f>
        <v>0</v>
      </c>
      <c r="AF598" s="22">
        <f>+DB!Y598</f>
        <v>0</v>
      </c>
      <c r="AG598">
        <f>+DB!AK598</f>
        <v>0</v>
      </c>
    </row>
    <row r="599" spans="1:33" x14ac:dyDescent="0.2">
      <c r="A599">
        <f>+DB!C599</f>
        <v>0</v>
      </c>
      <c r="B599">
        <f>+DB!D599</f>
        <v>0</v>
      </c>
      <c r="C599">
        <f>+DB!E599</f>
        <v>0</v>
      </c>
      <c r="D599">
        <f t="shared" si="27"/>
        <v>0</v>
      </c>
      <c r="E599">
        <f>+DB!G599</f>
        <v>0</v>
      </c>
      <c r="F599">
        <f>+DB!H599</f>
        <v>0</v>
      </c>
      <c r="G599">
        <f>+DB!N599</f>
        <v>0</v>
      </c>
      <c r="H599">
        <f>+DB!O599</f>
        <v>0</v>
      </c>
      <c r="I599">
        <f>+DB!I599</f>
        <v>0</v>
      </c>
      <c r="J599">
        <f>+DB!J599</f>
        <v>0</v>
      </c>
      <c r="K599">
        <f>+DB!L599</f>
        <v>0</v>
      </c>
      <c r="L599" t="str">
        <f t="shared" si="28"/>
        <v/>
      </c>
      <c r="M599" t="str">
        <f>+IF(LEFT(DB!M599,3)="13/","CAC","MAD")</f>
        <v>MAD</v>
      </c>
      <c r="N599" t="str">
        <f>+RIGHT(DB!M599,6)</f>
        <v/>
      </c>
      <c r="O599">
        <v>95</v>
      </c>
      <c r="P599">
        <v>5</v>
      </c>
      <c r="Q599">
        <f>+DB!AB599</f>
        <v>0</v>
      </c>
      <c r="R599">
        <f>+DB!K599</f>
        <v>0</v>
      </c>
      <c r="S599">
        <f>+DB!F599</f>
        <v>0</v>
      </c>
      <c r="T599">
        <f>+IF(DB!F599="AAAC-35",1,3)</f>
        <v>3</v>
      </c>
      <c r="U599">
        <f>+DB!R599</f>
        <v>0</v>
      </c>
      <c r="V599">
        <f>+IF(DB!P599="1RI",1,0)+IF(DB!P599="2RI",2,0)</f>
        <v>0</v>
      </c>
      <c r="W599">
        <f>+IF(DB!P599="1RV",1,0)+IF(DB!P599="2RV",2,0)</f>
        <v>0</v>
      </c>
      <c r="X599">
        <f>+IF(DB!P599="RYI",1,0)</f>
        <v>0</v>
      </c>
      <c r="Y599">
        <f>+IF(DB!P599="RYV",1,0)</f>
        <v>0</v>
      </c>
      <c r="Z599">
        <f>+DB!U599</f>
        <v>0</v>
      </c>
      <c r="AA599">
        <f>+IF(DB!F599="AAAC-35",19.5,33)</f>
        <v>33</v>
      </c>
      <c r="AB599">
        <f>+DB!V599</f>
        <v>0</v>
      </c>
      <c r="AC599" t="str">
        <f t="shared" si="29"/>
        <v>56-4</v>
      </c>
      <c r="AD599" s="21" t="s">
        <v>72</v>
      </c>
      <c r="AE599">
        <f>+DB!X599</f>
        <v>0</v>
      </c>
      <c r="AF599" s="22">
        <f>+DB!Y599</f>
        <v>0</v>
      </c>
      <c r="AG599">
        <f>+DB!AK599</f>
        <v>0</v>
      </c>
    </row>
    <row r="600" spans="1:33" x14ac:dyDescent="0.2">
      <c r="A600">
        <f>+DB!C600</f>
        <v>0</v>
      </c>
      <c r="B600">
        <f>+DB!D600</f>
        <v>0</v>
      </c>
      <c r="C600">
        <f>+DB!E600</f>
        <v>0</v>
      </c>
      <c r="D600">
        <f t="shared" si="27"/>
        <v>0</v>
      </c>
      <c r="E600">
        <f>+DB!G600</f>
        <v>0</v>
      </c>
      <c r="F600">
        <f>+DB!H600</f>
        <v>0</v>
      </c>
      <c r="G600">
        <f>+DB!N600</f>
        <v>0</v>
      </c>
      <c r="H600">
        <f>+DB!O600</f>
        <v>0</v>
      </c>
      <c r="I600">
        <f>+DB!I600</f>
        <v>0</v>
      </c>
      <c r="J600">
        <f>+DB!J600</f>
        <v>0</v>
      </c>
      <c r="K600">
        <f>+DB!L600</f>
        <v>0</v>
      </c>
      <c r="L600" t="str">
        <f t="shared" si="28"/>
        <v/>
      </c>
      <c r="M600" t="str">
        <f>+IF(LEFT(DB!M600,3)="13/","CAC","MAD")</f>
        <v>MAD</v>
      </c>
      <c r="N600" t="str">
        <f>+RIGHT(DB!M600,6)</f>
        <v/>
      </c>
      <c r="O600">
        <v>95</v>
      </c>
      <c r="P600">
        <v>5</v>
      </c>
      <c r="Q600">
        <f>+DB!AB600</f>
        <v>0</v>
      </c>
      <c r="R600">
        <f>+DB!K600</f>
        <v>0</v>
      </c>
      <c r="S600">
        <f>+DB!F600</f>
        <v>0</v>
      </c>
      <c r="T600">
        <f>+IF(DB!F600="AAAC-35",1,3)</f>
        <v>3</v>
      </c>
      <c r="U600">
        <f>+DB!R600</f>
        <v>0</v>
      </c>
      <c r="V600">
        <f>+IF(DB!P600="1RI",1,0)+IF(DB!P600="2RI",2,0)</f>
        <v>0</v>
      </c>
      <c r="W600">
        <f>+IF(DB!P600="1RV",1,0)+IF(DB!P600="2RV",2,0)</f>
        <v>0</v>
      </c>
      <c r="X600">
        <f>+IF(DB!P600="RYI",1,0)</f>
        <v>0</v>
      </c>
      <c r="Y600">
        <f>+IF(DB!P600="RYV",1,0)</f>
        <v>0</v>
      </c>
      <c r="Z600">
        <f>+DB!U600</f>
        <v>0</v>
      </c>
      <c r="AA600">
        <f>+IF(DB!F600="AAAC-35",19.5,33)</f>
        <v>33</v>
      </c>
      <c r="AB600">
        <f>+DB!V600</f>
        <v>0</v>
      </c>
      <c r="AC600" t="str">
        <f t="shared" si="29"/>
        <v>56-4</v>
      </c>
      <c r="AD600" s="21" t="s">
        <v>72</v>
      </c>
      <c r="AE600">
        <f>+DB!X600</f>
        <v>0</v>
      </c>
      <c r="AF600" s="22">
        <f>+DB!Y600</f>
        <v>0</v>
      </c>
      <c r="AG600">
        <f>+DB!AK600</f>
        <v>0</v>
      </c>
    </row>
    <row r="601" spans="1:33" x14ac:dyDescent="0.2">
      <c r="A601">
        <f>+DB!C601</f>
        <v>0</v>
      </c>
      <c r="B601">
        <f>+DB!D601</f>
        <v>0</v>
      </c>
      <c r="C601">
        <f>+DB!E601</f>
        <v>0</v>
      </c>
      <c r="D601">
        <f t="shared" si="27"/>
        <v>0</v>
      </c>
      <c r="E601">
        <f>+DB!G601</f>
        <v>0</v>
      </c>
      <c r="F601">
        <f>+DB!H601</f>
        <v>0</v>
      </c>
      <c r="G601">
        <f>+DB!N601</f>
        <v>0</v>
      </c>
      <c r="H601">
        <f>+DB!O601</f>
        <v>0</v>
      </c>
      <c r="I601">
        <f>+DB!I601</f>
        <v>0</v>
      </c>
      <c r="J601">
        <f>+DB!J601</f>
        <v>0</v>
      </c>
      <c r="K601">
        <f>+DB!L601</f>
        <v>0</v>
      </c>
      <c r="L601" t="str">
        <f t="shared" si="28"/>
        <v/>
      </c>
      <c r="M601" t="str">
        <f>+IF(LEFT(DB!M601,3)="13/","CAC","MAD")</f>
        <v>MAD</v>
      </c>
      <c r="N601" t="str">
        <f>+RIGHT(DB!M601,6)</f>
        <v/>
      </c>
      <c r="O601">
        <v>95</v>
      </c>
      <c r="P601">
        <v>5</v>
      </c>
      <c r="Q601">
        <f>+DB!AB601</f>
        <v>0</v>
      </c>
      <c r="R601">
        <f>+DB!K601</f>
        <v>0</v>
      </c>
      <c r="S601">
        <f>+DB!F601</f>
        <v>0</v>
      </c>
      <c r="T601">
        <f>+IF(DB!F601="AAAC-35",1,3)</f>
        <v>3</v>
      </c>
      <c r="U601">
        <f>+DB!R601</f>
        <v>0</v>
      </c>
      <c r="V601">
        <f>+IF(DB!P601="1RI",1,0)+IF(DB!P601="2RI",2,0)</f>
        <v>0</v>
      </c>
      <c r="W601">
        <f>+IF(DB!P601="1RV",1,0)+IF(DB!P601="2RV",2,0)</f>
        <v>0</v>
      </c>
      <c r="X601">
        <f>+IF(DB!P601="RYI",1,0)</f>
        <v>0</v>
      </c>
      <c r="Y601">
        <f>+IF(DB!P601="RYV",1,0)</f>
        <v>0</v>
      </c>
      <c r="Z601">
        <f>+DB!U601</f>
        <v>0</v>
      </c>
      <c r="AA601">
        <f>+IF(DB!F601="AAAC-35",19.5,33)</f>
        <v>33</v>
      </c>
      <c r="AB601">
        <f>+DB!V601</f>
        <v>0</v>
      </c>
      <c r="AC601" t="str">
        <f t="shared" si="29"/>
        <v>56-4</v>
      </c>
      <c r="AD601" s="21" t="s">
        <v>72</v>
      </c>
      <c r="AE601">
        <f>+DB!X601</f>
        <v>0</v>
      </c>
      <c r="AF601" s="22">
        <f>+DB!Y601</f>
        <v>0</v>
      </c>
      <c r="AG601">
        <f>+DB!AK601</f>
        <v>0</v>
      </c>
    </row>
    <row r="602" spans="1:33" x14ac:dyDescent="0.2">
      <c r="A602">
        <f>+DB!C602</f>
        <v>0</v>
      </c>
      <c r="B602">
        <f>+DB!D602</f>
        <v>0</v>
      </c>
      <c r="C602">
        <f>+DB!E602</f>
        <v>0</v>
      </c>
      <c r="D602">
        <f t="shared" si="27"/>
        <v>0</v>
      </c>
      <c r="E602">
        <f>+DB!G602</f>
        <v>0</v>
      </c>
      <c r="F602">
        <f>+DB!H602</f>
        <v>0</v>
      </c>
      <c r="G602">
        <f>+DB!N602</f>
        <v>0</v>
      </c>
      <c r="H602">
        <f>+DB!O602</f>
        <v>0</v>
      </c>
      <c r="I602">
        <f>+DB!I602</f>
        <v>0</v>
      </c>
      <c r="J602">
        <f>+DB!J602</f>
        <v>0</v>
      </c>
      <c r="K602">
        <f>+DB!L602</f>
        <v>0</v>
      </c>
      <c r="L602" t="str">
        <f t="shared" si="28"/>
        <v/>
      </c>
      <c r="M602" t="str">
        <f>+IF(LEFT(DB!M602,3)="13/","CAC","MAD")</f>
        <v>MAD</v>
      </c>
      <c r="N602" t="str">
        <f>+RIGHT(DB!M602,6)</f>
        <v/>
      </c>
      <c r="O602">
        <v>95</v>
      </c>
      <c r="P602">
        <v>5</v>
      </c>
      <c r="Q602">
        <f>+DB!AB602</f>
        <v>0</v>
      </c>
      <c r="R602">
        <f>+DB!K602</f>
        <v>0</v>
      </c>
      <c r="S602">
        <f>+DB!F602</f>
        <v>0</v>
      </c>
      <c r="T602">
        <f>+IF(DB!F602="AAAC-35",1,3)</f>
        <v>3</v>
      </c>
      <c r="U602">
        <f>+DB!R602</f>
        <v>0</v>
      </c>
      <c r="V602">
        <f>+IF(DB!P602="1RI",1,0)+IF(DB!P602="2RI",2,0)</f>
        <v>0</v>
      </c>
      <c r="W602">
        <f>+IF(DB!P602="1RV",1,0)+IF(DB!P602="2RV",2,0)</f>
        <v>0</v>
      </c>
      <c r="X602">
        <f>+IF(DB!P602="RYI",1,0)</f>
        <v>0</v>
      </c>
      <c r="Y602">
        <f>+IF(DB!P602="RYV",1,0)</f>
        <v>0</v>
      </c>
      <c r="Z602">
        <f>+DB!U602</f>
        <v>0</v>
      </c>
      <c r="AA602">
        <f>+IF(DB!F602="AAAC-35",19.5,33)</f>
        <v>33</v>
      </c>
      <c r="AB602">
        <f>+DB!V602</f>
        <v>0</v>
      </c>
      <c r="AC602" t="str">
        <f t="shared" si="29"/>
        <v>56-4</v>
      </c>
      <c r="AD602" s="21" t="s">
        <v>72</v>
      </c>
      <c r="AE602">
        <f>+DB!X602</f>
        <v>0</v>
      </c>
      <c r="AF602" s="22">
        <f>+DB!Y602</f>
        <v>0</v>
      </c>
      <c r="AG602">
        <f>+DB!AK602</f>
        <v>0</v>
      </c>
    </row>
    <row r="603" spans="1:33" x14ac:dyDescent="0.2">
      <c r="A603">
        <f>+DB!C603</f>
        <v>0</v>
      </c>
      <c r="B603">
        <f>+DB!D603</f>
        <v>0</v>
      </c>
      <c r="C603">
        <f>+DB!E603</f>
        <v>0</v>
      </c>
      <c r="D603">
        <f t="shared" si="27"/>
        <v>0</v>
      </c>
      <c r="E603">
        <f>+DB!G603</f>
        <v>0</v>
      </c>
      <c r="F603">
        <f>+DB!H603</f>
        <v>0</v>
      </c>
      <c r="G603">
        <f>+DB!N603</f>
        <v>0</v>
      </c>
      <c r="H603">
        <f>+DB!O603</f>
        <v>0</v>
      </c>
      <c r="I603">
        <f>+DB!I603</f>
        <v>0</v>
      </c>
      <c r="J603">
        <f>+DB!J603</f>
        <v>0</v>
      </c>
      <c r="K603">
        <f>+DB!L603</f>
        <v>0</v>
      </c>
      <c r="L603" t="str">
        <f t="shared" si="28"/>
        <v/>
      </c>
      <c r="M603" t="str">
        <f>+IF(LEFT(DB!M603,3)="13/","CAC","MAD")</f>
        <v>MAD</v>
      </c>
      <c r="N603" t="str">
        <f>+RIGHT(DB!M603,6)</f>
        <v/>
      </c>
      <c r="O603">
        <v>95</v>
      </c>
      <c r="P603">
        <v>5</v>
      </c>
      <c r="Q603">
        <f>+DB!AB603</f>
        <v>0</v>
      </c>
      <c r="R603">
        <f>+DB!K603</f>
        <v>0</v>
      </c>
      <c r="S603">
        <f>+DB!F603</f>
        <v>0</v>
      </c>
      <c r="T603">
        <f>+IF(DB!F603="AAAC-35",1,3)</f>
        <v>3</v>
      </c>
      <c r="U603">
        <f>+DB!R603</f>
        <v>0</v>
      </c>
      <c r="V603">
        <f>+IF(DB!P603="1RI",1,0)+IF(DB!P603="2RI",2,0)</f>
        <v>0</v>
      </c>
      <c r="W603">
        <f>+IF(DB!P603="1RV",1,0)+IF(DB!P603="2RV",2,0)</f>
        <v>0</v>
      </c>
      <c r="X603">
        <f>+IF(DB!P603="RYI",1,0)</f>
        <v>0</v>
      </c>
      <c r="Y603">
        <f>+IF(DB!P603="RYV",1,0)</f>
        <v>0</v>
      </c>
      <c r="Z603">
        <f>+DB!U603</f>
        <v>0</v>
      </c>
      <c r="AA603">
        <f>+IF(DB!F603="AAAC-35",19.5,33)</f>
        <v>33</v>
      </c>
      <c r="AB603">
        <f>+DB!V603</f>
        <v>0</v>
      </c>
      <c r="AC603" t="str">
        <f t="shared" si="29"/>
        <v>56-4</v>
      </c>
      <c r="AD603" s="21" t="s">
        <v>72</v>
      </c>
      <c r="AE603">
        <f>+DB!X603</f>
        <v>0</v>
      </c>
      <c r="AF603" s="22">
        <f>+DB!Y603</f>
        <v>0</v>
      </c>
      <c r="AG603">
        <f>+DB!AK603</f>
        <v>0</v>
      </c>
    </row>
    <row r="604" spans="1:33" x14ac:dyDescent="0.2">
      <c r="A604">
        <f>+DB!C604</f>
        <v>0</v>
      </c>
      <c r="B604">
        <f>+DB!D604</f>
        <v>0</v>
      </c>
      <c r="C604">
        <f>+DB!E604</f>
        <v>0</v>
      </c>
      <c r="D604">
        <f t="shared" si="27"/>
        <v>0</v>
      </c>
      <c r="E604">
        <f>+DB!G604</f>
        <v>0</v>
      </c>
      <c r="F604">
        <f>+DB!H604</f>
        <v>0</v>
      </c>
      <c r="G604">
        <f>+DB!N604</f>
        <v>0</v>
      </c>
      <c r="H604">
        <f>+DB!O604</f>
        <v>0</v>
      </c>
      <c r="I604">
        <f>+DB!I604</f>
        <v>0</v>
      </c>
      <c r="J604">
        <f>+DB!J604</f>
        <v>0</v>
      </c>
      <c r="K604">
        <f>+DB!L604</f>
        <v>0</v>
      </c>
      <c r="L604" t="str">
        <f t="shared" si="28"/>
        <v/>
      </c>
      <c r="M604" t="str">
        <f>+IF(LEFT(DB!M604,3)="13/","CAC","MAD")</f>
        <v>MAD</v>
      </c>
      <c r="N604" t="str">
        <f>+RIGHT(DB!M604,6)</f>
        <v/>
      </c>
      <c r="O604">
        <v>95</v>
      </c>
      <c r="P604">
        <v>5</v>
      </c>
      <c r="Q604">
        <f>+DB!AB604</f>
        <v>0</v>
      </c>
      <c r="R604">
        <f>+DB!K604</f>
        <v>0</v>
      </c>
      <c r="S604">
        <f>+DB!F604</f>
        <v>0</v>
      </c>
      <c r="T604">
        <f>+IF(DB!F604="AAAC-35",1,3)</f>
        <v>3</v>
      </c>
      <c r="U604">
        <f>+DB!R604</f>
        <v>0</v>
      </c>
      <c r="V604">
        <f>+IF(DB!P604="1RI",1,0)+IF(DB!P604="2RI",2,0)</f>
        <v>0</v>
      </c>
      <c r="W604">
        <f>+IF(DB!P604="1RV",1,0)+IF(DB!P604="2RV",2,0)</f>
        <v>0</v>
      </c>
      <c r="X604">
        <f>+IF(DB!P604="RYI",1,0)</f>
        <v>0</v>
      </c>
      <c r="Y604">
        <f>+IF(DB!P604="RYV",1,0)</f>
        <v>0</v>
      </c>
      <c r="Z604">
        <f>+DB!U604</f>
        <v>0</v>
      </c>
      <c r="AA604">
        <f>+IF(DB!F604="AAAC-35",19.5,33)</f>
        <v>33</v>
      </c>
      <c r="AB604">
        <f>+DB!V604</f>
        <v>0</v>
      </c>
      <c r="AC604" t="str">
        <f t="shared" si="29"/>
        <v>56-4</v>
      </c>
      <c r="AD604" s="21" t="s">
        <v>72</v>
      </c>
      <c r="AE604">
        <f>+DB!X604</f>
        <v>0</v>
      </c>
      <c r="AF604" s="22">
        <f>+DB!Y604</f>
        <v>0</v>
      </c>
      <c r="AG604">
        <f>+DB!AK604</f>
        <v>0</v>
      </c>
    </row>
    <row r="605" spans="1:33" x14ac:dyDescent="0.2">
      <c r="A605">
        <f>+DB!C605</f>
        <v>0</v>
      </c>
      <c r="B605">
        <f>+DB!D605</f>
        <v>0</v>
      </c>
      <c r="C605">
        <f>+DB!E605</f>
        <v>0</v>
      </c>
      <c r="D605">
        <f t="shared" si="27"/>
        <v>0</v>
      </c>
      <c r="E605">
        <f>+DB!G605</f>
        <v>0</v>
      </c>
      <c r="F605">
        <f>+DB!H605</f>
        <v>0</v>
      </c>
      <c r="G605">
        <f>+DB!N605</f>
        <v>0</v>
      </c>
      <c r="H605">
        <f>+DB!O605</f>
        <v>0</v>
      </c>
      <c r="I605">
        <f>+DB!I605</f>
        <v>0</v>
      </c>
      <c r="J605">
        <f>+DB!J605</f>
        <v>0</v>
      </c>
      <c r="K605">
        <f>+DB!L605</f>
        <v>0</v>
      </c>
      <c r="L605" t="str">
        <f t="shared" si="28"/>
        <v/>
      </c>
      <c r="M605" t="str">
        <f>+IF(LEFT(DB!M605,3)="13/","CAC","MAD")</f>
        <v>MAD</v>
      </c>
      <c r="N605" t="str">
        <f>+RIGHT(DB!M605,6)</f>
        <v/>
      </c>
      <c r="O605">
        <v>95</v>
      </c>
      <c r="P605">
        <v>5</v>
      </c>
      <c r="Q605">
        <f>+DB!AB605</f>
        <v>0</v>
      </c>
      <c r="R605">
        <f>+DB!K605</f>
        <v>0</v>
      </c>
      <c r="S605">
        <f>+DB!F605</f>
        <v>0</v>
      </c>
      <c r="T605">
        <f>+IF(DB!F605="AAAC-35",1,3)</f>
        <v>3</v>
      </c>
      <c r="U605">
        <f>+DB!R605</f>
        <v>0</v>
      </c>
      <c r="V605">
        <f>+IF(DB!P605="1RI",1,0)+IF(DB!P605="2RI",2,0)</f>
        <v>0</v>
      </c>
      <c r="W605">
        <f>+IF(DB!P605="1RV",1,0)+IF(DB!P605="2RV",2,0)</f>
        <v>0</v>
      </c>
      <c r="X605">
        <f>+IF(DB!P605="RYI",1,0)</f>
        <v>0</v>
      </c>
      <c r="Y605">
        <f>+IF(DB!P605="RYV",1,0)</f>
        <v>0</v>
      </c>
      <c r="Z605">
        <f>+DB!U605</f>
        <v>0</v>
      </c>
      <c r="AA605">
        <f>+IF(DB!F605="AAAC-35",19.5,33)</f>
        <v>33</v>
      </c>
      <c r="AB605">
        <f>+DB!V605</f>
        <v>0</v>
      </c>
      <c r="AC605" t="str">
        <f t="shared" si="29"/>
        <v>56-4</v>
      </c>
      <c r="AD605" s="21" t="s">
        <v>72</v>
      </c>
      <c r="AE605">
        <f>+DB!X605</f>
        <v>0</v>
      </c>
      <c r="AF605" s="22">
        <f>+DB!Y605</f>
        <v>0</v>
      </c>
      <c r="AG605">
        <f>+DB!AK605</f>
        <v>0</v>
      </c>
    </row>
    <row r="606" spans="1:33" x14ac:dyDescent="0.2">
      <c r="A606">
        <f>+DB!C606</f>
        <v>0</v>
      </c>
      <c r="B606">
        <f>+DB!D606</f>
        <v>0</v>
      </c>
      <c r="C606">
        <f>+DB!E606</f>
        <v>0</v>
      </c>
      <c r="D606">
        <f t="shared" si="27"/>
        <v>0</v>
      </c>
      <c r="E606">
        <f>+DB!G606</f>
        <v>0</v>
      </c>
      <c r="F606">
        <f>+DB!H606</f>
        <v>0</v>
      </c>
      <c r="G606">
        <f>+DB!N606</f>
        <v>0</v>
      </c>
      <c r="H606">
        <f>+DB!O606</f>
        <v>0</v>
      </c>
      <c r="I606">
        <f>+DB!I606</f>
        <v>0</v>
      </c>
      <c r="J606">
        <f>+DB!J606</f>
        <v>0</v>
      </c>
      <c r="K606">
        <f>+DB!L606</f>
        <v>0</v>
      </c>
      <c r="L606" t="str">
        <f t="shared" si="28"/>
        <v/>
      </c>
      <c r="M606" t="str">
        <f>+IF(LEFT(DB!M606,3)="13/","CAC","MAD")</f>
        <v>MAD</v>
      </c>
      <c r="N606" t="str">
        <f>+RIGHT(DB!M606,6)</f>
        <v/>
      </c>
      <c r="O606">
        <v>95</v>
      </c>
      <c r="P606">
        <v>5</v>
      </c>
      <c r="Q606">
        <f>+DB!AB606</f>
        <v>0</v>
      </c>
      <c r="R606">
        <f>+DB!K606</f>
        <v>0</v>
      </c>
      <c r="S606">
        <f>+DB!F606</f>
        <v>0</v>
      </c>
      <c r="T606">
        <f>+IF(DB!F606="AAAC-35",1,3)</f>
        <v>3</v>
      </c>
      <c r="U606">
        <f>+DB!R606</f>
        <v>0</v>
      </c>
      <c r="V606">
        <f>+IF(DB!P606="1RI",1,0)+IF(DB!P606="2RI",2,0)</f>
        <v>0</v>
      </c>
      <c r="W606">
        <f>+IF(DB!P606="1RV",1,0)+IF(DB!P606="2RV",2,0)</f>
        <v>0</v>
      </c>
      <c r="X606">
        <f>+IF(DB!P606="RYI",1,0)</f>
        <v>0</v>
      </c>
      <c r="Y606">
        <f>+IF(DB!P606="RYV",1,0)</f>
        <v>0</v>
      </c>
      <c r="Z606">
        <f>+DB!U606</f>
        <v>0</v>
      </c>
      <c r="AA606">
        <f>+IF(DB!F606="AAAC-35",19.5,33)</f>
        <v>33</v>
      </c>
      <c r="AB606">
        <f>+DB!V606</f>
        <v>0</v>
      </c>
      <c r="AC606" t="str">
        <f t="shared" si="29"/>
        <v>56-4</v>
      </c>
      <c r="AD606" s="21" t="s">
        <v>72</v>
      </c>
      <c r="AE606">
        <f>+DB!X606</f>
        <v>0</v>
      </c>
      <c r="AF606" s="22">
        <f>+DB!Y606</f>
        <v>0</v>
      </c>
      <c r="AG606">
        <f>+DB!AK606</f>
        <v>0</v>
      </c>
    </row>
    <row r="607" spans="1:33" x14ac:dyDescent="0.2">
      <c r="A607">
        <f>+DB!C607</f>
        <v>0</v>
      </c>
      <c r="B607">
        <f>+DB!D607</f>
        <v>0</v>
      </c>
      <c r="C607">
        <f>+DB!E607</f>
        <v>0</v>
      </c>
      <c r="D607">
        <f t="shared" si="27"/>
        <v>0</v>
      </c>
      <c r="E607">
        <f>+DB!G607</f>
        <v>0</v>
      </c>
      <c r="F607">
        <f>+DB!H607</f>
        <v>0</v>
      </c>
      <c r="G607">
        <f>+DB!N607</f>
        <v>0</v>
      </c>
      <c r="H607">
        <f>+DB!O607</f>
        <v>0</v>
      </c>
      <c r="I607">
        <f>+DB!I607</f>
        <v>0</v>
      </c>
      <c r="J607">
        <f>+DB!J607</f>
        <v>0</v>
      </c>
      <c r="K607">
        <f>+DB!L607</f>
        <v>0</v>
      </c>
      <c r="L607" t="str">
        <f t="shared" si="28"/>
        <v/>
      </c>
      <c r="M607" t="str">
        <f>+IF(LEFT(DB!M607,3)="13/","CAC","MAD")</f>
        <v>MAD</v>
      </c>
      <c r="N607" t="str">
        <f>+RIGHT(DB!M607,6)</f>
        <v/>
      </c>
      <c r="O607">
        <v>95</v>
      </c>
      <c r="P607">
        <v>5</v>
      </c>
      <c r="Q607">
        <f>+DB!AB607</f>
        <v>0</v>
      </c>
      <c r="R607">
        <f>+DB!K607</f>
        <v>0</v>
      </c>
      <c r="S607">
        <f>+DB!F607</f>
        <v>0</v>
      </c>
      <c r="T607">
        <f>+IF(DB!F607="AAAC-35",1,3)</f>
        <v>3</v>
      </c>
      <c r="U607">
        <f>+DB!R607</f>
        <v>0</v>
      </c>
      <c r="V607">
        <f>+IF(DB!P607="1RI",1,0)+IF(DB!P607="2RI",2,0)</f>
        <v>0</v>
      </c>
      <c r="W607">
        <f>+IF(DB!P607="1RV",1,0)+IF(DB!P607="2RV",2,0)</f>
        <v>0</v>
      </c>
      <c r="X607">
        <f>+IF(DB!P607="RYI",1,0)</f>
        <v>0</v>
      </c>
      <c r="Y607">
        <f>+IF(DB!P607="RYV",1,0)</f>
        <v>0</v>
      </c>
      <c r="Z607">
        <f>+DB!U607</f>
        <v>0</v>
      </c>
      <c r="AA607">
        <f>+IF(DB!F607="AAAC-35",19.5,33)</f>
        <v>33</v>
      </c>
      <c r="AB607">
        <f>+DB!V607</f>
        <v>0</v>
      </c>
      <c r="AC607" t="str">
        <f t="shared" si="29"/>
        <v>56-4</v>
      </c>
      <c r="AD607" s="21" t="s">
        <v>72</v>
      </c>
      <c r="AE607">
        <f>+DB!X607</f>
        <v>0</v>
      </c>
      <c r="AF607" s="22">
        <f>+DB!Y607</f>
        <v>0</v>
      </c>
      <c r="AG607">
        <f>+DB!AK607</f>
        <v>0</v>
      </c>
    </row>
    <row r="608" spans="1:33" x14ac:dyDescent="0.2">
      <c r="A608">
        <f>+DB!C608</f>
        <v>0</v>
      </c>
      <c r="B608">
        <f>+DB!D608</f>
        <v>0</v>
      </c>
      <c r="C608">
        <f>+DB!E608</f>
        <v>0</v>
      </c>
      <c r="D608">
        <f t="shared" si="27"/>
        <v>0</v>
      </c>
      <c r="E608">
        <f>+DB!G608</f>
        <v>0</v>
      </c>
      <c r="F608">
        <f>+DB!H608</f>
        <v>0</v>
      </c>
      <c r="G608">
        <f>+DB!N608</f>
        <v>0</v>
      </c>
      <c r="H608">
        <f>+DB!O608</f>
        <v>0</v>
      </c>
      <c r="I608">
        <f>+DB!I608</f>
        <v>0</v>
      </c>
      <c r="J608">
        <f>+DB!J608</f>
        <v>0</v>
      </c>
      <c r="K608">
        <f>+DB!L608</f>
        <v>0</v>
      </c>
      <c r="L608" t="str">
        <f t="shared" si="28"/>
        <v/>
      </c>
      <c r="M608" t="str">
        <f>+IF(LEFT(DB!M608,3)="13/","CAC","MAD")</f>
        <v>MAD</v>
      </c>
      <c r="N608" t="str">
        <f>+RIGHT(DB!M608,6)</f>
        <v/>
      </c>
      <c r="O608">
        <v>95</v>
      </c>
      <c r="P608">
        <v>5</v>
      </c>
      <c r="Q608">
        <f>+DB!AB608</f>
        <v>0</v>
      </c>
      <c r="R608">
        <f>+DB!K608</f>
        <v>0</v>
      </c>
      <c r="S608">
        <f>+DB!F608</f>
        <v>0</v>
      </c>
      <c r="T608">
        <f>+IF(DB!F608="AAAC-35",1,3)</f>
        <v>3</v>
      </c>
      <c r="U608">
        <f>+DB!R608</f>
        <v>0</v>
      </c>
      <c r="V608">
        <f>+IF(DB!P608="1RI",1,0)+IF(DB!P608="2RI",2,0)</f>
        <v>0</v>
      </c>
      <c r="W608">
        <f>+IF(DB!P608="1RV",1,0)+IF(DB!P608="2RV",2,0)</f>
        <v>0</v>
      </c>
      <c r="X608">
        <f>+IF(DB!P608="RYI",1,0)</f>
        <v>0</v>
      </c>
      <c r="Y608">
        <f>+IF(DB!P608="RYV",1,0)</f>
        <v>0</v>
      </c>
      <c r="Z608">
        <f>+DB!U608</f>
        <v>0</v>
      </c>
      <c r="AA608">
        <f>+IF(DB!F608="AAAC-35",19.5,33)</f>
        <v>33</v>
      </c>
      <c r="AB608">
        <f>+DB!V608</f>
        <v>0</v>
      </c>
      <c r="AC608" t="str">
        <f t="shared" si="29"/>
        <v>56-4</v>
      </c>
      <c r="AD608" s="21" t="s">
        <v>72</v>
      </c>
      <c r="AE608">
        <f>+DB!X608</f>
        <v>0</v>
      </c>
      <c r="AF608" s="22">
        <f>+DB!Y608</f>
        <v>0</v>
      </c>
      <c r="AG608">
        <f>+DB!AK608</f>
        <v>0</v>
      </c>
    </row>
    <row r="609" spans="1:33" x14ac:dyDescent="0.2">
      <c r="A609">
        <f>+DB!C609</f>
        <v>0</v>
      </c>
      <c r="B609">
        <f>+DB!D609</f>
        <v>0</v>
      </c>
      <c r="C609">
        <f>+DB!E609</f>
        <v>0</v>
      </c>
      <c r="D609">
        <f t="shared" si="27"/>
        <v>0</v>
      </c>
      <c r="E609">
        <f>+DB!G609</f>
        <v>0</v>
      </c>
      <c r="F609">
        <f>+DB!H609</f>
        <v>0</v>
      </c>
      <c r="G609">
        <f>+DB!N609</f>
        <v>0</v>
      </c>
      <c r="H609">
        <f>+DB!O609</f>
        <v>0</v>
      </c>
      <c r="I609">
        <f>+DB!I609</f>
        <v>0</v>
      </c>
      <c r="J609">
        <f>+DB!J609</f>
        <v>0</v>
      </c>
      <c r="K609">
        <f>+DB!L609</f>
        <v>0</v>
      </c>
      <c r="L609" t="str">
        <f t="shared" si="28"/>
        <v/>
      </c>
      <c r="M609" t="str">
        <f>+IF(LEFT(DB!M609,3)="13/","CAC","MAD")</f>
        <v>MAD</v>
      </c>
      <c r="N609" t="str">
        <f>+RIGHT(DB!M609,6)</f>
        <v/>
      </c>
      <c r="O609">
        <v>95</v>
      </c>
      <c r="P609">
        <v>5</v>
      </c>
      <c r="Q609">
        <f>+DB!AB609</f>
        <v>0</v>
      </c>
      <c r="R609">
        <f>+DB!K609</f>
        <v>0</v>
      </c>
      <c r="S609">
        <f>+DB!F609</f>
        <v>0</v>
      </c>
      <c r="T609">
        <f>+IF(DB!F609="AAAC-35",1,3)</f>
        <v>3</v>
      </c>
      <c r="U609">
        <f>+DB!R609</f>
        <v>0</v>
      </c>
      <c r="V609">
        <f>+IF(DB!P609="1RI",1,0)+IF(DB!P609="2RI",2,0)</f>
        <v>0</v>
      </c>
      <c r="W609">
        <f>+IF(DB!P609="1RV",1,0)+IF(DB!P609="2RV",2,0)</f>
        <v>0</v>
      </c>
      <c r="X609">
        <f>+IF(DB!P609="RYI",1,0)</f>
        <v>0</v>
      </c>
      <c r="Y609">
        <f>+IF(DB!P609="RYV",1,0)</f>
        <v>0</v>
      </c>
      <c r="Z609">
        <f>+DB!U609</f>
        <v>0</v>
      </c>
      <c r="AA609">
        <f>+IF(DB!F609="AAAC-35",19.5,33)</f>
        <v>33</v>
      </c>
      <c r="AB609">
        <f>+DB!V609</f>
        <v>0</v>
      </c>
      <c r="AC609" t="str">
        <f t="shared" si="29"/>
        <v>56-4</v>
      </c>
      <c r="AD609" s="21" t="s">
        <v>72</v>
      </c>
      <c r="AE609">
        <f>+DB!X609</f>
        <v>0</v>
      </c>
      <c r="AF609" s="22">
        <f>+DB!Y609</f>
        <v>0</v>
      </c>
      <c r="AG609">
        <f>+DB!AK609</f>
        <v>0</v>
      </c>
    </row>
    <row r="610" spans="1:33" x14ac:dyDescent="0.2">
      <c r="A610">
        <f>+DB!C610</f>
        <v>0</v>
      </c>
      <c r="B610">
        <f>+DB!D610</f>
        <v>0</v>
      </c>
      <c r="C610">
        <f>+DB!E610</f>
        <v>0</v>
      </c>
      <c r="D610">
        <f t="shared" si="27"/>
        <v>0</v>
      </c>
      <c r="E610">
        <f>+DB!G610</f>
        <v>0</v>
      </c>
      <c r="F610">
        <f>+DB!H610</f>
        <v>0</v>
      </c>
      <c r="G610">
        <f>+DB!N610</f>
        <v>0</v>
      </c>
      <c r="H610">
        <f>+DB!O610</f>
        <v>0</v>
      </c>
      <c r="I610">
        <f>+DB!I610</f>
        <v>0</v>
      </c>
      <c r="J610">
        <f>+DB!J610</f>
        <v>0</v>
      </c>
      <c r="K610">
        <f>+DB!L610</f>
        <v>0</v>
      </c>
      <c r="L610" t="str">
        <f t="shared" si="28"/>
        <v/>
      </c>
      <c r="M610" t="str">
        <f>+IF(LEFT(DB!M610,3)="13/","CAC","MAD")</f>
        <v>MAD</v>
      </c>
      <c r="N610" t="str">
        <f>+RIGHT(DB!M610,6)</f>
        <v/>
      </c>
      <c r="O610">
        <v>95</v>
      </c>
      <c r="P610">
        <v>5</v>
      </c>
      <c r="Q610">
        <f>+DB!AB610</f>
        <v>0</v>
      </c>
      <c r="R610">
        <f>+DB!K610</f>
        <v>0</v>
      </c>
      <c r="S610">
        <f>+DB!F610</f>
        <v>0</v>
      </c>
      <c r="T610">
        <f>+IF(DB!F610="AAAC-35",1,3)</f>
        <v>3</v>
      </c>
      <c r="U610">
        <f>+DB!R610</f>
        <v>0</v>
      </c>
      <c r="V610">
        <f>+IF(DB!P610="1RI",1,0)+IF(DB!P610="2RI",2,0)</f>
        <v>0</v>
      </c>
      <c r="W610">
        <f>+IF(DB!P610="1RV",1,0)+IF(DB!P610="2RV",2,0)</f>
        <v>0</v>
      </c>
      <c r="X610">
        <f>+IF(DB!P610="RYI",1,0)</f>
        <v>0</v>
      </c>
      <c r="Y610">
        <f>+IF(DB!P610="RYV",1,0)</f>
        <v>0</v>
      </c>
      <c r="Z610">
        <f>+DB!U610</f>
        <v>0</v>
      </c>
      <c r="AA610">
        <f>+IF(DB!F610="AAAC-35",19.5,33)</f>
        <v>33</v>
      </c>
      <c r="AB610">
        <f>+DB!V610</f>
        <v>0</v>
      </c>
      <c r="AC610" t="str">
        <f t="shared" si="29"/>
        <v>56-4</v>
      </c>
      <c r="AD610" s="21" t="s">
        <v>72</v>
      </c>
      <c r="AE610">
        <f>+DB!X610</f>
        <v>0</v>
      </c>
      <c r="AF610" s="22">
        <f>+DB!Y610</f>
        <v>0</v>
      </c>
      <c r="AG610">
        <f>+DB!AK610</f>
        <v>0</v>
      </c>
    </row>
    <row r="611" spans="1:33" x14ac:dyDescent="0.2">
      <c r="A611">
        <f>+DB!C611</f>
        <v>0</v>
      </c>
      <c r="B611">
        <f>+DB!D611</f>
        <v>0</v>
      </c>
      <c r="C611">
        <f>+DB!E611</f>
        <v>0</v>
      </c>
      <c r="D611">
        <f t="shared" si="27"/>
        <v>0</v>
      </c>
      <c r="E611">
        <f>+DB!G611</f>
        <v>0</v>
      </c>
      <c r="F611">
        <f>+DB!H611</f>
        <v>0</v>
      </c>
      <c r="G611">
        <f>+DB!N611</f>
        <v>0</v>
      </c>
      <c r="H611">
        <f>+DB!O611</f>
        <v>0</v>
      </c>
      <c r="I611">
        <f>+DB!I611</f>
        <v>0</v>
      </c>
      <c r="J611">
        <f>+DB!J611</f>
        <v>0</v>
      </c>
      <c r="K611">
        <f>+DB!L611</f>
        <v>0</v>
      </c>
      <c r="L611" t="str">
        <f t="shared" si="28"/>
        <v/>
      </c>
      <c r="M611" t="str">
        <f>+IF(LEFT(DB!M611,3)="13/","CAC","MAD")</f>
        <v>MAD</v>
      </c>
      <c r="N611" t="str">
        <f>+RIGHT(DB!M611,6)</f>
        <v/>
      </c>
      <c r="O611">
        <v>95</v>
      </c>
      <c r="P611">
        <v>5</v>
      </c>
      <c r="Q611">
        <f>+DB!AB611</f>
        <v>0</v>
      </c>
      <c r="R611">
        <f>+DB!K611</f>
        <v>0</v>
      </c>
      <c r="S611">
        <f>+DB!F611</f>
        <v>0</v>
      </c>
      <c r="T611">
        <f>+IF(DB!F611="AAAC-35",1,3)</f>
        <v>3</v>
      </c>
      <c r="U611">
        <f>+DB!R611</f>
        <v>0</v>
      </c>
      <c r="V611">
        <f>+IF(DB!P611="1RI",1,0)+IF(DB!P611="2RI",2,0)</f>
        <v>0</v>
      </c>
      <c r="W611">
        <f>+IF(DB!P611="1RV",1,0)+IF(DB!P611="2RV",2,0)</f>
        <v>0</v>
      </c>
      <c r="X611">
        <f>+IF(DB!P611="RYI",1,0)</f>
        <v>0</v>
      </c>
      <c r="Y611">
        <f>+IF(DB!P611="RYV",1,0)</f>
        <v>0</v>
      </c>
      <c r="Z611">
        <f>+DB!U611</f>
        <v>0</v>
      </c>
      <c r="AA611">
        <f>+IF(DB!F611="AAAC-35",19.5,33)</f>
        <v>33</v>
      </c>
      <c r="AB611">
        <f>+DB!V611</f>
        <v>0</v>
      </c>
      <c r="AC611" t="str">
        <f t="shared" si="29"/>
        <v>56-4</v>
      </c>
      <c r="AD611" s="21" t="s">
        <v>72</v>
      </c>
      <c r="AE611">
        <f>+DB!X611</f>
        <v>0</v>
      </c>
      <c r="AF611" s="22">
        <f>+DB!Y611</f>
        <v>0</v>
      </c>
      <c r="AG611">
        <f>+DB!AK611</f>
        <v>0</v>
      </c>
    </row>
    <row r="612" spans="1:33" x14ac:dyDescent="0.2">
      <c r="A612">
        <f>+DB!C612</f>
        <v>0</v>
      </c>
      <c r="B612">
        <f>+DB!D612</f>
        <v>0</v>
      </c>
      <c r="C612">
        <f>+DB!E612</f>
        <v>0</v>
      </c>
      <c r="D612">
        <f t="shared" si="27"/>
        <v>0</v>
      </c>
      <c r="E612">
        <f>+DB!G612</f>
        <v>0</v>
      </c>
      <c r="F612">
        <f>+DB!H612</f>
        <v>0</v>
      </c>
      <c r="G612">
        <f>+DB!N612</f>
        <v>0</v>
      </c>
      <c r="H612">
        <f>+DB!O612</f>
        <v>0</v>
      </c>
      <c r="I612">
        <f>+DB!I612</f>
        <v>0</v>
      </c>
      <c r="J612">
        <f>+DB!J612</f>
        <v>0</v>
      </c>
      <c r="K612">
        <f>+DB!L612</f>
        <v>0</v>
      </c>
      <c r="L612" t="str">
        <f t="shared" si="28"/>
        <v/>
      </c>
      <c r="M612" t="str">
        <f>+IF(LEFT(DB!M612,3)="13/","CAC","MAD")</f>
        <v>MAD</v>
      </c>
      <c r="N612" t="str">
        <f>+RIGHT(DB!M612,6)</f>
        <v/>
      </c>
      <c r="O612">
        <v>95</v>
      </c>
      <c r="P612">
        <v>5</v>
      </c>
      <c r="Q612">
        <f>+DB!AB612</f>
        <v>0</v>
      </c>
      <c r="R612">
        <f>+DB!K612</f>
        <v>0</v>
      </c>
      <c r="S612">
        <f>+DB!F612</f>
        <v>0</v>
      </c>
      <c r="T612">
        <f>+IF(DB!F612="AAAC-35",1,3)</f>
        <v>3</v>
      </c>
      <c r="U612">
        <f>+DB!R612</f>
        <v>0</v>
      </c>
      <c r="V612">
        <f>+IF(DB!P612="1RI",1,0)+IF(DB!P612="2RI",2,0)</f>
        <v>0</v>
      </c>
      <c r="W612">
        <f>+IF(DB!P612="1RV",1,0)+IF(DB!P612="2RV",2,0)</f>
        <v>0</v>
      </c>
      <c r="X612">
        <f>+IF(DB!P612="RYI",1,0)</f>
        <v>0</v>
      </c>
      <c r="Y612">
        <f>+IF(DB!P612="RYV",1,0)</f>
        <v>0</v>
      </c>
      <c r="Z612">
        <f>+DB!U612</f>
        <v>0</v>
      </c>
      <c r="AA612">
        <f>+IF(DB!F612="AAAC-35",19.5,33)</f>
        <v>33</v>
      </c>
      <c r="AB612">
        <f>+DB!V612</f>
        <v>0</v>
      </c>
      <c r="AC612" t="str">
        <f t="shared" si="29"/>
        <v>56-4</v>
      </c>
      <c r="AD612" s="21" t="s">
        <v>72</v>
      </c>
      <c r="AE612">
        <f>+DB!X612</f>
        <v>0</v>
      </c>
      <c r="AF612" s="22">
        <f>+DB!Y612</f>
        <v>0</v>
      </c>
      <c r="AG612">
        <f>+DB!AK612</f>
        <v>0</v>
      </c>
    </row>
    <row r="613" spans="1:33" x14ac:dyDescent="0.2">
      <c r="A613">
        <f>+DB!C613</f>
        <v>0</v>
      </c>
      <c r="B613">
        <f>+DB!D613</f>
        <v>0</v>
      </c>
      <c r="C613">
        <f>+DB!E613</f>
        <v>0</v>
      </c>
      <c r="D613">
        <f t="shared" si="27"/>
        <v>0</v>
      </c>
      <c r="E613">
        <f>+DB!G613</f>
        <v>0</v>
      </c>
      <c r="F613">
        <f>+DB!H613</f>
        <v>0</v>
      </c>
      <c r="G613">
        <f>+DB!N613</f>
        <v>0</v>
      </c>
      <c r="H613">
        <f>+DB!O613</f>
        <v>0</v>
      </c>
      <c r="I613">
        <f>+DB!I613</f>
        <v>0</v>
      </c>
      <c r="J613">
        <f>+DB!J613</f>
        <v>0</v>
      </c>
      <c r="K613">
        <f>+DB!L613</f>
        <v>0</v>
      </c>
      <c r="L613" t="str">
        <f t="shared" si="28"/>
        <v/>
      </c>
      <c r="M613" t="str">
        <f>+IF(LEFT(DB!M613,3)="13/","CAC","MAD")</f>
        <v>MAD</v>
      </c>
      <c r="N613" t="str">
        <f>+RIGHT(DB!M613,6)</f>
        <v/>
      </c>
      <c r="O613">
        <v>95</v>
      </c>
      <c r="P613">
        <v>5</v>
      </c>
      <c r="Q613">
        <f>+DB!AB613</f>
        <v>0</v>
      </c>
      <c r="R613">
        <f>+DB!K613</f>
        <v>0</v>
      </c>
      <c r="S613">
        <f>+DB!F613</f>
        <v>0</v>
      </c>
      <c r="T613">
        <f>+IF(DB!F613="AAAC-35",1,3)</f>
        <v>3</v>
      </c>
      <c r="U613">
        <f>+DB!R613</f>
        <v>0</v>
      </c>
      <c r="V613">
        <f>+IF(DB!P613="1RI",1,0)+IF(DB!P613="2RI",2,0)</f>
        <v>0</v>
      </c>
      <c r="W613">
        <f>+IF(DB!P613="1RV",1,0)+IF(DB!P613="2RV",2,0)</f>
        <v>0</v>
      </c>
      <c r="X613">
        <f>+IF(DB!P613="RYI",1,0)</f>
        <v>0</v>
      </c>
      <c r="Y613">
        <f>+IF(DB!P613="RYV",1,0)</f>
        <v>0</v>
      </c>
      <c r="Z613">
        <f>+DB!U613</f>
        <v>0</v>
      </c>
      <c r="AA613">
        <f>+IF(DB!F613="AAAC-35",19.5,33)</f>
        <v>33</v>
      </c>
      <c r="AB613">
        <f>+DB!V613</f>
        <v>0</v>
      </c>
      <c r="AC613" t="str">
        <f t="shared" si="29"/>
        <v>56-4</v>
      </c>
      <c r="AD613" s="21" t="s">
        <v>72</v>
      </c>
      <c r="AE613">
        <f>+DB!X613</f>
        <v>0</v>
      </c>
      <c r="AF613" s="22">
        <f>+DB!Y613</f>
        <v>0</v>
      </c>
      <c r="AG613">
        <f>+DB!AK613</f>
        <v>0</v>
      </c>
    </row>
    <row r="614" spans="1:33" x14ac:dyDescent="0.2">
      <c r="A614">
        <f>+DB!C614</f>
        <v>0</v>
      </c>
      <c r="B614">
        <f>+DB!D614</f>
        <v>0</v>
      </c>
      <c r="C614">
        <f>+DB!E614</f>
        <v>0</v>
      </c>
      <c r="D614">
        <f t="shared" si="27"/>
        <v>0</v>
      </c>
      <c r="E614">
        <f>+DB!G614</f>
        <v>0</v>
      </c>
      <c r="F614">
        <f>+DB!H614</f>
        <v>0</v>
      </c>
      <c r="G614">
        <f>+DB!N614</f>
        <v>0</v>
      </c>
      <c r="H614">
        <f>+DB!O614</f>
        <v>0</v>
      </c>
      <c r="I614">
        <f>+DB!I614</f>
        <v>0</v>
      </c>
      <c r="J614">
        <f>+DB!J614</f>
        <v>0</v>
      </c>
      <c r="K614">
        <f>+DB!L614</f>
        <v>0</v>
      </c>
      <c r="L614" t="str">
        <f t="shared" si="28"/>
        <v/>
      </c>
      <c r="M614" t="str">
        <f>+IF(LEFT(DB!M614,3)="13/","CAC","MAD")</f>
        <v>MAD</v>
      </c>
      <c r="N614" t="str">
        <f>+RIGHT(DB!M614,6)</f>
        <v/>
      </c>
      <c r="O614">
        <v>95</v>
      </c>
      <c r="P614">
        <v>5</v>
      </c>
      <c r="Q614">
        <f>+DB!AB614</f>
        <v>0</v>
      </c>
      <c r="R614">
        <f>+DB!K614</f>
        <v>0</v>
      </c>
      <c r="S614">
        <f>+DB!F614</f>
        <v>0</v>
      </c>
      <c r="T614">
        <f>+IF(DB!F614="AAAC-35",1,3)</f>
        <v>3</v>
      </c>
      <c r="U614">
        <f>+DB!R614</f>
        <v>0</v>
      </c>
      <c r="V614">
        <f>+IF(DB!P614="1RI",1,0)+IF(DB!P614="2RI",2,0)</f>
        <v>0</v>
      </c>
      <c r="W614">
        <f>+IF(DB!P614="1RV",1,0)+IF(DB!P614="2RV",2,0)</f>
        <v>0</v>
      </c>
      <c r="X614">
        <f>+IF(DB!P614="RYI",1,0)</f>
        <v>0</v>
      </c>
      <c r="Y614">
        <f>+IF(DB!P614="RYV",1,0)</f>
        <v>0</v>
      </c>
      <c r="Z614">
        <f>+DB!U614</f>
        <v>0</v>
      </c>
      <c r="AA614">
        <f>+IF(DB!F614="AAAC-35",19.5,33)</f>
        <v>33</v>
      </c>
      <c r="AB614">
        <f>+DB!V614</f>
        <v>0</v>
      </c>
      <c r="AC614" t="str">
        <f t="shared" si="29"/>
        <v>56-4</v>
      </c>
      <c r="AD614" s="21" t="s">
        <v>72</v>
      </c>
      <c r="AE614">
        <f>+DB!X614</f>
        <v>0</v>
      </c>
      <c r="AF614" s="22">
        <f>+DB!Y614</f>
        <v>0</v>
      </c>
      <c r="AG614">
        <f>+DB!AK614</f>
        <v>0</v>
      </c>
    </row>
    <row r="615" spans="1:33" x14ac:dyDescent="0.2">
      <c r="A615">
        <f>+DB!C615</f>
        <v>0</v>
      </c>
      <c r="B615">
        <f>+DB!D615</f>
        <v>0</v>
      </c>
      <c r="C615">
        <f>+DB!E615</f>
        <v>0</v>
      </c>
      <c r="D615">
        <f t="shared" si="27"/>
        <v>0</v>
      </c>
      <c r="E615">
        <f>+DB!G615</f>
        <v>0</v>
      </c>
      <c r="F615">
        <f>+DB!H615</f>
        <v>0</v>
      </c>
      <c r="G615">
        <f>+DB!N615</f>
        <v>0</v>
      </c>
      <c r="H615">
        <f>+DB!O615</f>
        <v>0</v>
      </c>
      <c r="I615">
        <f>+DB!I615</f>
        <v>0</v>
      </c>
      <c r="J615">
        <f>+DB!J615</f>
        <v>0</v>
      </c>
      <c r="K615">
        <f>+DB!L615</f>
        <v>0</v>
      </c>
      <c r="L615" t="str">
        <f t="shared" si="28"/>
        <v/>
      </c>
      <c r="M615" t="str">
        <f>+IF(LEFT(DB!M615,3)="13/","CAC","MAD")</f>
        <v>MAD</v>
      </c>
      <c r="N615" t="str">
        <f>+RIGHT(DB!M615,6)</f>
        <v/>
      </c>
      <c r="O615">
        <v>95</v>
      </c>
      <c r="P615">
        <v>5</v>
      </c>
      <c r="Q615">
        <f>+DB!AB615</f>
        <v>0</v>
      </c>
      <c r="R615">
        <f>+DB!K615</f>
        <v>0</v>
      </c>
      <c r="S615">
        <f>+DB!F615</f>
        <v>0</v>
      </c>
      <c r="T615">
        <f>+IF(DB!F615="AAAC-35",1,3)</f>
        <v>3</v>
      </c>
      <c r="U615">
        <f>+DB!R615</f>
        <v>0</v>
      </c>
      <c r="V615">
        <f>+IF(DB!P615="1RI",1,0)+IF(DB!P615="2RI",2,0)</f>
        <v>0</v>
      </c>
      <c r="W615">
        <f>+IF(DB!P615="1RV",1,0)+IF(DB!P615="2RV",2,0)</f>
        <v>0</v>
      </c>
      <c r="X615">
        <f>+IF(DB!P615="RYI",1,0)</f>
        <v>0</v>
      </c>
      <c r="Y615">
        <f>+IF(DB!P615="RYV",1,0)</f>
        <v>0</v>
      </c>
      <c r="Z615">
        <f>+DB!U615</f>
        <v>0</v>
      </c>
      <c r="AA615">
        <f>+IF(DB!F615="AAAC-35",19.5,33)</f>
        <v>33</v>
      </c>
      <c r="AB615">
        <f>+DB!V615</f>
        <v>0</v>
      </c>
      <c r="AC615" t="str">
        <f t="shared" si="29"/>
        <v>56-4</v>
      </c>
      <c r="AD615" s="21" t="s">
        <v>72</v>
      </c>
      <c r="AE615">
        <f>+DB!X615</f>
        <v>0</v>
      </c>
      <c r="AF615" s="22">
        <f>+DB!Y615</f>
        <v>0</v>
      </c>
      <c r="AG615">
        <f>+DB!AK615</f>
        <v>0</v>
      </c>
    </row>
    <row r="616" spans="1:33" x14ac:dyDescent="0.2">
      <c r="A616">
        <f>+DB!C616</f>
        <v>0</v>
      </c>
      <c r="B616">
        <f>+DB!D616</f>
        <v>0</v>
      </c>
      <c r="C616">
        <f>+DB!E616</f>
        <v>0</v>
      </c>
      <c r="D616">
        <f t="shared" si="27"/>
        <v>0</v>
      </c>
      <c r="E616">
        <f>+DB!G616</f>
        <v>0</v>
      </c>
      <c r="F616">
        <f>+DB!H616</f>
        <v>0</v>
      </c>
      <c r="G616">
        <f>+DB!N616</f>
        <v>0</v>
      </c>
      <c r="H616">
        <f>+DB!O616</f>
        <v>0</v>
      </c>
      <c r="I616">
        <f>+DB!I616</f>
        <v>0</v>
      </c>
      <c r="J616">
        <f>+DB!J616</f>
        <v>0</v>
      </c>
      <c r="K616">
        <f>+DB!L616</f>
        <v>0</v>
      </c>
      <c r="L616" t="str">
        <f t="shared" si="28"/>
        <v/>
      </c>
      <c r="M616" t="str">
        <f>+IF(LEFT(DB!M616,3)="13/","CAC","MAD")</f>
        <v>MAD</v>
      </c>
      <c r="N616" t="str">
        <f>+RIGHT(DB!M616,6)</f>
        <v/>
      </c>
      <c r="O616">
        <v>95</v>
      </c>
      <c r="P616">
        <v>5</v>
      </c>
      <c r="Q616">
        <f>+DB!AB616</f>
        <v>0</v>
      </c>
      <c r="R616">
        <f>+DB!K616</f>
        <v>0</v>
      </c>
      <c r="S616">
        <f>+DB!F616</f>
        <v>0</v>
      </c>
      <c r="T616">
        <f>+IF(DB!F616="AAAC-35",1,3)</f>
        <v>3</v>
      </c>
      <c r="U616">
        <f>+DB!R616</f>
        <v>0</v>
      </c>
      <c r="V616">
        <f>+IF(DB!P616="1RI",1,0)+IF(DB!P616="2RI",2,0)</f>
        <v>0</v>
      </c>
      <c r="W616">
        <f>+IF(DB!P616="1RV",1,0)+IF(DB!P616="2RV",2,0)</f>
        <v>0</v>
      </c>
      <c r="X616">
        <f>+IF(DB!P616="RYI",1,0)</f>
        <v>0</v>
      </c>
      <c r="Y616">
        <f>+IF(DB!P616="RYV",1,0)</f>
        <v>0</v>
      </c>
      <c r="Z616">
        <f>+DB!U616</f>
        <v>0</v>
      </c>
      <c r="AA616">
        <f>+IF(DB!F616="AAAC-35",19.5,33)</f>
        <v>33</v>
      </c>
      <c r="AB616">
        <f>+DB!V616</f>
        <v>0</v>
      </c>
      <c r="AC616" t="str">
        <f t="shared" si="29"/>
        <v>56-4</v>
      </c>
      <c r="AD616" s="21" t="s">
        <v>72</v>
      </c>
      <c r="AE616">
        <f>+DB!X616</f>
        <v>0</v>
      </c>
      <c r="AF616" s="22">
        <f>+DB!Y616</f>
        <v>0</v>
      </c>
      <c r="AG616">
        <f>+DB!AK616</f>
        <v>0</v>
      </c>
    </row>
    <row r="617" spans="1:33" x14ac:dyDescent="0.2">
      <c r="A617">
        <f>+DB!C617</f>
        <v>0</v>
      </c>
      <c r="B617">
        <f>+DB!D617</f>
        <v>0</v>
      </c>
      <c r="C617">
        <f>+DB!E617</f>
        <v>0</v>
      </c>
      <c r="D617">
        <f t="shared" si="27"/>
        <v>0</v>
      </c>
      <c r="E617">
        <f>+DB!G617</f>
        <v>0</v>
      </c>
      <c r="F617">
        <f>+DB!H617</f>
        <v>0</v>
      </c>
      <c r="G617">
        <f>+DB!N617</f>
        <v>0</v>
      </c>
      <c r="H617">
        <f>+DB!O617</f>
        <v>0</v>
      </c>
      <c r="I617">
        <f>+DB!I617</f>
        <v>0</v>
      </c>
      <c r="J617">
        <f>+DB!J617</f>
        <v>0</v>
      </c>
      <c r="K617">
        <f>+DB!L617</f>
        <v>0</v>
      </c>
      <c r="L617" t="str">
        <f t="shared" si="28"/>
        <v/>
      </c>
      <c r="M617" t="str">
        <f>+IF(LEFT(DB!M617,3)="13/","CAC","MAD")</f>
        <v>MAD</v>
      </c>
      <c r="N617" t="str">
        <f>+RIGHT(DB!M617,6)</f>
        <v/>
      </c>
      <c r="O617">
        <v>95</v>
      </c>
      <c r="P617">
        <v>5</v>
      </c>
      <c r="Q617">
        <f>+DB!AB617</f>
        <v>0</v>
      </c>
      <c r="R617">
        <f>+DB!K617</f>
        <v>0</v>
      </c>
      <c r="S617">
        <f>+DB!F617</f>
        <v>0</v>
      </c>
      <c r="T617">
        <f>+IF(DB!F617="AAAC-35",1,3)</f>
        <v>3</v>
      </c>
      <c r="U617">
        <f>+DB!R617</f>
        <v>0</v>
      </c>
      <c r="V617">
        <f>+IF(DB!P617="1RI",1,0)+IF(DB!P617="2RI",2,0)</f>
        <v>0</v>
      </c>
      <c r="W617">
        <f>+IF(DB!P617="1RV",1,0)+IF(DB!P617="2RV",2,0)</f>
        <v>0</v>
      </c>
      <c r="X617">
        <f>+IF(DB!P617="RYI",1,0)</f>
        <v>0</v>
      </c>
      <c r="Y617">
        <f>+IF(DB!P617="RYV",1,0)</f>
        <v>0</v>
      </c>
      <c r="Z617">
        <f>+DB!U617</f>
        <v>0</v>
      </c>
      <c r="AA617">
        <f>+IF(DB!F617="AAAC-35",19.5,33)</f>
        <v>33</v>
      </c>
      <c r="AB617">
        <f>+DB!V617</f>
        <v>0</v>
      </c>
      <c r="AC617" t="str">
        <f t="shared" si="29"/>
        <v>56-4</v>
      </c>
      <c r="AD617" s="21" t="s">
        <v>72</v>
      </c>
      <c r="AE617">
        <f>+DB!X617</f>
        <v>0</v>
      </c>
      <c r="AF617" s="22">
        <f>+DB!Y617</f>
        <v>0</v>
      </c>
      <c r="AG617">
        <f>+DB!AK617</f>
        <v>0</v>
      </c>
    </row>
    <row r="618" spans="1:33" x14ac:dyDescent="0.2">
      <c r="A618">
        <f>+DB!C618</f>
        <v>0</v>
      </c>
      <c r="B618">
        <f>+DB!D618</f>
        <v>0</v>
      </c>
      <c r="C618">
        <f>+DB!E618</f>
        <v>0</v>
      </c>
      <c r="D618">
        <f t="shared" si="27"/>
        <v>0</v>
      </c>
      <c r="E618">
        <f>+DB!G618</f>
        <v>0</v>
      </c>
      <c r="F618">
        <f>+DB!H618</f>
        <v>0</v>
      </c>
      <c r="G618">
        <f>+DB!N618</f>
        <v>0</v>
      </c>
      <c r="H618">
        <f>+DB!O618</f>
        <v>0</v>
      </c>
      <c r="I618">
        <f>+DB!I618</f>
        <v>0</v>
      </c>
      <c r="J618">
        <f>+DB!J618</f>
        <v>0</v>
      </c>
      <c r="K618">
        <f>+DB!L618</f>
        <v>0</v>
      </c>
      <c r="L618" t="str">
        <f t="shared" si="28"/>
        <v/>
      </c>
      <c r="M618" t="str">
        <f>+IF(LEFT(DB!M618,3)="13/","CAC","MAD")</f>
        <v>MAD</v>
      </c>
      <c r="N618" t="str">
        <f>+RIGHT(DB!M618,6)</f>
        <v/>
      </c>
      <c r="O618">
        <v>95</v>
      </c>
      <c r="P618">
        <v>5</v>
      </c>
      <c r="Q618">
        <f>+DB!AB618</f>
        <v>0</v>
      </c>
      <c r="R618">
        <f>+DB!K618</f>
        <v>0</v>
      </c>
      <c r="S618">
        <f>+DB!F618</f>
        <v>0</v>
      </c>
      <c r="T618">
        <f>+IF(DB!F618="AAAC-35",1,3)</f>
        <v>3</v>
      </c>
      <c r="U618">
        <f>+DB!R618</f>
        <v>0</v>
      </c>
      <c r="V618">
        <f>+IF(DB!P618="1RI",1,0)+IF(DB!P618="2RI",2,0)</f>
        <v>0</v>
      </c>
      <c r="W618">
        <f>+IF(DB!P618="1RV",1,0)+IF(DB!P618="2RV",2,0)</f>
        <v>0</v>
      </c>
      <c r="X618">
        <f>+IF(DB!P618="RYI",1,0)</f>
        <v>0</v>
      </c>
      <c r="Y618">
        <f>+IF(DB!P618="RYV",1,0)</f>
        <v>0</v>
      </c>
      <c r="Z618">
        <f>+DB!U618</f>
        <v>0</v>
      </c>
      <c r="AA618">
        <f>+IF(DB!F618="AAAC-35",19.5,33)</f>
        <v>33</v>
      </c>
      <c r="AB618">
        <f>+DB!V618</f>
        <v>0</v>
      </c>
      <c r="AC618" t="str">
        <f t="shared" si="29"/>
        <v>56-4</v>
      </c>
      <c r="AD618" s="21" t="s">
        <v>72</v>
      </c>
      <c r="AE618">
        <f>+DB!X618</f>
        <v>0</v>
      </c>
      <c r="AF618" s="22">
        <f>+DB!Y618</f>
        <v>0</v>
      </c>
      <c r="AG618">
        <f>+DB!AK618</f>
        <v>0</v>
      </c>
    </row>
    <row r="619" spans="1:33" x14ac:dyDescent="0.2">
      <c r="A619">
        <f>+DB!C619</f>
        <v>0</v>
      </c>
      <c r="B619">
        <f>+DB!D619</f>
        <v>0</v>
      </c>
      <c r="C619">
        <f>+DB!E619</f>
        <v>0</v>
      </c>
      <c r="D619">
        <f t="shared" si="27"/>
        <v>0</v>
      </c>
      <c r="E619">
        <f>+DB!G619</f>
        <v>0</v>
      </c>
      <c r="F619">
        <f>+DB!H619</f>
        <v>0</v>
      </c>
      <c r="G619">
        <f>+DB!N619</f>
        <v>0</v>
      </c>
      <c r="H619">
        <f>+DB!O619</f>
        <v>0</v>
      </c>
      <c r="I619">
        <f>+DB!I619</f>
        <v>0</v>
      </c>
      <c r="J619">
        <f>+DB!J619</f>
        <v>0</v>
      </c>
      <c r="K619">
        <f>+DB!L619</f>
        <v>0</v>
      </c>
      <c r="L619" t="str">
        <f t="shared" si="28"/>
        <v/>
      </c>
      <c r="M619" t="str">
        <f>+IF(LEFT(DB!M619,3)="13/","CAC","MAD")</f>
        <v>MAD</v>
      </c>
      <c r="N619" t="str">
        <f>+RIGHT(DB!M619,6)</f>
        <v/>
      </c>
      <c r="O619">
        <v>95</v>
      </c>
      <c r="P619">
        <v>5</v>
      </c>
      <c r="Q619">
        <f>+DB!AB619</f>
        <v>0</v>
      </c>
      <c r="R619">
        <f>+DB!K619</f>
        <v>0</v>
      </c>
      <c r="S619">
        <f>+DB!F619</f>
        <v>0</v>
      </c>
      <c r="T619">
        <f>+IF(DB!F619="AAAC-35",1,3)</f>
        <v>3</v>
      </c>
      <c r="U619">
        <f>+DB!R619</f>
        <v>0</v>
      </c>
      <c r="V619">
        <f>+IF(DB!P619="1RI",1,0)+IF(DB!P619="2RI",2,0)</f>
        <v>0</v>
      </c>
      <c r="W619">
        <f>+IF(DB!P619="1RV",1,0)+IF(DB!P619="2RV",2,0)</f>
        <v>0</v>
      </c>
      <c r="X619">
        <f>+IF(DB!P619="RYI",1,0)</f>
        <v>0</v>
      </c>
      <c r="Y619">
        <f>+IF(DB!P619="RYV",1,0)</f>
        <v>0</v>
      </c>
      <c r="Z619">
        <f>+DB!U619</f>
        <v>0</v>
      </c>
      <c r="AA619">
        <f>+IF(DB!F619="AAAC-35",19.5,33)</f>
        <v>33</v>
      </c>
      <c r="AB619">
        <f>+DB!V619</f>
        <v>0</v>
      </c>
      <c r="AC619" t="str">
        <f t="shared" si="29"/>
        <v>56-4</v>
      </c>
      <c r="AD619" s="21" t="s">
        <v>72</v>
      </c>
      <c r="AE619">
        <f>+DB!X619</f>
        <v>0</v>
      </c>
      <c r="AF619" s="22">
        <f>+DB!Y619</f>
        <v>0</v>
      </c>
      <c r="AG619">
        <f>+DB!AK619</f>
        <v>0</v>
      </c>
    </row>
    <row r="620" spans="1:33" x14ac:dyDescent="0.2">
      <c r="A620">
        <f>+DB!C620</f>
        <v>0</v>
      </c>
      <c r="B620">
        <f>+DB!D620</f>
        <v>0</v>
      </c>
      <c r="C620">
        <f>+DB!E620</f>
        <v>0</v>
      </c>
      <c r="D620">
        <f t="shared" si="27"/>
        <v>0</v>
      </c>
      <c r="E620">
        <f>+DB!G620</f>
        <v>0</v>
      </c>
      <c r="F620">
        <f>+DB!H620</f>
        <v>0</v>
      </c>
      <c r="G620">
        <f>+DB!N620</f>
        <v>0</v>
      </c>
      <c r="H620">
        <f>+DB!O620</f>
        <v>0</v>
      </c>
      <c r="I620">
        <f>+DB!I620</f>
        <v>0</v>
      </c>
      <c r="J620">
        <f>+DB!J620</f>
        <v>0</v>
      </c>
      <c r="K620">
        <f>+DB!L620</f>
        <v>0</v>
      </c>
      <c r="L620" t="str">
        <f t="shared" si="28"/>
        <v/>
      </c>
      <c r="M620" t="str">
        <f>+IF(LEFT(DB!M620,3)="13/","CAC","MAD")</f>
        <v>MAD</v>
      </c>
      <c r="N620" t="str">
        <f>+RIGHT(DB!M620,6)</f>
        <v/>
      </c>
      <c r="O620">
        <v>95</v>
      </c>
      <c r="P620">
        <v>5</v>
      </c>
      <c r="Q620">
        <f>+DB!AB620</f>
        <v>0</v>
      </c>
      <c r="R620">
        <f>+DB!K620</f>
        <v>0</v>
      </c>
      <c r="S620">
        <f>+DB!F620</f>
        <v>0</v>
      </c>
      <c r="T620">
        <f>+IF(DB!F620="AAAC-35",1,3)</f>
        <v>3</v>
      </c>
      <c r="U620">
        <f>+DB!R620</f>
        <v>0</v>
      </c>
      <c r="V620">
        <f>+IF(DB!P620="1RI",1,0)+IF(DB!P620="2RI",2,0)</f>
        <v>0</v>
      </c>
      <c r="W620">
        <f>+IF(DB!P620="1RV",1,0)+IF(DB!P620="2RV",2,0)</f>
        <v>0</v>
      </c>
      <c r="X620">
        <f>+IF(DB!P620="RYI",1,0)</f>
        <v>0</v>
      </c>
      <c r="Y620">
        <f>+IF(DB!P620="RYV",1,0)</f>
        <v>0</v>
      </c>
      <c r="Z620">
        <f>+DB!U620</f>
        <v>0</v>
      </c>
      <c r="AA620">
        <f>+IF(DB!F620="AAAC-35",19.5,33)</f>
        <v>33</v>
      </c>
      <c r="AB620">
        <f>+DB!V620</f>
        <v>0</v>
      </c>
      <c r="AC620" t="str">
        <f t="shared" si="29"/>
        <v>56-4</v>
      </c>
      <c r="AD620" s="21" t="s">
        <v>72</v>
      </c>
      <c r="AE620">
        <f>+DB!X620</f>
        <v>0</v>
      </c>
      <c r="AF620" s="22">
        <f>+DB!Y620</f>
        <v>0</v>
      </c>
      <c r="AG620">
        <f>+DB!AK620</f>
        <v>0</v>
      </c>
    </row>
    <row r="621" spans="1:33" x14ac:dyDescent="0.2">
      <c r="A621">
        <f>+DB!C621</f>
        <v>0</v>
      </c>
      <c r="B621">
        <f>+DB!D621</f>
        <v>0</v>
      </c>
      <c r="C621">
        <f>+DB!E621</f>
        <v>0</v>
      </c>
      <c r="D621">
        <f t="shared" si="27"/>
        <v>0</v>
      </c>
      <c r="E621">
        <f>+DB!G621</f>
        <v>0</v>
      </c>
      <c r="F621">
        <f>+DB!H621</f>
        <v>0</v>
      </c>
      <c r="G621">
        <f>+DB!N621</f>
        <v>0</v>
      </c>
      <c r="H621">
        <f>+DB!O621</f>
        <v>0</v>
      </c>
      <c r="I621">
        <f>+DB!I621</f>
        <v>0</v>
      </c>
      <c r="J621">
        <f>+DB!J621</f>
        <v>0</v>
      </c>
      <c r="K621">
        <f>+DB!L621</f>
        <v>0</v>
      </c>
      <c r="L621" t="str">
        <f t="shared" si="28"/>
        <v/>
      </c>
      <c r="M621" t="str">
        <f>+IF(LEFT(DB!M621,3)="13/","CAC","MAD")</f>
        <v>MAD</v>
      </c>
      <c r="N621" t="str">
        <f>+RIGHT(DB!M621,6)</f>
        <v/>
      </c>
      <c r="O621">
        <v>95</v>
      </c>
      <c r="P621">
        <v>5</v>
      </c>
      <c r="Q621">
        <f>+DB!AB621</f>
        <v>0</v>
      </c>
      <c r="R621">
        <f>+DB!K621</f>
        <v>0</v>
      </c>
      <c r="S621">
        <f>+DB!F621</f>
        <v>0</v>
      </c>
      <c r="T621">
        <f>+IF(DB!F621="AAAC-35",1,3)</f>
        <v>3</v>
      </c>
      <c r="U621">
        <f>+DB!R621</f>
        <v>0</v>
      </c>
      <c r="V621">
        <f>+IF(DB!P621="1RI",1,0)+IF(DB!P621="2RI",2,0)</f>
        <v>0</v>
      </c>
      <c r="W621">
        <f>+IF(DB!P621="1RV",1,0)+IF(DB!P621="2RV",2,0)</f>
        <v>0</v>
      </c>
      <c r="X621">
        <f>+IF(DB!P621="RYI",1,0)</f>
        <v>0</v>
      </c>
      <c r="Y621">
        <f>+IF(DB!P621="RYV",1,0)</f>
        <v>0</v>
      </c>
      <c r="Z621">
        <f>+DB!U621</f>
        <v>0</v>
      </c>
      <c r="AA621">
        <f>+IF(DB!F621="AAAC-35",19.5,33)</f>
        <v>33</v>
      </c>
      <c r="AB621">
        <f>+DB!V621</f>
        <v>0</v>
      </c>
      <c r="AC621" t="str">
        <f t="shared" si="29"/>
        <v>56-4</v>
      </c>
      <c r="AD621" s="21" t="s">
        <v>72</v>
      </c>
      <c r="AE621">
        <f>+DB!X621</f>
        <v>0</v>
      </c>
      <c r="AF621" s="22">
        <f>+DB!Y621</f>
        <v>0</v>
      </c>
      <c r="AG621">
        <f>+DB!AK621</f>
        <v>0</v>
      </c>
    </row>
    <row r="622" spans="1:33" x14ac:dyDescent="0.2">
      <c r="A622">
        <f>+DB!C622</f>
        <v>0</v>
      </c>
      <c r="B622">
        <f>+DB!D622</f>
        <v>0</v>
      </c>
      <c r="C622">
        <f>+DB!E622</f>
        <v>0</v>
      </c>
      <c r="D622">
        <f t="shared" si="27"/>
        <v>0</v>
      </c>
      <c r="E622">
        <f>+DB!G622</f>
        <v>0</v>
      </c>
      <c r="F622">
        <f>+DB!H622</f>
        <v>0</v>
      </c>
      <c r="G622">
        <f>+DB!N622</f>
        <v>0</v>
      </c>
      <c r="H622">
        <f>+DB!O622</f>
        <v>0</v>
      </c>
      <c r="I622">
        <f>+DB!I622</f>
        <v>0</v>
      </c>
      <c r="J622">
        <f>+DB!J622</f>
        <v>0</v>
      </c>
      <c r="K622">
        <f>+DB!L622</f>
        <v>0</v>
      </c>
      <c r="L622" t="str">
        <f t="shared" si="28"/>
        <v/>
      </c>
      <c r="M622" t="str">
        <f>+IF(LEFT(DB!M622,3)="13/","CAC","MAD")</f>
        <v>MAD</v>
      </c>
      <c r="N622" t="str">
        <f>+RIGHT(DB!M622,6)</f>
        <v/>
      </c>
      <c r="O622">
        <v>95</v>
      </c>
      <c r="P622">
        <v>5</v>
      </c>
      <c r="Q622">
        <f>+DB!AB622</f>
        <v>0</v>
      </c>
      <c r="R622">
        <f>+DB!K622</f>
        <v>0</v>
      </c>
      <c r="S622">
        <f>+DB!F622</f>
        <v>0</v>
      </c>
      <c r="T622">
        <f>+IF(DB!F622="AAAC-35",1,3)</f>
        <v>3</v>
      </c>
      <c r="U622">
        <f>+DB!R622</f>
        <v>0</v>
      </c>
      <c r="V622">
        <f>+IF(DB!P622="1RI",1,0)+IF(DB!P622="2RI",2,0)</f>
        <v>0</v>
      </c>
      <c r="W622">
        <f>+IF(DB!P622="1RV",1,0)+IF(DB!P622="2RV",2,0)</f>
        <v>0</v>
      </c>
      <c r="X622">
        <f>+IF(DB!P622="RYI",1,0)</f>
        <v>0</v>
      </c>
      <c r="Y622">
        <f>+IF(DB!P622="RYV",1,0)</f>
        <v>0</v>
      </c>
      <c r="Z622">
        <f>+DB!U622</f>
        <v>0</v>
      </c>
      <c r="AA622">
        <f>+IF(DB!F622="AAAC-35",19.5,33)</f>
        <v>33</v>
      </c>
      <c r="AB622">
        <f>+DB!V622</f>
        <v>0</v>
      </c>
      <c r="AC622" t="str">
        <f t="shared" si="29"/>
        <v>56-4</v>
      </c>
      <c r="AD622" s="21" t="s">
        <v>72</v>
      </c>
      <c r="AE622">
        <f>+DB!X622</f>
        <v>0</v>
      </c>
      <c r="AF622" s="22">
        <f>+DB!Y622</f>
        <v>0</v>
      </c>
      <c r="AG622">
        <f>+DB!AK622</f>
        <v>0</v>
      </c>
    </row>
    <row r="623" spans="1:33" x14ac:dyDescent="0.2">
      <c r="A623">
        <f>+DB!C623</f>
        <v>0</v>
      </c>
      <c r="B623">
        <f>+DB!D623</f>
        <v>0</v>
      </c>
      <c r="C623">
        <f>+DB!E623</f>
        <v>0</v>
      </c>
      <c r="D623">
        <f t="shared" si="27"/>
        <v>0</v>
      </c>
      <c r="E623">
        <f>+DB!G623</f>
        <v>0</v>
      </c>
      <c r="F623">
        <f>+DB!H623</f>
        <v>0</v>
      </c>
      <c r="G623">
        <f>+DB!N623</f>
        <v>0</v>
      </c>
      <c r="H623">
        <f>+DB!O623</f>
        <v>0</v>
      </c>
      <c r="I623">
        <f>+DB!I623</f>
        <v>0</v>
      </c>
      <c r="J623">
        <f>+DB!J623</f>
        <v>0</v>
      </c>
      <c r="K623">
        <f>+DB!L623</f>
        <v>0</v>
      </c>
      <c r="L623" t="str">
        <f t="shared" si="28"/>
        <v/>
      </c>
      <c r="M623" t="str">
        <f>+IF(LEFT(DB!M623,3)="13/","CAC","MAD")</f>
        <v>MAD</v>
      </c>
      <c r="N623" t="str">
        <f>+RIGHT(DB!M623,6)</f>
        <v/>
      </c>
      <c r="O623">
        <v>95</v>
      </c>
      <c r="P623">
        <v>5</v>
      </c>
      <c r="Q623">
        <f>+DB!AB623</f>
        <v>0</v>
      </c>
      <c r="R623">
        <f>+DB!K623</f>
        <v>0</v>
      </c>
      <c r="S623">
        <f>+DB!F623</f>
        <v>0</v>
      </c>
      <c r="T623">
        <f>+IF(DB!F623="AAAC-35",1,3)</f>
        <v>3</v>
      </c>
      <c r="U623">
        <f>+DB!R623</f>
        <v>0</v>
      </c>
      <c r="V623">
        <f>+IF(DB!P623="1RI",1,0)+IF(DB!P623="2RI",2,0)</f>
        <v>0</v>
      </c>
      <c r="W623">
        <f>+IF(DB!P623="1RV",1,0)+IF(DB!P623="2RV",2,0)</f>
        <v>0</v>
      </c>
      <c r="X623">
        <f>+IF(DB!P623="RYI",1,0)</f>
        <v>0</v>
      </c>
      <c r="Y623">
        <f>+IF(DB!P623="RYV",1,0)</f>
        <v>0</v>
      </c>
      <c r="Z623">
        <f>+DB!U623</f>
        <v>0</v>
      </c>
      <c r="AA623">
        <f>+IF(DB!F623="AAAC-35",19.5,33)</f>
        <v>33</v>
      </c>
      <c r="AB623">
        <f>+DB!V623</f>
        <v>0</v>
      </c>
      <c r="AC623" t="str">
        <f t="shared" si="29"/>
        <v>56-4</v>
      </c>
      <c r="AD623" s="21" t="s">
        <v>72</v>
      </c>
      <c r="AE623">
        <f>+DB!X623</f>
        <v>0</v>
      </c>
      <c r="AF623" s="22">
        <f>+DB!Y623</f>
        <v>0</v>
      </c>
      <c r="AG623">
        <f>+DB!AK623</f>
        <v>0</v>
      </c>
    </row>
    <row r="624" spans="1:33" x14ac:dyDescent="0.2">
      <c r="A624">
        <f>+DB!C624</f>
        <v>0</v>
      </c>
      <c r="B624">
        <f>+DB!D624</f>
        <v>0</v>
      </c>
      <c r="C624">
        <f>+DB!E624</f>
        <v>0</v>
      </c>
      <c r="D624">
        <f t="shared" si="27"/>
        <v>0</v>
      </c>
      <c r="E624">
        <f>+DB!G624</f>
        <v>0</v>
      </c>
      <c r="F624">
        <f>+DB!H624</f>
        <v>0</v>
      </c>
      <c r="G624">
        <f>+DB!N624</f>
        <v>0</v>
      </c>
      <c r="H624">
        <f>+DB!O624</f>
        <v>0</v>
      </c>
      <c r="I624">
        <f>+DB!I624</f>
        <v>0</v>
      </c>
      <c r="J624">
        <f>+DB!J624</f>
        <v>0</v>
      </c>
      <c r="K624">
        <f>+DB!L624</f>
        <v>0</v>
      </c>
      <c r="L624" t="str">
        <f t="shared" si="28"/>
        <v/>
      </c>
      <c r="M624" t="str">
        <f>+IF(LEFT(DB!M624,3)="13/","CAC","MAD")</f>
        <v>MAD</v>
      </c>
      <c r="N624" t="str">
        <f>+RIGHT(DB!M624,6)</f>
        <v/>
      </c>
      <c r="O624">
        <v>95</v>
      </c>
      <c r="P624">
        <v>5</v>
      </c>
      <c r="Q624">
        <f>+DB!AB624</f>
        <v>0</v>
      </c>
      <c r="R624">
        <f>+DB!K624</f>
        <v>0</v>
      </c>
      <c r="S624">
        <f>+DB!F624</f>
        <v>0</v>
      </c>
      <c r="T624">
        <f>+IF(DB!F624="AAAC-35",1,3)</f>
        <v>3</v>
      </c>
      <c r="U624">
        <f>+DB!R624</f>
        <v>0</v>
      </c>
      <c r="V624">
        <f>+IF(DB!P624="1RI",1,0)+IF(DB!P624="2RI",2,0)</f>
        <v>0</v>
      </c>
      <c r="W624">
        <f>+IF(DB!P624="1RV",1,0)+IF(DB!P624="2RV",2,0)</f>
        <v>0</v>
      </c>
      <c r="X624">
        <f>+IF(DB!P624="RYI",1,0)</f>
        <v>0</v>
      </c>
      <c r="Y624">
        <f>+IF(DB!P624="RYV",1,0)</f>
        <v>0</v>
      </c>
      <c r="Z624">
        <f>+DB!U624</f>
        <v>0</v>
      </c>
      <c r="AA624">
        <f>+IF(DB!F624="AAAC-35",19.5,33)</f>
        <v>33</v>
      </c>
      <c r="AB624">
        <f>+DB!V624</f>
        <v>0</v>
      </c>
      <c r="AC624" t="str">
        <f t="shared" si="29"/>
        <v>56-4</v>
      </c>
      <c r="AD624" s="21" t="s">
        <v>72</v>
      </c>
      <c r="AE624">
        <f>+DB!X624</f>
        <v>0</v>
      </c>
      <c r="AF624" s="22">
        <f>+DB!Y624</f>
        <v>0</v>
      </c>
      <c r="AG624">
        <f>+DB!AK624</f>
        <v>0</v>
      </c>
    </row>
    <row r="625" spans="1:33" x14ac:dyDescent="0.2">
      <c r="A625">
        <f>+DB!C625</f>
        <v>0</v>
      </c>
      <c r="B625">
        <f>+DB!D625</f>
        <v>0</v>
      </c>
      <c r="C625">
        <f>+DB!E625</f>
        <v>0</v>
      </c>
      <c r="D625">
        <f t="shared" si="27"/>
        <v>0</v>
      </c>
      <c r="E625">
        <f>+DB!G625</f>
        <v>0</v>
      </c>
      <c r="F625">
        <f>+DB!H625</f>
        <v>0</v>
      </c>
      <c r="G625">
        <f>+DB!N625</f>
        <v>0</v>
      </c>
      <c r="H625">
        <f>+DB!O625</f>
        <v>0</v>
      </c>
      <c r="I625">
        <f>+DB!I625</f>
        <v>0</v>
      </c>
      <c r="J625">
        <f>+DB!J625</f>
        <v>0</v>
      </c>
      <c r="K625">
        <f>+DB!L625</f>
        <v>0</v>
      </c>
      <c r="L625" t="str">
        <f t="shared" si="28"/>
        <v/>
      </c>
      <c r="M625" t="str">
        <f>+IF(LEFT(DB!M625,3)="13/","CAC","MAD")</f>
        <v>MAD</v>
      </c>
      <c r="N625" t="str">
        <f>+RIGHT(DB!M625,6)</f>
        <v/>
      </c>
      <c r="O625">
        <v>95</v>
      </c>
      <c r="P625">
        <v>5</v>
      </c>
      <c r="Q625">
        <f>+DB!AB625</f>
        <v>0</v>
      </c>
      <c r="R625">
        <f>+DB!K625</f>
        <v>0</v>
      </c>
      <c r="S625">
        <f>+DB!F625</f>
        <v>0</v>
      </c>
      <c r="T625">
        <f>+IF(DB!F625="AAAC-35",1,3)</f>
        <v>3</v>
      </c>
      <c r="U625">
        <f>+DB!R625</f>
        <v>0</v>
      </c>
      <c r="V625">
        <f>+IF(DB!P625="1RI",1,0)+IF(DB!P625="2RI",2,0)</f>
        <v>0</v>
      </c>
      <c r="W625">
        <f>+IF(DB!P625="1RV",1,0)+IF(DB!P625="2RV",2,0)</f>
        <v>0</v>
      </c>
      <c r="X625">
        <f>+IF(DB!P625="RYI",1,0)</f>
        <v>0</v>
      </c>
      <c r="Y625">
        <f>+IF(DB!P625="RYV",1,0)</f>
        <v>0</v>
      </c>
      <c r="Z625">
        <f>+DB!U625</f>
        <v>0</v>
      </c>
      <c r="AA625">
        <f>+IF(DB!F625="AAAC-35",19.5,33)</f>
        <v>33</v>
      </c>
      <c r="AB625">
        <f>+DB!V625</f>
        <v>0</v>
      </c>
      <c r="AC625" t="str">
        <f t="shared" si="29"/>
        <v>56-4</v>
      </c>
      <c r="AD625" s="21" t="s">
        <v>72</v>
      </c>
      <c r="AE625">
        <f>+DB!X625</f>
        <v>0</v>
      </c>
      <c r="AF625" s="22">
        <f>+DB!Y625</f>
        <v>0</v>
      </c>
      <c r="AG625">
        <f>+DB!AK625</f>
        <v>0</v>
      </c>
    </row>
    <row r="626" spans="1:33" x14ac:dyDescent="0.2">
      <c r="A626">
        <f>+DB!C626</f>
        <v>0</v>
      </c>
      <c r="B626">
        <f>+DB!D626</f>
        <v>0</v>
      </c>
      <c r="C626">
        <f>+DB!E626</f>
        <v>0</v>
      </c>
      <c r="D626">
        <f t="shared" si="27"/>
        <v>0</v>
      </c>
      <c r="E626">
        <f>+DB!G626</f>
        <v>0</v>
      </c>
      <c r="F626">
        <f>+DB!H626</f>
        <v>0</v>
      </c>
      <c r="G626">
        <f>+DB!N626</f>
        <v>0</v>
      </c>
      <c r="H626">
        <f>+DB!O626</f>
        <v>0</v>
      </c>
      <c r="I626">
        <f>+DB!I626</f>
        <v>0</v>
      </c>
      <c r="J626">
        <f>+DB!J626</f>
        <v>0</v>
      </c>
      <c r="K626">
        <f>+DB!L626</f>
        <v>0</v>
      </c>
      <c r="L626" t="str">
        <f t="shared" si="28"/>
        <v/>
      </c>
      <c r="M626" t="str">
        <f>+IF(LEFT(DB!M626,3)="13/","CAC","MAD")</f>
        <v>MAD</v>
      </c>
      <c r="N626" t="str">
        <f>+RIGHT(DB!M626,6)</f>
        <v/>
      </c>
      <c r="O626">
        <v>95</v>
      </c>
      <c r="P626">
        <v>5</v>
      </c>
      <c r="Q626">
        <f>+DB!AB626</f>
        <v>0</v>
      </c>
      <c r="R626">
        <f>+DB!K626</f>
        <v>0</v>
      </c>
      <c r="S626">
        <f>+DB!F626</f>
        <v>0</v>
      </c>
      <c r="T626">
        <f>+IF(DB!F626="AAAC-35",1,3)</f>
        <v>3</v>
      </c>
      <c r="U626">
        <f>+DB!R626</f>
        <v>0</v>
      </c>
      <c r="V626">
        <f>+IF(DB!P626="1RI",1,0)+IF(DB!P626="2RI",2,0)</f>
        <v>0</v>
      </c>
      <c r="W626">
        <f>+IF(DB!P626="1RV",1,0)+IF(DB!P626="2RV",2,0)</f>
        <v>0</v>
      </c>
      <c r="X626">
        <f>+IF(DB!P626="RYI",1,0)</f>
        <v>0</v>
      </c>
      <c r="Y626">
        <f>+IF(DB!P626="RYV",1,0)</f>
        <v>0</v>
      </c>
      <c r="Z626">
        <f>+DB!U626</f>
        <v>0</v>
      </c>
      <c r="AA626">
        <f>+IF(DB!F626="AAAC-35",19.5,33)</f>
        <v>33</v>
      </c>
      <c r="AB626">
        <f>+DB!V626</f>
        <v>0</v>
      </c>
      <c r="AC626" t="str">
        <f t="shared" si="29"/>
        <v>56-4</v>
      </c>
      <c r="AD626" s="21" t="s">
        <v>72</v>
      </c>
      <c r="AE626">
        <f>+DB!X626</f>
        <v>0</v>
      </c>
      <c r="AF626" s="22">
        <f>+DB!Y626</f>
        <v>0</v>
      </c>
      <c r="AG626">
        <f>+DB!AK626</f>
        <v>0</v>
      </c>
    </row>
    <row r="627" spans="1:33" x14ac:dyDescent="0.2">
      <c r="A627">
        <f>+DB!C627</f>
        <v>0</v>
      </c>
      <c r="B627">
        <f>+DB!D627</f>
        <v>0</v>
      </c>
      <c r="C627">
        <f>+DB!E627</f>
        <v>0</v>
      </c>
      <c r="D627">
        <f t="shared" si="27"/>
        <v>0</v>
      </c>
      <c r="E627">
        <f>+DB!G627</f>
        <v>0</v>
      </c>
      <c r="F627">
        <f>+DB!H627</f>
        <v>0</v>
      </c>
      <c r="G627">
        <f>+DB!N627</f>
        <v>0</v>
      </c>
      <c r="H627">
        <f>+DB!O627</f>
        <v>0</v>
      </c>
      <c r="I627">
        <f>+DB!I627</f>
        <v>0</v>
      </c>
      <c r="J627">
        <f>+DB!J627</f>
        <v>0</v>
      </c>
      <c r="K627">
        <f>+DB!L627</f>
        <v>0</v>
      </c>
      <c r="L627" t="str">
        <f t="shared" si="28"/>
        <v/>
      </c>
      <c r="M627" t="str">
        <f>+IF(LEFT(DB!M627,3)="13/","CAC","MAD")</f>
        <v>MAD</v>
      </c>
      <c r="N627" t="str">
        <f>+RIGHT(DB!M627,6)</f>
        <v/>
      </c>
      <c r="O627">
        <v>95</v>
      </c>
      <c r="P627">
        <v>5</v>
      </c>
      <c r="Q627">
        <f>+DB!AB627</f>
        <v>0</v>
      </c>
      <c r="R627">
        <f>+DB!K627</f>
        <v>0</v>
      </c>
      <c r="S627">
        <f>+DB!F627</f>
        <v>0</v>
      </c>
      <c r="T627">
        <f>+IF(DB!F627="AAAC-35",1,3)</f>
        <v>3</v>
      </c>
      <c r="U627">
        <f>+DB!R627</f>
        <v>0</v>
      </c>
      <c r="V627">
        <f>+IF(DB!P627="1RI",1,0)+IF(DB!P627="2RI",2,0)</f>
        <v>0</v>
      </c>
      <c r="W627">
        <f>+IF(DB!P627="1RV",1,0)+IF(DB!P627="2RV",2,0)</f>
        <v>0</v>
      </c>
      <c r="X627">
        <f>+IF(DB!P627="RYI",1,0)</f>
        <v>0</v>
      </c>
      <c r="Y627">
        <f>+IF(DB!P627="RYV",1,0)</f>
        <v>0</v>
      </c>
      <c r="Z627">
        <f>+DB!U627</f>
        <v>0</v>
      </c>
      <c r="AA627">
        <f>+IF(DB!F627="AAAC-35",19.5,33)</f>
        <v>33</v>
      </c>
      <c r="AB627">
        <f>+DB!V627</f>
        <v>0</v>
      </c>
      <c r="AC627" t="str">
        <f t="shared" si="29"/>
        <v>56-4</v>
      </c>
      <c r="AD627" s="21" t="s">
        <v>72</v>
      </c>
      <c r="AE627">
        <f>+DB!X627</f>
        <v>0</v>
      </c>
      <c r="AF627" s="22">
        <f>+DB!Y627</f>
        <v>0</v>
      </c>
      <c r="AG627">
        <f>+DB!AK627</f>
        <v>0</v>
      </c>
    </row>
    <row r="628" spans="1:33" x14ac:dyDescent="0.2">
      <c r="A628">
        <f>+DB!C628</f>
        <v>0</v>
      </c>
      <c r="B628">
        <f>+DB!D628</f>
        <v>0</v>
      </c>
      <c r="C628">
        <f>+DB!E628</f>
        <v>0</v>
      </c>
      <c r="D628">
        <f t="shared" si="27"/>
        <v>0</v>
      </c>
      <c r="E628">
        <f>+DB!G628</f>
        <v>0</v>
      </c>
      <c r="F628">
        <f>+DB!H628</f>
        <v>0</v>
      </c>
      <c r="G628">
        <f>+DB!N628</f>
        <v>0</v>
      </c>
      <c r="H628">
        <f>+DB!O628</f>
        <v>0</v>
      </c>
      <c r="I628">
        <f>+DB!I628</f>
        <v>0</v>
      </c>
      <c r="J628">
        <f>+DB!J628</f>
        <v>0</v>
      </c>
      <c r="K628">
        <f>+DB!L628</f>
        <v>0</v>
      </c>
      <c r="L628" t="str">
        <f t="shared" si="28"/>
        <v/>
      </c>
      <c r="M628" t="str">
        <f>+IF(LEFT(DB!M628,3)="13/","CAC","MAD")</f>
        <v>MAD</v>
      </c>
      <c r="N628" t="str">
        <f>+RIGHT(DB!M628,6)</f>
        <v/>
      </c>
      <c r="O628">
        <v>95</v>
      </c>
      <c r="P628">
        <v>5</v>
      </c>
      <c r="Q628">
        <f>+DB!AB628</f>
        <v>0</v>
      </c>
      <c r="R628">
        <f>+DB!K628</f>
        <v>0</v>
      </c>
      <c r="S628">
        <f>+DB!F628</f>
        <v>0</v>
      </c>
      <c r="T628">
        <f>+IF(DB!F628="AAAC-35",1,3)</f>
        <v>3</v>
      </c>
      <c r="U628">
        <f>+DB!R628</f>
        <v>0</v>
      </c>
      <c r="V628">
        <f>+IF(DB!P628="1RI",1,0)+IF(DB!P628="2RI",2,0)</f>
        <v>0</v>
      </c>
      <c r="W628">
        <f>+IF(DB!P628="1RV",1,0)+IF(DB!P628="2RV",2,0)</f>
        <v>0</v>
      </c>
      <c r="X628">
        <f>+IF(DB!P628="RYI",1,0)</f>
        <v>0</v>
      </c>
      <c r="Y628">
        <f>+IF(DB!P628="RYV",1,0)</f>
        <v>0</v>
      </c>
      <c r="Z628">
        <f>+DB!U628</f>
        <v>0</v>
      </c>
      <c r="AA628">
        <f>+IF(DB!F628="AAAC-35",19.5,33)</f>
        <v>33</v>
      </c>
      <c r="AB628">
        <f>+DB!V628</f>
        <v>0</v>
      </c>
      <c r="AC628" t="str">
        <f t="shared" si="29"/>
        <v>56-4</v>
      </c>
      <c r="AD628" s="21" t="s">
        <v>72</v>
      </c>
      <c r="AE628">
        <f>+DB!X628</f>
        <v>0</v>
      </c>
      <c r="AF628" s="22">
        <f>+DB!Y628</f>
        <v>0</v>
      </c>
      <c r="AG628">
        <f>+DB!AK628</f>
        <v>0</v>
      </c>
    </row>
    <row r="629" spans="1:33" x14ac:dyDescent="0.2">
      <c r="A629">
        <f>+DB!C629</f>
        <v>0</v>
      </c>
      <c r="B629">
        <f>+DB!D629</f>
        <v>0</v>
      </c>
      <c r="C629">
        <f>+DB!E629</f>
        <v>0</v>
      </c>
      <c r="D629">
        <f t="shared" si="27"/>
        <v>0</v>
      </c>
      <c r="E629">
        <f>+DB!G629</f>
        <v>0</v>
      </c>
      <c r="F629">
        <f>+DB!H629</f>
        <v>0</v>
      </c>
      <c r="G629">
        <f>+DB!N629</f>
        <v>0</v>
      </c>
      <c r="H629">
        <f>+DB!O629</f>
        <v>0</v>
      </c>
      <c r="I629">
        <f>+DB!I629</f>
        <v>0</v>
      </c>
      <c r="J629">
        <f>+DB!J629</f>
        <v>0</v>
      </c>
      <c r="K629">
        <f>+DB!L629</f>
        <v>0</v>
      </c>
      <c r="L629" t="str">
        <f t="shared" si="28"/>
        <v/>
      </c>
      <c r="M629" t="str">
        <f>+IF(LEFT(DB!M629,3)="13/","CAC","MAD")</f>
        <v>MAD</v>
      </c>
      <c r="N629" t="str">
        <f>+RIGHT(DB!M629,6)</f>
        <v/>
      </c>
      <c r="O629">
        <v>95</v>
      </c>
      <c r="P629">
        <v>5</v>
      </c>
      <c r="Q629">
        <f>+DB!AB629</f>
        <v>0</v>
      </c>
      <c r="R629">
        <f>+DB!K629</f>
        <v>0</v>
      </c>
      <c r="S629">
        <f>+DB!F629</f>
        <v>0</v>
      </c>
      <c r="T629">
        <f>+IF(DB!F629="AAAC-35",1,3)</f>
        <v>3</v>
      </c>
      <c r="U629">
        <f>+DB!R629</f>
        <v>0</v>
      </c>
      <c r="V629">
        <f>+IF(DB!P629="1RI",1,0)+IF(DB!P629="2RI",2,0)</f>
        <v>0</v>
      </c>
      <c r="W629">
        <f>+IF(DB!P629="1RV",1,0)+IF(DB!P629="2RV",2,0)</f>
        <v>0</v>
      </c>
      <c r="X629">
        <f>+IF(DB!P629="RYI",1,0)</f>
        <v>0</v>
      </c>
      <c r="Y629">
        <f>+IF(DB!P629="RYV",1,0)</f>
        <v>0</v>
      </c>
      <c r="Z629">
        <f>+DB!U629</f>
        <v>0</v>
      </c>
      <c r="AA629">
        <f>+IF(DB!F629="AAAC-35",19.5,33)</f>
        <v>33</v>
      </c>
      <c r="AB629">
        <f>+DB!V629</f>
        <v>0</v>
      </c>
      <c r="AC629" t="str">
        <f t="shared" si="29"/>
        <v>56-4</v>
      </c>
      <c r="AD629" s="21" t="s">
        <v>72</v>
      </c>
      <c r="AE629">
        <f>+DB!X629</f>
        <v>0</v>
      </c>
      <c r="AF629" s="22">
        <f>+DB!Y629</f>
        <v>0</v>
      </c>
      <c r="AG629">
        <f>+DB!AK629</f>
        <v>0</v>
      </c>
    </row>
    <row r="630" spans="1:33" x14ac:dyDescent="0.2">
      <c r="A630">
        <f>+DB!C630</f>
        <v>0</v>
      </c>
      <c r="B630">
        <f>+DB!D630</f>
        <v>0</v>
      </c>
      <c r="C630">
        <f>+DB!E630</f>
        <v>0</v>
      </c>
      <c r="D630">
        <f t="shared" si="27"/>
        <v>0</v>
      </c>
      <c r="E630">
        <f>+DB!G630</f>
        <v>0</v>
      </c>
      <c r="F630">
        <f>+DB!H630</f>
        <v>0</v>
      </c>
      <c r="G630">
        <f>+DB!N630</f>
        <v>0</v>
      </c>
      <c r="H630">
        <f>+DB!O630</f>
        <v>0</v>
      </c>
      <c r="I630">
        <f>+DB!I630</f>
        <v>0</v>
      </c>
      <c r="J630">
        <f>+DB!J630</f>
        <v>0</v>
      </c>
      <c r="K630">
        <f>+DB!L630</f>
        <v>0</v>
      </c>
      <c r="L630" t="str">
        <f t="shared" si="28"/>
        <v/>
      </c>
      <c r="M630" t="str">
        <f>+IF(LEFT(DB!M630,3)="13/","CAC","MAD")</f>
        <v>MAD</v>
      </c>
      <c r="N630" t="str">
        <f>+RIGHT(DB!M630,6)</f>
        <v/>
      </c>
      <c r="O630">
        <v>95</v>
      </c>
      <c r="P630">
        <v>5</v>
      </c>
      <c r="Q630">
        <f>+DB!AB630</f>
        <v>0</v>
      </c>
      <c r="R630">
        <f>+DB!K630</f>
        <v>0</v>
      </c>
      <c r="S630">
        <f>+DB!F630</f>
        <v>0</v>
      </c>
      <c r="T630">
        <f>+IF(DB!F630="AAAC-35",1,3)</f>
        <v>3</v>
      </c>
      <c r="U630">
        <f>+DB!R630</f>
        <v>0</v>
      </c>
      <c r="V630">
        <f>+IF(DB!P630="1RI",1,0)+IF(DB!P630="2RI",2,0)</f>
        <v>0</v>
      </c>
      <c r="W630">
        <f>+IF(DB!P630="1RV",1,0)+IF(DB!P630="2RV",2,0)</f>
        <v>0</v>
      </c>
      <c r="X630">
        <f>+IF(DB!P630="RYI",1,0)</f>
        <v>0</v>
      </c>
      <c r="Y630">
        <f>+IF(DB!P630="RYV",1,0)</f>
        <v>0</v>
      </c>
      <c r="Z630">
        <f>+DB!U630</f>
        <v>0</v>
      </c>
      <c r="AA630">
        <f>+IF(DB!F630="AAAC-35",19.5,33)</f>
        <v>33</v>
      </c>
      <c r="AB630">
        <f>+DB!V630</f>
        <v>0</v>
      </c>
      <c r="AC630" t="str">
        <f t="shared" si="29"/>
        <v>56-4</v>
      </c>
      <c r="AD630" s="21" t="s">
        <v>72</v>
      </c>
      <c r="AE630">
        <f>+DB!X630</f>
        <v>0</v>
      </c>
      <c r="AF630" s="22">
        <f>+DB!Y630</f>
        <v>0</v>
      </c>
      <c r="AG630">
        <f>+DB!AK630</f>
        <v>0</v>
      </c>
    </row>
    <row r="631" spans="1:33" x14ac:dyDescent="0.2">
      <c r="A631">
        <f>+DB!C631</f>
        <v>0</v>
      </c>
      <c r="B631">
        <f>+DB!D631</f>
        <v>0</v>
      </c>
      <c r="C631">
        <f>+DB!E631</f>
        <v>0</v>
      </c>
      <c r="D631">
        <f t="shared" si="27"/>
        <v>0</v>
      </c>
      <c r="E631">
        <f>+DB!G631</f>
        <v>0</v>
      </c>
      <c r="F631">
        <f>+DB!H631</f>
        <v>0</v>
      </c>
      <c r="G631">
        <f>+DB!N631</f>
        <v>0</v>
      </c>
      <c r="H631">
        <f>+DB!O631</f>
        <v>0</v>
      </c>
      <c r="I631">
        <f>+DB!I631</f>
        <v>0</v>
      </c>
      <c r="J631">
        <f>+DB!J631</f>
        <v>0</v>
      </c>
      <c r="K631">
        <f>+DB!L631</f>
        <v>0</v>
      </c>
      <c r="L631" t="str">
        <f t="shared" si="28"/>
        <v/>
      </c>
      <c r="M631" t="str">
        <f>+IF(LEFT(DB!M631,3)="13/","CAC","MAD")</f>
        <v>MAD</v>
      </c>
      <c r="N631" t="str">
        <f>+RIGHT(DB!M631,6)</f>
        <v/>
      </c>
      <c r="O631">
        <v>95</v>
      </c>
      <c r="P631">
        <v>5</v>
      </c>
      <c r="Q631">
        <f>+DB!AB631</f>
        <v>0</v>
      </c>
      <c r="R631">
        <f>+DB!K631</f>
        <v>0</v>
      </c>
      <c r="S631">
        <f>+DB!F631</f>
        <v>0</v>
      </c>
      <c r="T631">
        <f>+IF(DB!F631="AAAC-35",1,3)</f>
        <v>3</v>
      </c>
      <c r="U631">
        <f>+DB!R631</f>
        <v>0</v>
      </c>
      <c r="V631">
        <f>+IF(DB!P631="1RI",1,0)+IF(DB!P631="2RI",2,0)</f>
        <v>0</v>
      </c>
      <c r="W631">
        <f>+IF(DB!P631="1RV",1,0)+IF(DB!P631="2RV",2,0)</f>
        <v>0</v>
      </c>
      <c r="X631">
        <f>+IF(DB!P631="RYI",1,0)</f>
        <v>0</v>
      </c>
      <c r="Y631">
        <f>+IF(DB!P631="RYV",1,0)</f>
        <v>0</v>
      </c>
      <c r="Z631">
        <f>+DB!U631</f>
        <v>0</v>
      </c>
      <c r="AA631">
        <f>+IF(DB!F631="AAAC-35",19.5,33)</f>
        <v>33</v>
      </c>
      <c r="AB631">
        <f>+DB!V631</f>
        <v>0</v>
      </c>
      <c r="AC631" t="str">
        <f t="shared" si="29"/>
        <v>56-4</v>
      </c>
      <c r="AD631" s="21" t="s">
        <v>72</v>
      </c>
      <c r="AE631">
        <f>+DB!X631</f>
        <v>0</v>
      </c>
      <c r="AF631" s="22">
        <f>+DB!Y631</f>
        <v>0</v>
      </c>
      <c r="AG631">
        <f>+DB!AK631</f>
        <v>0</v>
      </c>
    </row>
    <row r="632" spans="1:33" x14ac:dyDescent="0.2">
      <c r="A632">
        <f>+DB!C632</f>
        <v>0</v>
      </c>
      <c r="B632">
        <f>+DB!D632</f>
        <v>0</v>
      </c>
      <c r="C632">
        <f>+DB!E632</f>
        <v>0</v>
      </c>
      <c r="D632">
        <f t="shared" si="27"/>
        <v>0</v>
      </c>
      <c r="E632">
        <f>+DB!G632</f>
        <v>0</v>
      </c>
      <c r="F632">
        <f>+DB!H632</f>
        <v>0</v>
      </c>
      <c r="G632">
        <f>+DB!N632</f>
        <v>0</v>
      </c>
      <c r="H632">
        <f>+DB!O632</f>
        <v>0</v>
      </c>
      <c r="I632">
        <f>+DB!I632</f>
        <v>0</v>
      </c>
      <c r="J632">
        <f>+DB!J632</f>
        <v>0</v>
      </c>
      <c r="K632">
        <f>+DB!L632</f>
        <v>0</v>
      </c>
      <c r="L632" t="str">
        <f t="shared" si="28"/>
        <v/>
      </c>
      <c r="M632" t="str">
        <f>+IF(LEFT(DB!M632,3)="13/","CAC","MAD")</f>
        <v>MAD</v>
      </c>
      <c r="N632" t="str">
        <f>+RIGHT(DB!M632,6)</f>
        <v/>
      </c>
      <c r="O632">
        <v>95</v>
      </c>
      <c r="P632">
        <v>5</v>
      </c>
      <c r="Q632">
        <f>+DB!AB632</f>
        <v>0</v>
      </c>
      <c r="R632">
        <f>+DB!K632</f>
        <v>0</v>
      </c>
      <c r="S632">
        <f>+DB!F632</f>
        <v>0</v>
      </c>
      <c r="T632">
        <f>+IF(DB!F632="AAAC-35",1,3)</f>
        <v>3</v>
      </c>
      <c r="U632">
        <f>+DB!R632</f>
        <v>0</v>
      </c>
      <c r="V632">
        <f>+IF(DB!P632="1RI",1,0)+IF(DB!P632="2RI",2,0)</f>
        <v>0</v>
      </c>
      <c r="W632">
        <f>+IF(DB!P632="1RV",1,0)+IF(DB!P632="2RV",2,0)</f>
        <v>0</v>
      </c>
      <c r="X632">
        <f>+IF(DB!P632="RYI",1,0)</f>
        <v>0</v>
      </c>
      <c r="Y632">
        <f>+IF(DB!P632="RYV",1,0)</f>
        <v>0</v>
      </c>
      <c r="Z632">
        <f>+DB!U632</f>
        <v>0</v>
      </c>
      <c r="AA632">
        <f>+IF(DB!F632="AAAC-35",19.5,33)</f>
        <v>33</v>
      </c>
      <c r="AB632">
        <f>+DB!V632</f>
        <v>0</v>
      </c>
      <c r="AC632" t="str">
        <f t="shared" si="29"/>
        <v>56-4</v>
      </c>
      <c r="AD632" s="21" t="s">
        <v>72</v>
      </c>
      <c r="AE632">
        <f>+DB!X632</f>
        <v>0</v>
      </c>
      <c r="AF632" s="22">
        <f>+DB!Y632</f>
        <v>0</v>
      </c>
      <c r="AG632">
        <f>+DB!AK632</f>
        <v>0</v>
      </c>
    </row>
    <row r="633" spans="1:33" x14ac:dyDescent="0.2">
      <c r="A633">
        <f>+DB!C633</f>
        <v>0</v>
      </c>
      <c r="B633">
        <f>+DB!D633</f>
        <v>0</v>
      </c>
      <c r="C633">
        <f>+DB!E633</f>
        <v>0</v>
      </c>
      <c r="D633">
        <f t="shared" si="27"/>
        <v>0</v>
      </c>
      <c r="E633">
        <f>+DB!G633</f>
        <v>0</v>
      </c>
      <c r="F633">
        <f>+DB!H633</f>
        <v>0</v>
      </c>
      <c r="G633">
        <f>+DB!N633</f>
        <v>0</v>
      </c>
      <c r="H633">
        <f>+DB!O633</f>
        <v>0</v>
      </c>
      <c r="I633">
        <f>+DB!I633</f>
        <v>0</v>
      </c>
      <c r="J633">
        <f>+DB!J633</f>
        <v>0</v>
      </c>
      <c r="K633">
        <f>+DB!L633</f>
        <v>0</v>
      </c>
      <c r="L633" t="str">
        <f t="shared" si="28"/>
        <v/>
      </c>
      <c r="M633" t="str">
        <f>+IF(LEFT(DB!M633,3)="13/","CAC","MAD")</f>
        <v>MAD</v>
      </c>
      <c r="N633" t="str">
        <f>+RIGHT(DB!M633,6)</f>
        <v/>
      </c>
      <c r="O633">
        <v>95</v>
      </c>
      <c r="P633">
        <v>5</v>
      </c>
      <c r="Q633">
        <f>+DB!AB633</f>
        <v>0</v>
      </c>
      <c r="R633">
        <f>+DB!K633</f>
        <v>0</v>
      </c>
      <c r="S633">
        <f>+DB!F633</f>
        <v>0</v>
      </c>
      <c r="T633">
        <f>+IF(DB!F633="AAAC-35",1,3)</f>
        <v>3</v>
      </c>
      <c r="U633">
        <f>+DB!R633</f>
        <v>0</v>
      </c>
      <c r="V633">
        <f>+IF(DB!P633="1RI",1,0)+IF(DB!P633="2RI",2,0)</f>
        <v>0</v>
      </c>
      <c r="W633">
        <f>+IF(DB!P633="1RV",1,0)+IF(DB!P633="2RV",2,0)</f>
        <v>0</v>
      </c>
      <c r="X633">
        <f>+IF(DB!P633="RYI",1,0)</f>
        <v>0</v>
      </c>
      <c r="Y633">
        <f>+IF(DB!P633="RYV",1,0)</f>
        <v>0</v>
      </c>
      <c r="Z633">
        <f>+DB!U633</f>
        <v>0</v>
      </c>
      <c r="AA633">
        <f>+IF(DB!F633="AAAC-35",19.5,33)</f>
        <v>33</v>
      </c>
      <c r="AB633">
        <f>+DB!V633</f>
        <v>0</v>
      </c>
      <c r="AC633" t="str">
        <f t="shared" si="29"/>
        <v>56-4</v>
      </c>
      <c r="AD633" s="21" t="s">
        <v>72</v>
      </c>
      <c r="AE633">
        <f>+DB!X633</f>
        <v>0</v>
      </c>
      <c r="AF633" s="22">
        <f>+DB!Y633</f>
        <v>0</v>
      </c>
      <c r="AG633">
        <f>+DB!AK633</f>
        <v>0</v>
      </c>
    </row>
    <row r="634" spans="1:33" x14ac:dyDescent="0.2">
      <c r="A634">
        <f>+DB!C634</f>
        <v>0</v>
      </c>
      <c r="B634">
        <f>+DB!D634</f>
        <v>0</v>
      </c>
      <c r="C634">
        <f>+DB!E634</f>
        <v>0</v>
      </c>
      <c r="D634">
        <f t="shared" si="27"/>
        <v>0</v>
      </c>
      <c r="E634">
        <f>+DB!G634</f>
        <v>0</v>
      </c>
      <c r="F634">
        <f>+DB!H634</f>
        <v>0</v>
      </c>
      <c r="G634">
        <f>+DB!N634</f>
        <v>0</v>
      </c>
      <c r="H634">
        <f>+DB!O634</f>
        <v>0</v>
      </c>
      <c r="I634">
        <f>+DB!I634</f>
        <v>0</v>
      </c>
      <c r="J634">
        <f>+DB!J634</f>
        <v>0</v>
      </c>
      <c r="K634">
        <f>+DB!L634</f>
        <v>0</v>
      </c>
      <c r="L634" t="str">
        <f t="shared" si="28"/>
        <v/>
      </c>
      <c r="M634" t="str">
        <f>+IF(LEFT(DB!M634,3)="13/","CAC","MAD")</f>
        <v>MAD</v>
      </c>
      <c r="N634" t="str">
        <f>+RIGHT(DB!M634,6)</f>
        <v/>
      </c>
      <c r="O634">
        <v>95</v>
      </c>
      <c r="P634">
        <v>5</v>
      </c>
      <c r="Q634">
        <f>+DB!AB634</f>
        <v>0</v>
      </c>
      <c r="R634">
        <f>+DB!K634</f>
        <v>0</v>
      </c>
      <c r="S634">
        <f>+DB!F634</f>
        <v>0</v>
      </c>
      <c r="T634">
        <f>+IF(DB!F634="AAAC-35",1,3)</f>
        <v>3</v>
      </c>
      <c r="U634">
        <f>+DB!R634</f>
        <v>0</v>
      </c>
      <c r="V634">
        <f>+IF(DB!P634="1RI",1,0)+IF(DB!P634="2RI",2,0)</f>
        <v>0</v>
      </c>
      <c r="W634">
        <f>+IF(DB!P634="1RV",1,0)+IF(DB!P634="2RV",2,0)</f>
        <v>0</v>
      </c>
      <c r="X634">
        <f>+IF(DB!P634="RYI",1,0)</f>
        <v>0</v>
      </c>
      <c r="Y634">
        <f>+IF(DB!P634="RYV",1,0)</f>
        <v>0</v>
      </c>
      <c r="Z634">
        <f>+DB!U634</f>
        <v>0</v>
      </c>
      <c r="AA634">
        <f>+IF(DB!F634="AAAC-35",19.5,33)</f>
        <v>33</v>
      </c>
      <c r="AB634">
        <f>+DB!V634</f>
        <v>0</v>
      </c>
      <c r="AC634" t="str">
        <f t="shared" si="29"/>
        <v>56-4</v>
      </c>
      <c r="AD634" s="21" t="s">
        <v>72</v>
      </c>
      <c r="AE634">
        <f>+DB!X634</f>
        <v>0</v>
      </c>
      <c r="AF634" s="22">
        <f>+DB!Y634</f>
        <v>0</v>
      </c>
      <c r="AG634">
        <f>+DB!AK634</f>
        <v>0</v>
      </c>
    </row>
    <row r="635" spans="1:33" x14ac:dyDescent="0.2">
      <c r="A635">
        <f>+DB!C635</f>
        <v>0</v>
      </c>
      <c r="B635">
        <f>+DB!D635</f>
        <v>0</v>
      </c>
      <c r="C635">
        <f>+DB!E635</f>
        <v>0</v>
      </c>
      <c r="D635">
        <f t="shared" si="27"/>
        <v>0</v>
      </c>
      <c r="E635">
        <f>+DB!G635</f>
        <v>0</v>
      </c>
      <c r="F635">
        <f>+DB!H635</f>
        <v>0</v>
      </c>
      <c r="G635">
        <f>+DB!N635</f>
        <v>0</v>
      </c>
      <c r="H635">
        <f>+DB!O635</f>
        <v>0</v>
      </c>
      <c r="I635">
        <f>+DB!I635</f>
        <v>0</v>
      </c>
      <c r="J635">
        <f>+DB!J635</f>
        <v>0</v>
      </c>
      <c r="K635">
        <f>+DB!L635</f>
        <v>0</v>
      </c>
      <c r="L635" t="str">
        <f t="shared" si="28"/>
        <v/>
      </c>
      <c r="M635" t="str">
        <f>+IF(LEFT(DB!M635,3)="13/","CAC","MAD")</f>
        <v>MAD</v>
      </c>
      <c r="N635" t="str">
        <f>+RIGHT(DB!M635,6)</f>
        <v/>
      </c>
      <c r="O635">
        <v>95</v>
      </c>
      <c r="P635">
        <v>5</v>
      </c>
      <c r="Q635">
        <f>+DB!AB635</f>
        <v>0</v>
      </c>
      <c r="R635">
        <f>+DB!K635</f>
        <v>0</v>
      </c>
      <c r="S635">
        <f>+DB!F635</f>
        <v>0</v>
      </c>
      <c r="T635">
        <f>+IF(DB!F635="AAAC-35",1,3)</f>
        <v>3</v>
      </c>
      <c r="U635">
        <f>+DB!R635</f>
        <v>0</v>
      </c>
      <c r="V635">
        <f>+IF(DB!P635="1RI",1,0)+IF(DB!P635="2RI",2,0)</f>
        <v>0</v>
      </c>
      <c r="W635">
        <f>+IF(DB!P635="1RV",1,0)+IF(DB!P635="2RV",2,0)</f>
        <v>0</v>
      </c>
      <c r="X635">
        <f>+IF(DB!P635="RYI",1,0)</f>
        <v>0</v>
      </c>
      <c r="Y635">
        <f>+IF(DB!P635="RYV",1,0)</f>
        <v>0</v>
      </c>
      <c r="Z635">
        <f>+DB!U635</f>
        <v>0</v>
      </c>
      <c r="AA635">
        <f>+IF(DB!F635="AAAC-35",19.5,33)</f>
        <v>33</v>
      </c>
      <c r="AB635">
        <f>+DB!V635</f>
        <v>0</v>
      </c>
      <c r="AC635" t="str">
        <f t="shared" si="29"/>
        <v>56-4</v>
      </c>
      <c r="AD635" s="21" t="s">
        <v>72</v>
      </c>
      <c r="AE635">
        <f>+DB!X635</f>
        <v>0</v>
      </c>
      <c r="AF635" s="22">
        <f>+DB!Y635</f>
        <v>0</v>
      </c>
      <c r="AG635">
        <f>+DB!AK635</f>
        <v>0</v>
      </c>
    </row>
    <row r="636" spans="1:33" x14ac:dyDescent="0.2">
      <c r="A636">
        <f>+DB!C636</f>
        <v>0</v>
      </c>
      <c r="B636">
        <f>+DB!D636</f>
        <v>0</v>
      </c>
      <c r="C636">
        <f>+DB!E636</f>
        <v>0</v>
      </c>
      <c r="D636">
        <f t="shared" si="27"/>
        <v>0</v>
      </c>
      <c r="E636">
        <f>+DB!G636</f>
        <v>0</v>
      </c>
      <c r="F636">
        <f>+DB!H636</f>
        <v>0</v>
      </c>
      <c r="G636">
        <f>+DB!N636</f>
        <v>0</v>
      </c>
      <c r="H636">
        <f>+DB!O636</f>
        <v>0</v>
      </c>
      <c r="I636">
        <f>+DB!I636</f>
        <v>0</v>
      </c>
      <c r="J636">
        <f>+DB!J636</f>
        <v>0</v>
      </c>
      <c r="K636">
        <f>+DB!L636</f>
        <v>0</v>
      </c>
      <c r="L636" t="str">
        <f t="shared" si="28"/>
        <v/>
      </c>
      <c r="M636" t="str">
        <f>+IF(LEFT(DB!M636,3)="13/","CAC","MAD")</f>
        <v>MAD</v>
      </c>
      <c r="N636" t="str">
        <f>+RIGHT(DB!M636,6)</f>
        <v/>
      </c>
      <c r="O636">
        <v>95</v>
      </c>
      <c r="P636">
        <v>5</v>
      </c>
      <c r="Q636">
        <f>+DB!AB636</f>
        <v>0</v>
      </c>
      <c r="R636">
        <f>+DB!K636</f>
        <v>0</v>
      </c>
      <c r="S636">
        <f>+DB!F636</f>
        <v>0</v>
      </c>
      <c r="T636">
        <f>+IF(DB!F636="AAAC-35",1,3)</f>
        <v>3</v>
      </c>
      <c r="U636">
        <f>+DB!R636</f>
        <v>0</v>
      </c>
      <c r="V636">
        <f>+IF(DB!P636="1RI",1,0)+IF(DB!P636="2RI",2,0)</f>
        <v>0</v>
      </c>
      <c r="W636">
        <f>+IF(DB!P636="1RV",1,0)+IF(DB!P636="2RV",2,0)</f>
        <v>0</v>
      </c>
      <c r="X636">
        <f>+IF(DB!P636="RYI",1,0)</f>
        <v>0</v>
      </c>
      <c r="Y636">
        <f>+IF(DB!P636="RYV",1,0)</f>
        <v>0</v>
      </c>
      <c r="Z636">
        <f>+DB!U636</f>
        <v>0</v>
      </c>
      <c r="AA636">
        <f>+IF(DB!F636="AAAC-35",19.5,33)</f>
        <v>33</v>
      </c>
      <c r="AB636">
        <f>+DB!V636</f>
        <v>0</v>
      </c>
      <c r="AC636" t="str">
        <f t="shared" si="29"/>
        <v>56-4</v>
      </c>
      <c r="AD636" s="21" t="s">
        <v>72</v>
      </c>
      <c r="AE636">
        <f>+DB!X636</f>
        <v>0</v>
      </c>
      <c r="AF636" s="22">
        <f>+DB!Y636</f>
        <v>0</v>
      </c>
      <c r="AG636">
        <f>+DB!AK636</f>
        <v>0</v>
      </c>
    </row>
    <row r="637" spans="1:33" x14ac:dyDescent="0.2">
      <c r="A637">
        <f>+DB!C637</f>
        <v>0</v>
      </c>
      <c r="B637">
        <f>+DB!D637</f>
        <v>0</v>
      </c>
      <c r="C637">
        <f>+DB!E637</f>
        <v>0</v>
      </c>
      <c r="D637">
        <f t="shared" si="27"/>
        <v>0</v>
      </c>
      <c r="E637">
        <f>+DB!G637</f>
        <v>0</v>
      </c>
      <c r="F637">
        <f>+DB!H637</f>
        <v>0</v>
      </c>
      <c r="G637">
        <f>+DB!N637</f>
        <v>0</v>
      </c>
      <c r="H637">
        <f>+DB!O637</f>
        <v>0</v>
      </c>
      <c r="I637">
        <f>+DB!I637</f>
        <v>0</v>
      </c>
      <c r="J637">
        <f>+DB!J637</f>
        <v>0</v>
      </c>
      <c r="K637">
        <f>+DB!L637</f>
        <v>0</v>
      </c>
      <c r="L637" t="str">
        <f t="shared" si="28"/>
        <v/>
      </c>
      <c r="M637" t="str">
        <f>+IF(LEFT(DB!M637,3)="13/","CAC","MAD")</f>
        <v>MAD</v>
      </c>
      <c r="N637" t="str">
        <f>+RIGHT(DB!M637,6)</f>
        <v/>
      </c>
      <c r="O637">
        <v>95</v>
      </c>
      <c r="P637">
        <v>5</v>
      </c>
      <c r="Q637">
        <f>+DB!AB637</f>
        <v>0</v>
      </c>
      <c r="R637">
        <f>+DB!K637</f>
        <v>0</v>
      </c>
      <c r="S637">
        <f>+DB!F637</f>
        <v>0</v>
      </c>
      <c r="T637">
        <f>+IF(DB!F637="AAAC-35",1,3)</f>
        <v>3</v>
      </c>
      <c r="U637">
        <f>+DB!R637</f>
        <v>0</v>
      </c>
      <c r="V637">
        <f>+IF(DB!P637="1RI",1,0)+IF(DB!P637="2RI",2,0)</f>
        <v>0</v>
      </c>
      <c r="W637">
        <f>+IF(DB!P637="1RV",1,0)+IF(DB!P637="2RV",2,0)</f>
        <v>0</v>
      </c>
      <c r="X637">
        <f>+IF(DB!P637="RYI",1,0)</f>
        <v>0</v>
      </c>
      <c r="Y637">
        <f>+IF(DB!P637="RYV",1,0)</f>
        <v>0</v>
      </c>
      <c r="Z637">
        <f>+DB!U637</f>
        <v>0</v>
      </c>
      <c r="AA637">
        <f>+IF(DB!F637="AAAC-35",19.5,33)</f>
        <v>33</v>
      </c>
      <c r="AB637">
        <f>+DB!V637</f>
        <v>0</v>
      </c>
      <c r="AC637" t="str">
        <f t="shared" si="29"/>
        <v>56-4</v>
      </c>
      <c r="AD637" s="21" t="s">
        <v>72</v>
      </c>
      <c r="AE637">
        <f>+DB!X637</f>
        <v>0</v>
      </c>
      <c r="AF637" s="22">
        <f>+DB!Y637</f>
        <v>0</v>
      </c>
      <c r="AG637">
        <f>+DB!AK637</f>
        <v>0</v>
      </c>
    </row>
    <row r="638" spans="1:33" x14ac:dyDescent="0.2">
      <c r="A638">
        <f>+DB!C638</f>
        <v>0</v>
      </c>
      <c r="B638">
        <f>+DB!D638</f>
        <v>0</v>
      </c>
      <c r="C638">
        <f>+DB!E638</f>
        <v>0</v>
      </c>
      <c r="D638">
        <f t="shared" si="27"/>
        <v>0</v>
      </c>
      <c r="E638">
        <f>+DB!G638</f>
        <v>0</v>
      </c>
      <c r="F638">
        <f>+DB!H638</f>
        <v>0</v>
      </c>
      <c r="G638">
        <f>+DB!N638</f>
        <v>0</v>
      </c>
      <c r="H638">
        <f>+DB!O638</f>
        <v>0</v>
      </c>
      <c r="I638">
        <f>+DB!I638</f>
        <v>0</v>
      </c>
      <c r="J638">
        <f>+DB!J638</f>
        <v>0</v>
      </c>
      <c r="K638">
        <f>+DB!L638</f>
        <v>0</v>
      </c>
      <c r="L638" t="str">
        <f t="shared" si="28"/>
        <v/>
      </c>
      <c r="M638" t="str">
        <f>+IF(LEFT(DB!M638,3)="13/","CAC","MAD")</f>
        <v>MAD</v>
      </c>
      <c r="N638" t="str">
        <f>+RIGHT(DB!M638,6)</f>
        <v/>
      </c>
      <c r="O638">
        <v>95</v>
      </c>
      <c r="P638">
        <v>5</v>
      </c>
      <c r="Q638">
        <f>+DB!AB638</f>
        <v>0</v>
      </c>
      <c r="R638">
        <f>+DB!K638</f>
        <v>0</v>
      </c>
      <c r="S638">
        <f>+DB!F638</f>
        <v>0</v>
      </c>
      <c r="T638">
        <f>+IF(DB!F638="AAAC-35",1,3)</f>
        <v>3</v>
      </c>
      <c r="U638">
        <f>+DB!R638</f>
        <v>0</v>
      </c>
      <c r="V638">
        <f>+IF(DB!P638="1RI",1,0)+IF(DB!P638="2RI",2,0)</f>
        <v>0</v>
      </c>
      <c r="W638">
        <f>+IF(DB!P638="1RV",1,0)+IF(DB!P638="2RV",2,0)</f>
        <v>0</v>
      </c>
      <c r="X638">
        <f>+IF(DB!P638="RYI",1,0)</f>
        <v>0</v>
      </c>
      <c r="Y638">
        <f>+IF(DB!P638="RYV",1,0)</f>
        <v>0</v>
      </c>
      <c r="Z638">
        <f>+DB!U638</f>
        <v>0</v>
      </c>
      <c r="AA638">
        <f>+IF(DB!F638="AAAC-35",19.5,33)</f>
        <v>33</v>
      </c>
      <c r="AB638">
        <f>+DB!V638</f>
        <v>0</v>
      </c>
      <c r="AC638" t="str">
        <f t="shared" si="29"/>
        <v>56-4</v>
      </c>
      <c r="AD638" s="21" t="s">
        <v>72</v>
      </c>
      <c r="AE638">
        <f>+DB!X638</f>
        <v>0</v>
      </c>
      <c r="AF638" s="22">
        <f>+DB!Y638</f>
        <v>0</v>
      </c>
      <c r="AG638">
        <f>+DB!AK638</f>
        <v>0</v>
      </c>
    </row>
    <row r="639" spans="1:33" x14ac:dyDescent="0.2">
      <c r="A639">
        <f>+DB!C639</f>
        <v>0</v>
      </c>
      <c r="B639">
        <f>+DB!D639</f>
        <v>0</v>
      </c>
      <c r="C639">
        <f>+DB!E639</f>
        <v>0</v>
      </c>
      <c r="D639">
        <f t="shared" si="27"/>
        <v>0</v>
      </c>
      <c r="E639">
        <f>+DB!G639</f>
        <v>0</v>
      </c>
      <c r="F639">
        <f>+DB!H639</f>
        <v>0</v>
      </c>
      <c r="G639">
        <f>+DB!N639</f>
        <v>0</v>
      </c>
      <c r="H639">
        <f>+DB!O639</f>
        <v>0</v>
      </c>
      <c r="I639">
        <f>+DB!I639</f>
        <v>0</v>
      </c>
      <c r="J639">
        <f>+DB!J639</f>
        <v>0</v>
      </c>
      <c r="K639">
        <f>+DB!L639</f>
        <v>0</v>
      </c>
      <c r="L639" t="str">
        <f t="shared" si="28"/>
        <v/>
      </c>
      <c r="M639" t="str">
        <f>+IF(LEFT(DB!M639,3)="13/","CAC","MAD")</f>
        <v>MAD</v>
      </c>
      <c r="N639" t="str">
        <f>+RIGHT(DB!M639,6)</f>
        <v/>
      </c>
      <c r="O639">
        <v>95</v>
      </c>
      <c r="P639">
        <v>5</v>
      </c>
      <c r="Q639">
        <f>+DB!AB639</f>
        <v>0</v>
      </c>
      <c r="R639">
        <f>+DB!K639</f>
        <v>0</v>
      </c>
      <c r="S639">
        <f>+DB!F639</f>
        <v>0</v>
      </c>
      <c r="T639">
        <f>+IF(DB!F639="AAAC-35",1,3)</f>
        <v>3</v>
      </c>
      <c r="U639">
        <f>+DB!R639</f>
        <v>0</v>
      </c>
      <c r="V639">
        <f>+IF(DB!P639="1RI",1,0)+IF(DB!P639="2RI",2,0)</f>
        <v>0</v>
      </c>
      <c r="W639">
        <f>+IF(DB!P639="1RV",1,0)+IF(DB!P639="2RV",2,0)</f>
        <v>0</v>
      </c>
      <c r="X639">
        <f>+IF(DB!P639="RYI",1,0)</f>
        <v>0</v>
      </c>
      <c r="Y639">
        <f>+IF(DB!P639="RYV",1,0)</f>
        <v>0</v>
      </c>
      <c r="Z639">
        <f>+DB!U639</f>
        <v>0</v>
      </c>
      <c r="AA639">
        <f>+IF(DB!F639="AAAC-35",19.5,33)</f>
        <v>33</v>
      </c>
      <c r="AB639">
        <f>+DB!V639</f>
        <v>0</v>
      </c>
      <c r="AC639" t="str">
        <f t="shared" si="29"/>
        <v>56-4</v>
      </c>
      <c r="AD639" s="21" t="s">
        <v>72</v>
      </c>
      <c r="AE639">
        <f>+DB!X639</f>
        <v>0</v>
      </c>
      <c r="AF639" s="22">
        <f>+DB!Y639</f>
        <v>0</v>
      </c>
      <c r="AG639">
        <f>+DB!AK639</f>
        <v>0</v>
      </c>
    </row>
    <row r="640" spans="1:33" x14ac:dyDescent="0.2">
      <c r="A640">
        <f>+DB!C640</f>
        <v>0</v>
      </c>
      <c r="B640">
        <f>+DB!D640</f>
        <v>0</v>
      </c>
      <c r="C640">
        <f>+DB!E640</f>
        <v>0</v>
      </c>
      <c r="D640">
        <f t="shared" si="27"/>
        <v>0</v>
      </c>
      <c r="E640">
        <f>+DB!G640</f>
        <v>0</v>
      </c>
      <c r="F640">
        <f>+DB!H640</f>
        <v>0</v>
      </c>
      <c r="G640">
        <f>+DB!N640</f>
        <v>0</v>
      </c>
      <c r="H640">
        <f>+DB!O640</f>
        <v>0</v>
      </c>
      <c r="I640">
        <f>+DB!I640</f>
        <v>0</v>
      </c>
      <c r="J640">
        <f>+DB!J640</f>
        <v>0</v>
      </c>
      <c r="K640">
        <f>+DB!L640</f>
        <v>0</v>
      </c>
      <c r="L640" t="str">
        <f t="shared" si="28"/>
        <v/>
      </c>
      <c r="M640" t="str">
        <f>+IF(LEFT(DB!M640,3)="13/","CAC","MAD")</f>
        <v>MAD</v>
      </c>
      <c r="N640" t="str">
        <f>+RIGHT(DB!M640,6)</f>
        <v/>
      </c>
      <c r="O640">
        <v>95</v>
      </c>
      <c r="P640">
        <v>5</v>
      </c>
      <c r="Q640">
        <f>+DB!AB640</f>
        <v>0</v>
      </c>
      <c r="R640">
        <f>+DB!K640</f>
        <v>0</v>
      </c>
      <c r="S640">
        <f>+DB!F640</f>
        <v>0</v>
      </c>
      <c r="T640">
        <f>+IF(DB!F640="AAAC-35",1,3)</f>
        <v>3</v>
      </c>
      <c r="U640">
        <f>+DB!R640</f>
        <v>0</v>
      </c>
      <c r="V640">
        <f>+IF(DB!P640="1RI",1,0)+IF(DB!P640="2RI",2,0)</f>
        <v>0</v>
      </c>
      <c r="W640">
        <f>+IF(DB!P640="1RV",1,0)+IF(DB!P640="2RV",2,0)</f>
        <v>0</v>
      </c>
      <c r="X640">
        <f>+IF(DB!P640="RYI",1,0)</f>
        <v>0</v>
      </c>
      <c r="Y640">
        <f>+IF(DB!P640="RYV",1,0)</f>
        <v>0</v>
      </c>
      <c r="Z640">
        <f>+DB!U640</f>
        <v>0</v>
      </c>
      <c r="AA640">
        <f>+IF(DB!F640="AAAC-35",19.5,33)</f>
        <v>33</v>
      </c>
      <c r="AB640">
        <f>+DB!V640</f>
        <v>0</v>
      </c>
      <c r="AC640" t="str">
        <f t="shared" si="29"/>
        <v>56-4</v>
      </c>
      <c r="AD640" s="21" t="s">
        <v>72</v>
      </c>
      <c r="AE640">
        <f>+DB!X640</f>
        <v>0</v>
      </c>
      <c r="AF640" s="22">
        <f>+DB!Y640</f>
        <v>0</v>
      </c>
      <c r="AG640">
        <f>+DB!AK640</f>
        <v>0</v>
      </c>
    </row>
    <row r="641" spans="1:33" x14ac:dyDescent="0.2">
      <c r="A641">
        <f>+DB!C641</f>
        <v>0</v>
      </c>
      <c r="B641">
        <f>+DB!D641</f>
        <v>0</v>
      </c>
      <c r="C641">
        <f>+DB!E641</f>
        <v>0</v>
      </c>
      <c r="D641">
        <f t="shared" si="27"/>
        <v>0</v>
      </c>
      <c r="E641">
        <f>+DB!G641</f>
        <v>0</v>
      </c>
      <c r="F641">
        <f>+DB!H641</f>
        <v>0</v>
      </c>
      <c r="G641">
        <f>+DB!N641</f>
        <v>0</v>
      </c>
      <c r="H641">
        <f>+DB!O641</f>
        <v>0</v>
      </c>
      <c r="I641">
        <f>+DB!I641</f>
        <v>0</v>
      </c>
      <c r="J641">
        <f>+DB!J641</f>
        <v>0</v>
      </c>
      <c r="K641">
        <f>+DB!L641</f>
        <v>0</v>
      </c>
      <c r="L641" t="str">
        <f t="shared" si="28"/>
        <v/>
      </c>
      <c r="M641" t="str">
        <f>+IF(LEFT(DB!M641,3)="13/","CAC","MAD")</f>
        <v>MAD</v>
      </c>
      <c r="N641" t="str">
        <f>+RIGHT(DB!M641,6)</f>
        <v/>
      </c>
      <c r="O641">
        <v>95</v>
      </c>
      <c r="P641">
        <v>5</v>
      </c>
      <c r="Q641">
        <f>+DB!AB641</f>
        <v>0</v>
      </c>
      <c r="R641">
        <f>+DB!K641</f>
        <v>0</v>
      </c>
      <c r="S641">
        <f>+DB!F641</f>
        <v>0</v>
      </c>
      <c r="T641">
        <f>+IF(DB!F641="AAAC-35",1,3)</f>
        <v>3</v>
      </c>
      <c r="U641">
        <f>+DB!R641</f>
        <v>0</v>
      </c>
      <c r="V641">
        <f>+IF(DB!P641="1RI",1,0)+IF(DB!P641="2RI",2,0)</f>
        <v>0</v>
      </c>
      <c r="W641">
        <f>+IF(DB!P641="1RV",1,0)+IF(DB!P641="2RV",2,0)</f>
        <v>0</v>
      </c>
      <c r="X641">
        <f>+IF(DB!P641="RYI",1,0)</f>
        <v>0</v>
      </c>
      <c r="Y641">
        <f>+IF(DB!P641="RYV",1,0)</f>
        <v>0</v>
      </c>
      <c r="Z641">
        <f>+DB!U641</f>
        <v>0</v>
      </c>
      <c r="AA641">
        <f>+IF(DB!F641="AAAC-35",19.5,33)</f>
        <v>33</v>
      </c>
      <c r="AB641">
        <f>+DB!V641</f>
        <v>0</v>
      </c>
      <c r="AC641" t="str">
        <f t="shared" si="29"/>
        <v>56-4</v>
      </c>
      <c r="AD641" s="21" t="s">
        <v>72</v>
      </c>
      <c r="AE641">
        <f>+DB!X641</f>
        <v>0</v>
      </c>
      <c r="AF641" s="22">
        <f>+DB!Y641</f>
        <v>0</v>
      </c>
      <c r="AG641">
        <f>+DB!AK641</f>
        <v>0</v>
      </c>
    </row>
    <row r="642" spans="1:33" x14ac:dyDescent="0.2">
      <c r="A642">
        <f>+DB!C642</f>
        <v>0</v>
      </c>
      <c r="B642">
        <f>+DB!D642</f>
        <v>0</v>
      </c>
      <c r="C642">
        <f>+DB!E642</f>
        <v>0</v>
      </c>
      <c r="D642">
        <f t="shared" si="27"/>
        <v>0</v>
      </c>
      <c r="E642">
        <f>+DB!G642</f>
        <v>0</v>
      </c>
      <c r="F642">
        <f>+DB!H642</f>
        <v>0</v>
      </c>
      <c r="G642">
        <f>+DB!N642</f>
        <v>0</v>
      </c>
      <c r="H642">
        <f>+DB!O642</f>
        <v>0</v>
      </c>
      <c r="I642">
        <f>+DB!I642</f>
        <v>0</v>
      </c>
      <c r="J642">
        <f>+DB!J642</f>
        <v>0</v>
      </c>
      <c r="K642">
        <f>+DB!L642</f>
        <v>0</v>
      </c>
      <c r="L642" t="str">
        <f t="shared" si="28"/>
        <v/>
      </c>
      <c r="M642" t="str">
        <f>+IF(LEFT(DB!M642,3)="13/","CAC","MAD")</f>
        <v>MAD</v>
      </c>
      <c r="N642" t="str">
        <f>+RIGHT(DB!M642,6)</f>
        <v/>
      </c>
      <c r="O642">
        <v>95</v>
      </c>
      <c r="P642">
        <v>5</v>
      </c>
      <c r="Q642">
        <f>+DB!AB642</f>
        <v>0</v>
      </c>
      <c r="R642">
        <f>+DB!K642</f>
        <v>0</v>
      </c>
      <c r="S642">
        <f>+DB!F642</f>
        <v>0</v>
      </c>
      <c r="T642">
        <f>+IF(DB!F642="AAAC-35",1,3)</f>
        <v>3</v>
      </c>
      <c r="U642">
        <f>+DB!R642</f>
        <v>0</v>
      </c>
      <c r="V642">
        <f>+IF(DB!P642="1RI",1,0)+IF(DB!P642="2RI",2,0)</f>
        <v>0</v>
      </c>
      <c r="W642">
        <f>+IF(DB!P642="1RV",1,0)+IF(DB!P642="2RV",2,0)</f>
        <v>0</v>
      </c>
      <c r="X642">
        <f>+IF(DB!P642="RYI",1,0)</f>
        <v>0</v>
      </c>
      <c r="Y642">
        <f>+IF(DB!P642="RYV",1,0)</f>
        <v>0</v>
      </c>
      <c r="Z642">
        <f>+DB!U642</f>
        <v>0</v>
      </c>
      <c r="AA642">
        <f>+IF(DB!F642="AAAC-35",19.5,33)</f>
        <v>33</v>
      </c>
      <c r="AB642">
        <f>+DB!V642</f>
        <v>0</v>
      </c>
      <c r="AC642" t="str">
        <f t="shared" si="29"/>
        <v>56-4</v>
      </c>
      <c r="AD642" s="21" t="s">
        <v>72</v>
      </c>
      <c r="AE642">
        <f>+DB!X642</f>
        <v>0</v>
      </c>
      <c r="AF642" s="22">
        <f>+DB!Y642</f>
        <v>0</v>
      </c>
      <c r="AG642">
        <f>+DB!AK642</f>
        <v>0</v>
      </c>
    </row>
    <row r="643" spans="1:33" x14ac:dyDescent="0.2">
      <c r="A643">
        <f>+DB!C643</f>
        <v>0</v>
      </c>
      <c r="B643">
        <f>+DB!D643</f>
        <v>0</v>
      </c>
      <c r="C643">
        <f>+DB!E643</f>
        <v>0</v>
      </c>
      <c r="D643">
        <f t="shared" ref="D643:D706" si="30">+IF(B643="PSEC-0PA","K",0)</f>
        <v>0</v>
      </c>
      <c r="E643">
        <f>+DB!G643</f>
        <v>0</v>
      </c>
      <c r="F643">
        <f>+DB!H643</f>
        <v>0</v>
      </c>
      <c r="G643">
        <f>+DB!N643</f>
        <v>0</v>
      </c>
      <c r="H643">
        <f>+DB!O643</f>
        <v>0</v>
      </c>
      <c r="I643">
        <f>+DB!I643</f>
        <v>0</v>
      </c>
      <c r="J643">
        <f>+DB!J643</f>
        <v>0</v>
      </c>
      <c r="K643">
        <f>+DB!L643</f>
        <v>0</v>
      </c>
      <c r="L643" t="str">
        <f t="shared" ref="L643:L706" si="31">+LEFT(N643,2)</f>
        <v/>
      </c>
      <c r="M643" t="str">
        <f>+IF(LEFT(DB!M643,3)="13/","CAC","MAD")</f>
        <v>MAD</v>
      </c>
      <c r="N643" t="str">
        <f>+RIGHT(DB!M643,6)</f>
        <v/>
      </c>
      <c r="O643">
        <v>95</v>
      </c>
      <c r="P643">
        <v>5</v>
      </c>
      <c r="Q643">
        <f>+DB!AB643</f>
        <v>0</v>
      </c>
      <c r="R643">
        <f>+DB!K643</f>
        <v>0</v>
      </c>
      <c r="S643">
        <f>+DB!F643</f>
        <v>0</v>
      </c>
      <c r="T643">
        <f>+IF(DB!F643="AAAC-35",1,3)</f>
        <v>3</v>
      </c>
      <c r="U643">
        <f>+DB!R643</f>
        <v>0</v>
      </c>
      <c r="V643">
        <f>+IF(DB!P643="1RI",1,0)+IF(DB!P643="2RI",2,0)</f>
        <v>0</v>
      </c>
      <c r="W643">
        <f>+IF(DB!P643="1RV",1,0)+IF(DB!P643="2RV",2,0)</f>
        <v>0</v>
      </c>
      <c r="X643">
        <f>+IF(DB!P643="RYI",1,0)</f>
        <v>0</v>
      </c>
      <c r="Y643">
        <f>+IF(DB!P643="RYV",1,0)</f>
        <v>0</v>
      </c>
      <c r="Z643">
        <f>+DB!U643</f>
        <v>0</v>
      </c>
      <c r="AA643">
        <f>+IF(DB!F643="AAAC-35",19.5,33)</f>
        <v>33</v>
      </c>
      <c r="AB643">
        <f>+DB!V643</f>
        <v>0</v>
      </c>
      <c r="AC643" t="str">
        <f t="shared" ref="AC643:AC706" si="32">+IF(F643&gt;1675,"56-5","56-4")</f>
        <v>56-4</v>
      </c>
      <c r="AD643" s="21" t="s">
        <v>72</v>
      </c>
      <c r="AE643">
        <f>+DB!X643</f>
        <v>0</v>
      </c>
      <c r="AF643" s="22">
        <f>+DB!Y643</f>
        <v>0</v>
      </c>
      <c r="AG643">
        <f>+DB!AK643</f>
        <v>0</v>
      </c>
    </row>
    <row r="644" spans="1:33" x14ac:dyDescent="0.2">
      <c r="A644">
        <f>+DB!C644</f>
        <v>0</v>
      </c>
      <c r="B644">
        <f>+DB!D644</f>
        <v>0</v>
      </c>
      <c r="C644">
        <f>+DB!E644</f>
        <v>0</v>
      </c>
      <c r="D644">
        <f t="shared" si="30"/>
        <v>0</v>
      </c>
      <c r="E644">
        <f>+DB!G644</f>
        <v>0</v>
      </c>
      <c r="F644">
        <f>+DB!H644</f>
        <v>0</v>
      </c>
      <c r="G644">
        <f>+DB!N644</f>
        <v>0</v>
      </c>
      <c r="H644">
        <f>+DB!O644</f>
        <v>0</v>
      </c>
      <c r="I644">
        <f>+DB!I644</f>
        <v>0</v>
      </c>
      <c r="J644">
        <f>+DB!J644</f>
        <v>0</v>
      </c>
      <c r="K644">
        <f>+DB!L644</f>
        <v>0</v>
      </c>
      <c r="L644" t="str">
        <f t="shared" si="31"/>
        <v/>
      </c>
      <c r="M644" t="str">
        <f>+IF(LEFT(DB!M644,3)="13/","CAC","MAD")</f>
        <v>MAD</v>
      </c>
      <c r="N644" t="str">
        <f>+RIGHT(DB!M644,6)</f>
        <v/>
      </c>
      <c r="O644">
        <v>95</v>
      </c>
      <c r="P644">
        <v>5</v>
      </c>
      <c r="Q644">
        <f>+DB!AB644</f>
        <v>0</v>
      </c>
      <c r="R644">
        <f>+DB!K644</f>
        <v>0</v>
      </c>
      <c r="S644">
        <f>+DB!F644</f>
        <v>0</v>
      </c>
      <c r="T644">
        <f>+IF(DB!F644="AAAC-35",1,3)</f>
        <v>3</v>
      </c>
      <c r="U644">
        <f>+DB!R644</f>
        <v>0</v>
      </c>
      <c r="V644">
        <f>+IF(DB!P644="1RI",1,0)+IF(DB!P644="2RI",2,0)</f>
        <v>0</v>
      </c>
      <c r="W644">
        <f>+IF(DB!P644="1RV",1,0)+IF(DB!P644="2RV",2,0)</f>
        <v>0</v>
      </c>
      <c r="X644">
        <f>+IF(DB!P644="RYI",1,0)</f>
        <v>0</v>
      </c>
      <c r="Y644">
        <f>+IF(DB!P644="RYV",1,0)</f>
        <v>0</v>
      </c>
      <c r="Z644">
        <f>+DB!U644</f>
        <v>0</v>
      </c>
      <c r="AA644">
        <f>+IF(DB!F644="AAAC-35",19.5,33)</f>
        <v>33</v>
      </c>
      <c r="AB644">
        <f>+DB!V644</f>
        <v>0</v>
      </c>
      <c r="AC644" t="str">
        <f t="shared" si="32"/>
        <v>56-4</v>
      </c>
      <c r="AD644" s="21" t="s">
        <v>72</v>
      </c>
      <c r="AE644">
        <f>+DB!X644</f>
        <v>0</v>
      </c>
      <c r="AF644" s="22">
        <f>+DB!Y644</f>
        <v>0</v>
      </c>
      <c r="AG644">
        <f>+DB!AK644</f>
        <v>0</v>
      </c>
    </row>
    <row r="645" spans="1:33" x14ac:dyDescent="0.2">
      <c r="A645">
        <f>+DB!C645</f>
        <v>0</v>
      </c>
      <c r="B645">
        <f>+DB!D645</f>
        <v>0</v>
      </c>
      <c r="C645">
        <f>+DB!E645</f>
        <v>0</v>
      </c>
      <c r="D645">
        <f t="shared" si="30"/>
        <v>0</v>
      </c>
      <c r="E645">
        <f>+DB!G645</f>
        <v>0</v>
      </c>
      <c r="F645">
        <f>+DB!H645</f>
        <v>0</v>
      </c>
      <c r="G645">
        <f>+DB!N645</f>
        <v>0</v>
      </c>
      <c r="H645">
        <f>+DB!O645</f>
        <v>0</v>
      </c>
      <c r="I645">
        <f>+DB!I645</f>
        <v>0</v>
      </c>
      <c r="J645">
        <f>+DB!J645</f>
        <v>0</v>
      </c>
      <c r="K645">
        <f>+DB!L645</f>
        <v>0</v>
      </c>
      <c r="L645" t="str">
        <f t="shared" si="31"/>
        <v/>
      </c>
      <c r="M645" t="str">
        <f>+IF(LEFT(DB!M645,3)="13/","CAC","MAD")</f>
        <v>MAD</v>
      </c>
      <c r="N645" t="str">
        <f>+RIGHT(DB!M645,6)</f>
        <v/>
      </c>
      <c r="O645">
        <v>95</v>
      </c>
      <c r="P645">
        <v>5</v>
      </c>
      <c r="Q645">
        <f>+DB!AB645</f>
        <v>0</v>
      </c>
      <c r="R645">
        <f>+DB!K645</f>
        <v>0</v>
      </c>
      <c r="S645">
        <f>+DB!F645</f>
        <v>0</v>
      </c>
      <c r="T645">
        <f>+IF(DB!F645="AAAC-35",1,3)</f>
        <v>3</v>
      </c>
      <c r="U645">
        <f>+DB!R645</f>
        <v>0</v>
      </c>
      <c r="V645">
        <f>+IF(DB!P645="1RI",1,0)+IF(DB!P645="2RI",2,0)</f>
        <v>0</v>
      </c>
      <c r="W645">
        <f>+IF(DB!P645="1RV",1,0)+IF(DB!P645="2RV",2,0)</f>
        <v>0</v>
      </c>
      <c r="X645">
        <f>+IF(DB!P645="RYI",1,0)</f>
        <v>0</v>
      </c>
      <c r="Y645">
        <f>+IF(DB!P645="RYV",1,0)</f>
        <v>0</v>
      </c>
      <c r="Z645">
        <f>+DB!U645</f>
        <v>0</v>
      </c>
      <c r="AA645">
        <f>+IF(DB!F645="AAAC-35",19.5,33)</f>
        <v>33</v>
      </c>
      <c r="AB645">
        <f>+DB!V645</f>
        <v>0</v>
      </c>
      <c r="AC645" t="str">
        <f t="shared" si="32"/>
        <v>56-4</v>
      </c>
      <c r="AD645" s="21" t="s">
        <v>72</v>
      </c>
      <c r="AE645">
        <f>+DB!X645</f>
        <v>0</v>
      </c>
      <c r="AF645" s="22">
        <f>+DB!Y645</f>
        <v>0</v>
      </c>
      <c r="AG645">
        <f>+DB!AK645</f>
        <v>0</v>
      </c>
    </row>
    <row r="646" spans="1:33" x14ac:dyDescent="0.2">
      <c r="A646">
        <f>+DB!C646</f>
        <v>0</v>
      </c>
      <c r="B646">
        <f>+DB!D646</f>
        <v>0</v>
      </c>
      <c r="C646">
        <f>+DB!E646</f>
        <v>0</v>
      </c>
      <c r="D646">
        <f t="shared" si="30"/>
        <v>0</v>
      </c>
      <c r="E646">
        <f>+DB!G646</f>
        <v>0</v>
      </c>
      <c r="F646">
        <f>+DB!H646</f>
        <v>0</v>
      </c>
      <c r="G646">
        <f>+DB!N646</f>
        <v>0</v>
      </c>
      <c r="H646">
        <f>+DB!O646</f>
        <v>0</v>
      </c>
      <c r="I646">
        <f>+DB!I646</f>
        <v>0</v>
      </c>
      <c r="J646">
        <f>+DB!J646</f>
        <v>0</v>
      </c>
      <c r="K646">
        <f>+DB!L646</f>
        <v>0</v>
      </c>
      <c r="L646" t="str">
        <f t="shared" si="31"/>
        <v/>
      </c>
      <c r="M646" t="str">
        <f>+IF(LEFT(DB!M646,3)="13/","CAC","MAD")</f>
        <v>MAD</v>
      </c>
      <c r="N646" t="str">
        <f>+RIGHT(DB!M646,6)</f>
        <v/>
      </c>
      <c r="O646">
        <v>95</v>
      </c>
      <c r="P646">
        <v>5</v>
      </c>
      <c r="Q646">
        <f>+DB!AB646</f>
        <v>0</v>
      </c>
      <c r="R646">
        <f>+DB!K646</f>
        <v>0</v>
      </c>
      <c r="S646">
        <f>+DB!F646</f>
        <v>0</v>
      </c>
      <c r="T646">
        <f>+IF(DB!F646="AAAC-35",1,3)</f>
        <v>3</v>
      </c>
      <c r="U646">
        <f>+DB!R646</f>
        <v>0</v>
      </c>
      <c r="V646">
        <f>+IF(DB!P646="1RI",1,0)+IF(DB!P646="2RI",2,0)</f>
        <v>0</v>
      </c>
      <c r="W646">
        <f>+IF(DB!P646="1RV",1,0)+IF(DB!P646="2RV",2,0)</f>
        <v>0</v>
      </c>
      <c r="X646">
        <f>+IF(DB!P646="RYI",1,0)</f>
        <v>0</v>
      </c>
      <c r="Y646">
        <f>+IF(DB!P646="RYV",1,0)</f>
        <v>0</v>
      </c>
      <c r="Z646">
        <f>+DB!U646</f>
        <v>0</v>
      </c>
      <c r="AA646">
        <f>+IF(DB!F646="AAAC-35",19.5,33)</f>
        <v>33</v>
      </c>
      <c r="AB646">
        <f>+DB!V646</f>
        <v>0</v>
      </c>
      <c r="AC646" t="str">
        <f t="shared" si="32"/>
        <v>56-4</v>
      </c>
      <c r="AD646" s="21" t="s">
        <v>72</v>
      </c>
      <c r="AE646">
        <f>+DB!X646</f>
        <v>0</v>
      </c>
      <c r="AF646" s="22">
        <f>+DB!Y646</f>
        <v>0</v>
      </c>
      <c r="AG646">
        <f>+DB!AK646</f>
        <v>0</v>
      </c>
    </row>
    <row r="647" spans="1:33" x14ac:dyDescent="0.2">
      <c r="A647">
        <f>+DB!C647</f>
        <v>0</v>
      </c>
      <c r="B647">
        <f>+DB!D647</f>
        <v>0</v>
      </c>
      <c r="C647">
        <f>+DB!E647</f>
        <v>0</v>
      </c>
      <c r="D647">
        <f t="shared" si="30"/>
        <v>0</v>
      </c>
      <c r="E647">
        <f>+DB!G647</f>
        <v>0</v>
      </c>
      <c r="F647">
        <f>+DB!H647</f>
        <v>0</v>
      </c>
      <c r="G647">
        <f>+DB!N647</f>
        <v>0</v>
      </c>
      <c r="H647">
        <f>+DB!O647</f>
        <v>0</v>
      </c>
      <c r="I647">
        <f>+DB!I647</f>
        <v>0</v>
      </c>
      <c r="J647">
        <f>+DB!J647</f>
        <v>0</v>
      </c>
      <c r="K647">
        <f>+DB!L647</f>
        <v>0</v>
      </c>
      <c r="L647" t="str">
        <f t="shared" si="31"/>
        <v/>
      </c>
      <c r="M647" t="str">
        <f>+IF(LEFT(DB!M647,3)="13/","CAC","MAD")</f>
        <v>MAD</v>
      </c>
      <c r="N647" t="str">
        <f>+RIGHT(DB!M647,6)</f>
        <v/>
      </c>
      <c r="O647">
        <v>95</v>
      </c>
      <c r="P647">
        <v>5</v>
      </c>
      <c r="Q647">
        <f>+DB!AB647</f>
        <v>0</v>
      </c>
      <c r="R647">
        <f>+DB!K647</f>
        <v>0</v>
      </c>
      <c r="S647">
        <f>+DB!F647</f>
        <v>0</v>
      </c>
      <c r="T647">
        <f>+IF(DB!F647="AAAC-35",1,3)</f>
        <v>3</v>
      </c>
      <c r="U647">
        <f>+DB!R647</f>
        <v>0</v>
      </c>
      <c r="V647">
        <f>+IF(DB!P647="1RI",1,0)+IF(DB!P647="2RI",2,0)</f>
        <v>0</v>
      </c>
      <c r="W647">
        <f>+IF(DB!P647="1RV",1,0)+IF(DB!P647="2RV",2,0)</f>
        <v>0</v>
      </c>
      <c r="X647">
        <f>+IF(DB!P647="RYI",1,0)</f>
        <v>0</v>
      </c>
      <c r="Y647">
        <f>+IF(DB!P647="RYV",1,0)</f>
        <v>0</v>
      </c>
      <c r="Z647">
        <f>+DB!U647</f>
        <v>0</v>
      </c>
      <c r="AA647">
        <f>+IF(DB!F647="AAAC-35",19.5,33)</f>
        <v>33</v>
      </c>
      <c r="AB647">
        <f>+DB!V647</f>
        <v>0</v>
      </c>
      <c r="AC647" t="str">
        <f t="shared" si="32"/>
        <v>56-4</v>
      </c>
      <c r="AD647" s="21" t="s">
        <v>72</v>
      </c>
      <c r="AE647">
        <f>+DB!X647</f>
        <v>0</v>
      </c>
      <c r="AF647" s="22">
        <f>+DB!Y647</f>
        <v>0</v>
      </c>
      <c r="AG647">
        <f>+DB!AK647</f>
        <v>0</v>
      </c>
    </row>
    <row r="648" spans="1:33" x14ac:dyDescent="0.2">
      <c r="A648">
        <f>+DB!C648</f>
        <v>0</v>
      </c>
      <c r="B648">
        <f>+DB!D648</f>
        <v>0</v>
      </c>
      <c r="C648">
        <f>+DB!E648</f>
        <v>0</v>
      </c>
      <c r="D648">
        <f t="shared" si="30"/>
        <v>0</v>
      </c>
      <c r="E648">
        <f>+DB!G648</f>
        <v>0</v>
      </c>
      <c r="F648">
        <f>+DB!H648</f>
        <v>0</v>
      </c>
      <c r="G648">
        <f>+DB!N648</f>
        <v>0</v>
      </c>
      <c r="H648">
        <f>+DB!O648</f>
        <v>0</v>
      </c>
      <c r="I648">
        <f>+DB!I648</f>
        <v>0</v>
      </c>
      <c r="J648">
        <f>+DB!J648</f>
        <v>0</v>
      </c>
      <c r="K648">
        <f>+DB!L648</f>
        <v>0</v>
      </c>
      <c r="L648" t="str">
        <f t="shared" si="31"/>
        <v/>
      </c>
      <c r="M648" t="str">
        <f>+IF(LEFT(DB!M648,3)="13/","CAC","MAD")</f>
        <v>MAD</v>
      </c>
      <c r="N648" t="str">
        <f>+RIGHT(DB!M648,6)</f>
        <v/>
      </c>
      <c r="O648">
        <v>95</v>
      </c>
      <c r="P648">
        <v>5</v>
      </c>
      <c r="Q648">
        <f>+DB!AB648</f>
        <v>0</v>
      </c>
      <c r="R648">
        <f>+DB!K648</f>
        <v>0</v>
      </c>
      <c r="S648">
        <f>+DB!F648</f>
        <v>0</v>
      </c>
      <c r="T648">
        <f>+IF(DB!F648="AAAC-35",1,3)</f>
        <v>3</v>
      </c>
      <c r="U648">
        <f>+DB!R648</f>
        <v>0</v>
      </c>
      <c r="V648">
        <f>+IF(DB!P648="1RI",1,0)+IF(DB!P648="2RI",2,0)</f>
        <v>0</v>
      </c>
      <c r="W648">
        <f>+IF(DB!P648="1RV",1,0)+IF(DB!P648="2RV",2,0)</f>
        <v>0</v>
      </c>
      <c r="X648">
        <f>+IF(DB!P648="RYI",1,0)</f>
        <v>0</v>
      </c>
      <c r="Y648">
        <f>+IF(DB!P648="RYV",1,0)</f>
        <v>0</v>
      </c>
      <c r="Z648">
        <f>+DB!U648</f>
        <v>0</v>
      </c>
      <c r="AA648">
        <f>+IF(DB!F648="AAAC-35",19.5,33)</f>
        <v>33</v>
      </c>
      <c r="AB648">
        <f>+DB!V648</f>
        <v>0</v>
      </c>
      <c r="AC648" t="str">
        <f t="shared" si="32"/>
        <v>56-4</v>
      </c>
      <c r="AD648" s="21" t="s">
        <v>72</v>
      </c>
      <c r="AE648">
        <f>+DB!X648</f>
        <v>0</v>
      </c>
      <c r="AF648" s="22">
        <f>+DB!Y648</f>
        <v>0</v>
      </c>
      <c r="AG648">
        <f>+DB!AK648</f>
        <v>0</v>
      </c>
    </row>
    <row r="649" spans="1:33" x14ac:dyDescent="0.2">
      <c r="A649">
        <f>+DB!C649</f>
        <v>0</v>
      </c>
      <c r="B649">
        <f>+DB!D649</f>
        <v>0</v>
      </c>
      <c r="C649">
        <f>+DB!E649</f>
        <v>0</v>
      </c>
      <c r="D649">
        <f t="shared" si="30"/>
        <v>0</v>
      </c>
      <c r="E649">
        <f>+DB!G649</f>
        <v>0</v>
      </c>
      <c r="F649">
        <f>+DB!H649</f>
        <v>0</v>
      </c>
      <c r="G649">
        <f>+DB!N649</f>
        <v>0</v>
      </c>
      <c r="H649">
        <f>+DB!O649</f>
        <v>0</v>
      </c>
      <c r="I649">
        <f>+DB!I649</f>
        <v>0</v>
      </c>
      <c r="J649">
        <f>+DB!J649</f>
        <v>0</v>
      </c>
      <c r="K649">
        <f>+DB!L649</f>
        <v>0</v>
      </c>
      <c r="L649" t="str">
        <f t="shared" si="31"/>
        <v/>
      </c>
      <c r="M649" t="str">
        <f>+IF(LEFT(DB!M649,3)="13/","CAC","MAD")</f>
        <v>MAD</v>
      </c>
      <c r="N649" t="str">
        <f>+RIGHT(DB!M649,6)</f>
        <v/>
      </c>
      <c r="O649">
        <v>95</v>
      </c>
      <c r="P649">
        <v>5</v>
      </c>
      <c r="Q649">
        <f>+DB!AB649</f>
        <v>0</v>
      </c>
      <c r="R649">
        <f>+DB!K649</f>
        <v>0</v>
      </c>
      <c r="S649">
        <f>+DB!F649</f>
        <v>0</v>
      </c>
      <c r="T649">
        <f>+IF(DB!F649="AAAC-35",1,3)</f>
        <v>3</v>
      </c>
      <c r="U649">
        <f>+DB!R649</f>
        <v>0</v>
      </c>
      <c r="V649">
        <f>+IF(DB!P649="1RI",1,0)+IF(DB!P649="2RI",2,0)</f>
        <v>0</v>
      </c>
      <c r="W649">
        <f>+IF(DB!P649="1RV",1,0)+IF(DB!P649="2RV",2,0)</f>
        <v>0</v>
      </c>
      <c r="X649">
        <f>+IF(DB!P649="RYI",1,0)</f>
        <v>0</v>
      </c>
      <c r="Y649">
        <f>+IF(DB!P649="RYV",1,0)</f>
        <v>0</v>
      </c>
      <c r="Z649">
        <f>+DB!U649</f>
        <v>0</v>
      </c>
      <c r="AA649">
        <f>+IF(DB!F649="AAAC-35",19.5,33)</f>
        <v>33</v>
      </c>
      <c r="AB649">
        <f>+DB!V649</f>
        <v>0</v>
      </c>
      <c r="AC649" t="str">
        <f t="shared" si="32"/>
        <v>56-4</v>
      </c>
      <c r="AD649" s="21" t="s">
        <v>72</v>
      </c>
      <c r="AE649">
        <f>+DB!X649</f>
        <v>0</v>
      </c>
      <c r="AF649" s="22">
        <f>+DB!Y649</f>
        <v>0</v>
      </c>
      <c r="AG649">
        <f>+DB!AK649</f>
        <v>0</v>
      </c>
    </row>
    <row r="650" spans="1:33" x14ac:dyDescent="0.2">
      <c r="A650">
        <f>+DB!C650</f>
        <v>0</v>
      </c>
      <c r="B650">
        <f>+DB!D650</f>
        <v>0</v>
      </c>
      <c r="C650">
        <f>+DB!E650</f>
        <v>0</v>
      </c>
      <c r="D650">
        <f t="shared" si="30"/>
        <v>0</v>
      </c>
      <c r="E650">
        <f>+DB!G650</f>
        <v>0</v>
      </c>
      <c r="F650">
        <f>+DB!H650</f>
        <v>0</v>
      </c>
      <c r="G650">
        <f>+DB!N650</f>
        <v>0</v>
      </c>
      <c r="H650">
        <f>+DB!O650</f>
        <v>0</v>
      </c>
      <c r="I650">
        <f>+DB!I650</f>
        <v>0</v>
      </c>
      <c r="J650">
        <f>+DB!J650</f>
        <v>0</v>
      </c>
      <c r="K650">
        <f>+DB!L650</f>
        <v>0</v>
      </c>
      <c r="L650" t="str">
        <f t="shared" si="31"/>
        <v/>
      </c>
      <c r="M650" t="str">
        <f>+IF(LEFT(DB!M650,3)="13/","CAC","MAD")</f>
        <v>MAD</v>
      </c>
      <c r="N650" t="str">
        <f>+RIGHT(DB!M650,6)</f>
        <v/>
      </c>
      <c r="O650">
        <v>95</v>
      </c>
      <c r="P650">
        <v>5</v>
      </c>
      <c r="Q650">
        <f>+DB!AB650</f>
        <v>0</v>
      </c>
      <c r="R650">
        <f>+DB!K650</f>
        <v>0</v>
      </c>
      <c r="S650">
        <f>+DB!F650</f>
        <v>0</v>
      </c>
      <c r="T650">
        <f>+IF(DB!F650="AAAC-35",1,3)</f>
        <v>3</v>
      </c>
      <c r="U650">
        <f>+DB!R650</f>
        <v>0</v>
      </c>
      <c r="V650">
        <f>+IF(DB!P650="1RI",1,0)+IF(DB!P650="2RI",2,0)</f>
        <v>0</v>
      </c>
      <c r="W650">
        <f>+IF(DB!P650="1RV",1,0)+IF(DB!P650="2RV",2,0)</f>
        <v>0</v>
      </c>
      <c r="X650">
        <f>+IF(DB!P650="RYI",1,0)</f>
        <v>0</v>
      </c>
      <c r="Y650">
        <f>+IF(DB!P650="RYV",1,0)</f>
        <v>0</v>
      </c>
      <c r="Z650">
        <f>+DB!U650</f>
        <v>0</v>
      </c>
      <c r="AA650">
        <f>+IF(DB!F650="AAAC-35",19.5,33)</f>
        <v>33</v>
      </c>
      <c r="AB650">
        <f>+DB!V650</f>
        <v>0</v>
      </c>
      <c r="AC650" t="str">
        <f t="shared" si="32"/>
        <v>56-4</v>
      </c>
      <c r="AD650" s="21" t="s">
        <v>72</v>
      </c>
      <c r="AE650">
        <f>+DB!X650</f>
        <v>0</v>
      </c>
      <c r="AF650" s="22">
        <f>+DB!Y650</f>
        <v>0</v>
      </c>
      <c r="AG650">
        <f>+DB!AK650</f>
        <v>0</v>
      </c>
    </row>
    <row r="651" spans="1:33" x14ac:dyDescent="0.2">
      <c r="A651">
        <f>+DB!C651</f>
        <v>0</v>
      </c>
      <c r="B651">
        <f>+DB!D651</f>
        <v>0</v>
      </c>
      <c r="C651">
        <f>+DB!E651</f>
        <v>0</v>
      </c>
      <c r="D651">
        <f t="shared" si="30"/>
        <v>0</v>
      </c>
      <c r="E651">
        <f>+DB!G651</f>
        <v>0</v>
      </c>
      <c r="F651">
        <f>+DB!H651</f>
        <v>0</v>
      </c>
      <c r="G651">
        <f>+DB!N651</f>
        <v>0</v>
      </c>
      <c r="H651">
        <f>+DB!O651</f>
        <v>0</v>
      </c>
      <c r="I651">
        <f>+DB!I651</f>
        <v>0</v>
      </c>
      <c r="J651">
        <f>+DB!J651</f>
        <v>0</v>
      </c>
      <c r="K651">
        <f>+DB!L651</f>
        <v>0</v>
      </c>
      <c r="L651" t="str">
        <f t="shared" si="31"/>
        <v/>
      </c>
      <c r="M651" t="str">
        <f>+IF(LEFT(DB!M651,3)="13/","CAC","MAD")</f>
        <v>MAD</v>
      </c>
      <c r="N651" t="str">
        <f>+RIGHT(DB!M651,6)</f>
        <v/>
      </c>
      <c r="O651">
        <v>95</v>
      </c>
      <c r="P651">
        <v>5</v>
      </c>
      <c r="Q651">
        <f>+DB!AB651</f>
        <v>0</v>
      </c>
      <c r="R651">
        <f>+DB!K651</f>
        <v>0</v>
      </c>
      <c r="S651">
        <f>+DB!F651</f>
        <v>0</v>
      </c>
      <c r="T651">
        <f>+IF(DB!F651="AAAC-35",1,3)</f>
        <v>3</v>
      </c>
      <c r="U651">
        <f>+DB!R651</f>
        <v>0</v>
      </c>
      <c r="V651">
        <f>+IF(DB!P651="1RI",1,0)+IF(DB!P651="2RI",2,0)</f>
        <v>0</v>
      </c>
      <c r="W651">
        <f>+IF(DB!P651="1RV",1,0)+IF(DB!P651="2RV",2,0)</f>
        <v>0</v>
      </c>
      <c r="X651">
        <f>+IF(DB!P651="RYI",1,0)</f>
        <v>0</v>
      </c>
      <c r="Y651">
        <f>+IF(DB!P651="RYV",1,0)</f>
        <v>0</v>
      </c>
      <c r="Z651">
        <f>+DB!U651</f>
        <v>0</v>
      </c>
      <c r="AA651">
        <f>+IF(DB!F651="AAAC-35",19.5,33)</f>
        <v>33</v>
      </c>
      <c r="AB651">
        <f>+DB!V651</f>
        <v>0</v>
      </c>
      <c r="AC651" t="str">
        <f t="shared" si="32"/>
        <v>56-4</v>
      </c>
      <c r="AD651" s="21" t="s">
        <v>72</v>
      </c>
      <c r="AE651">
        <f>+DB!X651</f>
        <v>0</v>
      </c>
      <c r="AF651" s="22">
        <f>+DB!Y651</f>
        <v>0</v>
      </c>
      <c r="AG651">
        <f>+DB!AK651</f>
        <v>0</v>
      </c>
    </row>
    <row r="652" spans="1:33" x14ac:dyDescent="0.2">
      <c r="A652">
        <f>+DB!C652</f>
        <v>0</v>
      </c>
      <c r="B652">
        <f>+DB!D652</f>
        <v>0</v>
      </c>
      <c r="C652">
        <f>+DB!E652</f>
        <v>0</v>
      </c>
      <c r="D652">
        <f t="shared" si="30"/>
        <v>0</v>
      </c>
      <c r="E652">
        <f>+DB!G652</f>
        <v>0</v>
      </c>
      <c r="F652">
        <f>+DB!H652</f>
        <v>0</v>
      </c>
      <c r="G652">
        <f>+DB!N652</f>
        <v>0</v>
      </c>
      <c r="H652">
        <f>+DB!O652</f>
        <v>0</v>
      </c>
      <c r="I652">
        <f>+DB!I652</f>
        <v>0</v>
      </c>
      <c r="J652">
        <f>+DB!J652</f>
        <v>0</v>
      </c>
      <c r="K652">
        <f>+DB!L652</f>
        <v>0</v>
      </c>
      <c r="L652" t="str">
        <f t="shared" si="31"/>
        <v/>
      </c>
      <c r="M652" t="str">
        <f>+IF(LEFT(DB!M652,3)="13/","CAC","MAD")</f>
        <v>MAD</v>
      </c>
      <c r="N652" t="str">
        <f>+RIGHT(DB!M652,6)</f>
        <v/>
      </c>
      <c r="O652">
        <v>95</v>
      </c>
      <c r="P652">
        <v>5</v>
      </c>
      <c r="Q652">
        <f>+DB!AB652</f>
        <v>0</v>
      </c>
      <c r="R652">
        <f>+DB!K652</f>
        <v>0</v>
      </c>
      <c r="S652">
        <f>+DB!F652</f>
        <v>0</v>
      </c>
      <c r="T652">
        <f>+IF(DB!F652="AAAC-35",1,3)</f>
        <v>3</v>
      </c>
      <c r="U652">
        <f>+DB!R652</f>
        <v>0</v>
      </c>
      <c r="V652">
        <f>+IF(DB!P652="1RI",1,0)+IF(DB!P652="2RI",2,0)</f>
        <v>0</v>
      </c>
      <c r="W652">
        <f>+IF(DB!P652="1RV",1,0)+IF(DB!P652="2RV",2,0)</f>
        <v>0</v>
      </c>
      <c r="X652">
        <f>+IF(DB!P652="RYI",1,0)</f>
        <v>0</v>
      </c>
      <c r="Y652">
        <f>+IF(DB!P652="RYV",1,0)</f>
        <v>0</v>
      </c>
      <c r="Z652">
        <f>+DB!U652</f>
        <v>0</v>
      </c>
      <c r="AA652">
        <f>+IF(DB!F652="AAAC-35",19.5,33)</f>
        <v>33</v>
      </c>
      <c r="AB652">
        <f>+DB!V652</f>
        <v>0</v>
      </c>
      <c r="AC652" t="str">
        <f t="shared" si="32"/>
        <v>56-4</v>
      </c>
      <c r="AD652" s="21" t="s">
        <v>72</v>
      </c>
      <c r="AE652">
        <f>+DB!X652</f>
        <v>0</v>
      </c>
      <c r="AF652" s="22">
        <f>+DB!Y652</f>
        <v>0</v>
      </c>
      <c r="AG652">
        <f>+DB!AK652</f>
        <v>0</v>
      </c>
    </row>
    <row r="653" spans="1:33" x14ac:dyDescent="0.2">
      <c r="A653">
        <f>+DB!C653</f>
        <v>0</v>
      </c>
      <c r="B653">
        <f>+DB!D653</f>
        <v>0</v>
      </c>
      <c r="C653">
        <f>+DB!E653</f>
        <v>0</v>
      </c>
      <c r="D653">
        <f t="shared" si="30"/>
        <v>0</v>
      </c>
      <c r="E653">
        <f>+DB!G653</f>
        <v>0</v>
      </c>
      <c r="F653">
        <f>+DB!H653</f>
        <v>0</v>
      </c>
      <c r="G653">
        <f>+DB!N653</f>
        <v>0</v>
      </c>
      <c r="H653">
        <f>+DB!O653</f>
        <v>0</v>
      </c>
      <c r="I653">
        <f>+DB!I653</f>
        <v>0</v>
      </c>
      <c r="J653">
        <f>+DB!J653</f>
        <v>0</v>
      </c>
      <c r="K653">
        <f>+DB!L653</f>
        <v>0</v>
      </c>
      <c r="L653" t="str">
        <f t="shared" si="31"/>
        <v/>
      </c>
      <c r="M653" t="str">
        <f>+IF(LEFT(DB!M653,3)="13/","CAC","MAD")</f>
        <v>MAD</v>
      </c>
      <c r="N653" t="str">
        <f>+RIGHT(DB!M653,6)</f>
        <v/>
      </c>
      <c r="O653">
        <v>95</v>
      </c>
      <c r="P653">
        <v>5</v>
      </c>
      <c r="Q653">
        <f>+DB!AB653</f>
        <v>0</v>
      </c>
      <c r="R653">
        <f>+DB!K653</f>
        <v>0</v>
      </c>
      <c r="S653">
        <f>+DB!F653</f>
        <v>0</v>
      </c>
      <c r="T653">
        <f>+IF(DB!F653="AAAC-35",1,3)</f>
        <v>3</v>
      </c>
      <c r="U653">
        <f>+DB!R653</f>
        <v>0</v>
      </c>
      <c r="V653">
        <f>+IF(DB!P653="1RI",1,0)+IF(DB!P653="2RI",2,0)</f>
        <v>0</v>
      </c>
      <c r="W653">
        <f>+IF(DB!P653="1RV",1,0)+IF(DB!P653="2RV",2,0)</f>
        <v>0</v>
      </c>
      <c r="X653">
        <f>+IF(DB!P653="RYI",1,0)</f>
        <v>0</v>
      </c>
      <c r="Y653">
        <f>+IF(DB!P653="RYV",1,0)</f>
        <v>0</v>
      </c>
      <c r="Z653">
        <f>+DB!U653</f>
        <v>0</v>
      </c>
      <c r="AA653">
        <f>+IF(DB!F653="AAAC-35",19.5,33)</f>
        <v>33</v>
      </c>
      <c r="AB653">
        <f>+DB!V653</f>
        <v>0</v>
      </c>
      <c r="AC653" t="str">
        <f t="shared" si="32"/>
        <v>56-4</v>
      </c>
      <c r="AD653" s="21" t="s">
        <v>72</v>
      </c>
      <c r="AE653">
        <f>+DB!X653</f>
        <v>0</v>
      </c>
      <c r="AF653" s="22">
        <f>+DB!Y653</f>
        <v>0</v>
      </c>
      <c r="AG653">
        <f>+DB!AK653</f>
        <v>0</v>
      </c>
    </row>
    <row r="654" spans="1:33" x14ac:dyDescent="0.2">
      <c r="A654">
        <f>+DB!C654</f>
        <v>0</v>
      </c>
      <c r="B654">
        <f>+DB!D654</f>
        <v>0</v>
      </c>
      <c r="C654">
        <f>+DB!E654</f>
        <v>0</v>
      </c>
      <c r="D654">
        <f t="shared" si="30"/>
        <v>0</v>
      </c>
      <c r="E654">
        <f>+DB!G654</f>
        <v>0</v>
      </c>
      <c r="F654">
        <f>+DB!H654</f>
        <v>0</v>
      </c>
      <c r="G654">
        <f>+DB!N654</f>
        <v>0</v>
      </c>
      <c r="H654">
        <f>+DB!O654</f>
        <v>0</v>
      </c>
      <c r="I654">
        <f>+DB!I654</f>
        <v>0</v>
      </c>
      <c r="J654">
        <f>+DB!J654</f>
        <v>0</v>
      </c>
      <c r="K654">
        <f>+DB!L654</f>
        <v>0</v>
      </c>
      <c r="L654" t="str">
        <f t="shared" si="31"/>
        <v/>
      </c>
      <c r="M654" t="str">
        <f>+IF(LEFT(DB!M654,3)="13/","CAC","MAD")</f>
        <v>MAD</v>
      </c>
      <c r="N654" t="str">
        <f>+RIGHT(DB!M654,6)</f>
        <v/>
      </c>
      <c r="O654">
        <v>95</v>
      </c>
      <c r="P654">
        <v>5</v>
      </c>
      <c r="Q654">
        <f>+DB!AB654</f>
        <v>0</v>
      </c>
      <c r="R654">
        <f>+DB!K654</f>
        <v>0</v>
      </c>
      <c r="S654">
        <f>+DB!F654</f>
        <v>0</v>
      </c>
      <c r="T654">
        <f>+IF(DB!F654="AAAC-35",1,3)</f>
        <v>3</v>
      </c>
      <c r="U654">
        <f>+DB!R654</f>
        <v>0</v>
      </c>
      <c r="V654">
        <f>+IF(DB!P654="1RI",1,0)+IF(DB!P654="2RI",2,0)</f>
        <v>0</v>
      </c>
      <c r="W654">
        <f>+IF(DB!P654="1RV",1,0)+IF(DB!P654="2RV",2,0)</f>
        <v>0</v>
      </c>
      <c r="X654">
        <f>+IF(DB!P654="RYI",1,0)</f>
        <v>0</v>
      </c>
      <c r="Y654">
        <f>+IF(DB!P654="RYV",1,0)</f>
        <v>0</v>
      </c>
      <c r="Z654">
        <f>+DB!U654</f>
        <v>0</v>
      </c>
      <c r="AA654">
        <f>+IF(DB!F654="AAAC-35",19.5,33)</f>
        <v>33</v>
      </c>
      <c r="AB654">
        <f>+DB!V654</f>
        <v>0</v>
      </c>
      <c r="AC654" t="str">
        <f t="shared" si="32"/>
        <v>56-4</v>
      </c>
      <c r="AD654" s="21" t="s">
        <v>72</v>
      </c>
      <c r="AE654">
        <f>+DB!X654</f>
        <v>0</v>
      </c>
      <c r="AF654" s="22">
        <f>+DB!Y654</f>
        <v>0</v>
      </c>
      <c r="AG654">
        <f>+DB!AK654</f>
        <v>0</v>
      </c>
    </row>
    <row r="655" spans="1:33" x14ac:dyDescent="0.2">
      <c r="A655">
        <f>+DB!C655</f>
        <v>0</v>
      </c>
      <c r="B655">
        <f>+DB!D655</f>
        <v>0</v>
      </c>
      <c r="C655">
        <f>+DB!E655</f>
        <v>0</v>
      </c>
      <c r="D655">
        <f t="shared" si="30"/>
        <v>0</v>
      </c>
      <c r="E655">
        <f>+DB!G655</f>
        <v>0</v>
      </c>
      <c r="F655">
        <f>+DB!H655</f>
        <v>0</v>
      </c>
      <c r="G655">
        <f>+DB!N655</f>
        <v>0</v>
      </c>
      <c r="H655">
        <f>+DB!O655</f>
        <v>0</v>
      </c>
      <c r="I655">
        <f>+DB!I655</f>
        <v>0</v>
      </c>
      <c r="J655">
        <f>+DB!J655</f>
        <v>0</v>
      </c>
      <c r="K655">
        <f>+DB!L655</f>
        <v>0</v>
      </c>
      <c r="L655" t="str">
        <f t="shared" si="31"/>
        <v/>
      </c>
      <c r="M655" t="str">
        <f>+IF(LEFT(DB!M655,3)="13/","CAC","MAD")</f>
        <v>MAD</v>
      </c>
      <c r="N655" t="str">
        <f>+RIGHT(DB!M655,6)</f>
        <v/>
      </c>
      <c r="O655">
        <v>95</v>
      </c>
      <c r="P655">
        <v>5</v>
      </c>
      <c r="Q655">
        <f>+DB!AB655</f>
        <v>0</v>
      </c>
      <c r="R655">
        <f>+DB!K655</f>
        <v>0</v>
      </c>
      <c r="S655">
        <f>+DB!F655</f>
        <v>0</v>
      </c>
      <c r="T655">
        <f>+IF(DB!F655="AAAC-35",1,3)</f>
        <v>3</v>
      </c>
      <c r="U655">
        <f>+DB!R655</f>
        <v>0</v>
      </c>
      <c r="V655">
        <f>+IF(DB!P655="1RI",1,0)+IF(DB!P655="2RI",2,0)</f>
        <v>0</v>
      </c>
      <c r="W655">
        <f>+IF(DB!P655="1RV",1,0)+IF(DB!P655="2RV",2,0)</f>
        <v>0</v>
      </c>
      <c r="X655">
        <f>+IF(DB!P655="RYI",1,0)</f>
        <v>0</v>
      </c>
      <c r="Y655">
        <f>+IF(DB!P655="RYV",1,0)</f>
        <v>0</v>
      </c>
      <c r="Z655">
        <f>+DB!U655</f>
        <v>0</v>
      </c>
      <c r="AA655">
        <f>+IF(DB!F655="AAAC-35",19.5,33)</f>
        <v>33</v>
      </c>
      <c r="AB655">
        <f>+DB!V655</f>
        <v>0</v>
      </c>
      <c r="AC655" t="str">
        <f t="shared" si="32"/>
        <v>56-4</v>
      </c>
      <c r="AD655" s="21" t="s">
        <v>72</v>
      </c>
      <c r="AE655">
        <f>+DB!X655</f>
        <v>0</v>
      </c>
      <c r="AF655" s="22">
        <f>+DB!Y655</f>
        <v>0</v>
      </c>
      <c r="AG655">
        <f>+DB!AK655</f>
        <v>0</v>
      </c>
    </row>
    <row r="656" spans="1:33" x14ac:dyDescent="0.2">
      <c r="A656">
        <f>+DB!C656</f>
        <v>0</v>
      </c>
      <c r="B656">
        <f>+DB!D656</f>
        <v>0</v>
      </c>
      <c r="C656">
        <f>+DB!E656</f>
        <v>0</v>
      </c>
      <c r="D656">
        <f t="shared" si="30"/>
        <v>0</v>
      </c>
      <c r="E656">
        <f>+DB!G656</f>
        <v>0</v>
      </c>
      <c r="F656">
        <f>+DB!H656</f>
        <v>0</v>
      </c>
      <c r="G656">
        <f>+DB!N656</f>
        <v>0</v>
      </c>
      <c r="H656">
        <f>+DB!O656</f>
        <v>0</v>
      </c>
      <c r="I656">
        <f>+DB!I656</f>
        <v>0</v>
      </c>
      <c r="J656">
        <f>+DB!J656</f>
        <v>0</v>
      </c>
      <c r="K656">
        <f>+DB!L656</f>
        <v>0</v>
      </c>
      <c r="L656" t="str">
        <f t="shared" si="31"/>
        <v/>
      </c>
      <c r="M656" t="str">
        <f>+IF(LEFT(DB!M656,3)="13/","CAC","MAD")</f>
        <v>MAD</v>
      </c>
      <c r="N656" t="str">
        <f>+RIGHT(DB!M656,6)</f>
        <v/>
      </c>
      <c r="O656">
        <v>95</v>
      </c>
      <c r="P656">
        <v>5</v>
      </c>
      <c r="Q656">
        <f>+DB!AB656</f>
        <v>0</v>
      </c>
      <c r="R656">
        <f>+DB!K656</f>
        <v>0</v>
      </c>
      <c r="S656">
        <f>+DB!F656</f>
        <v>0</v>
      </c>
      <c r="T656">
        <f>+IF(DB!F656="AAAC-35",1,3)</f>
        <v>3</v>
      </c>
      <c r="U656">
        <f>+DB!R656</f>
        <v>0</v>
      </c>
      <c r="V656">
        <f>+IF(DB!P656="1RI",1,0)+IF(DB!P656="2RI",2,0)</f>
        <v>0</v>
      </c>
      <c r="W656">
        <f>+IF(DB!P656="1RV",1,0)+IF(DB!P656="2RV",2,0)</f>
        <v>0</v>
      </c>
      <c r="X656">
        <f>+IF(DB!P656="RYI",1,0)</f>
        <v>0</v>
      </c>
      <c r="Y656">
        <f>+IF(DB!P656="RYV",1,0)</f>
        <v>0</v>
      </c>
      <c r="Z656">
        <f>+DB!U656</f>
        <v>0</v>
      </c>
      <c r="AA656">
        <f>+IF(DB!F656="AAAC-35",19.5,33)</f>
        <v>33</v>
      </c>
      <c r="AB656">
        <f>+DB!V656</f>
        <v>0</v>
      </c>
      <c r="AC656" t="str">
        <f t="shared" si="32"/>
        <v>56-4</v>
      </c>
      <c r="AD656" s="21" t="s">
        <v>72</v>
      </c>
      <c r="AE656">
        <f>+DB!X656</f>
        <v>0</v>
      </c>
      <c r="AF656" s="22">
        <f>+DB!Y656</f>
        <v>0</v>
      </c>
      <c r="AG656">
        <f>+DB!AK656</f>
        <v>0</v>
      </c>
    </row>
    <row r="657" spans="1:33" x14ac:dyDescent="0.2">
      <c r="A657">
        <f>+DB!C657</f>
        <v>0</v>
      </c>
      <c r="B657">
        <f>+DB!D657</f>
        <v>0</v>
      </c>
      <c r="C657">
        <f>+DB!E657</f>
        <v>0</v>
      </c>
      <c r="D657">
        <f t="shared" si="30"/>
        <v>0</v>
      </c>
      <c r="E657">
        <f>+DB!G657</f>
        <v>0</v>
      </c>
      <c r="F657">
        <f>+DB!H657</f>
        <v>0</v>
      </c>
      <c r="G657">
        <f>+DB!N657</f>
        <v>0</v>
      </c>
      <c r="H657">
        <f>+DB!O657</f>
        <v>0</v>
      </c>
      <c r="I657">
        <f>+DB!I657</f>
        <v>0</v>
      </c>
      <c r="J657">
        <f>+DB!J657</f>
        <v>0</v>
      </c>
      <c r="K657">
        <f>+DB!L657</f>
        <v>0</v>
      </c>
      <c r="L657" t="str">
        <f t="shared" si="31"/>
        <v/>
      </c>
      <c r="M657" t="str">
        <f>+IF(LEFT(DB!M657,3)="13/","CAC","MAD")</f>
        <v>MAD</v>
      </c>
      <c r="N657" t="str">
        <f>+RIGHT(DB!M657,6)</f>
        <v/>
      </c>
      <c r="O657">
        <v>95</v>
      </c>
      <c r="P657">
        <v>5</v>
      </c>
      <c r="Q657">
        <f>+DB!AB657</f>
        <v>0</v>
      </c>
      <c r="R657">
        <f>+DB!K657</f>
        <v>0</v>
      </c>
      <c r="S657">
        <f>+DB!F657</f>
        <v>0</v>
      </c>
      <c r="T657">
        <f>+IF(DB!F657="AAAC-35",1,3)</f>
        <v>3</v>
      </c>
      <c r="U657">
        <f>+DB!R657</f>
        <v>0</v>
      </c>
      <c r="V657">
        <f>+IF(DB!P657="1RI",1,0)+IF(DB!P657="2RI",2,0)</f>
        <v>0</v>
      </c>
      <c r="W657">
        <f>+IF(DB!P657="1RV",1,0)+IF(DB!P657="2RV",2,0)</f>
        <v>0</v>
      </c>
      <c r="X657">
        <f>+IF(DB!P657="RYI",1,0)</f>
        <v>0</v>
      </c>
      <c r="Y657">
        <f>+IF(DB!P657="RYV",1,0)</f>
        <v>0</v>
      </c>
      <c r="Z657">
        <f>+DB!U657</f>
        <v>0</v>
      </c>
      <c r="AA657">
        <f>+IF(DB!F657="AAAC-35",19.5,33)</f>
        <v>33</v>
      </c>
      <c r="AB657">
        <f>+DB!V657</f>
        <v>0</v>
      </c>
      <c r="AC657" t="str">
        <f t="shared" si="32"/>
        <v>56-4</v>
      </c>
      <c r="AD657" s="21" t="s">
        <v>72</v>
      </c>
      <c r="AE657">
        <f>+DB!X657</f>
        <v>0</v>
      </c>
      <c r="AF657" s="22">
        <f>+DB!Y657</f>
        <v>0</v>
      </c>
      <c r="AG657">
        <f>+DB!AK657</f>
        <v>0</v>
      </c>
    </row>
    <row r="658" spans="1:33" x14ac:dyDescent="0.2">
      <c r="A658">
        <f>+DB!C658</f>
        <v>0</v>
      </c>
      <c r="B658">
        <f>+DB!D658</f>
        <v>0</v>
      </c>
      <c r="C658">
        <f>+DB!E658</f>
        <v>0</v>
      </c>
      <c r="D658">
        <f t="shared" si="30"/>
        <v>0</v>
      </c>
      <c r="E658">
        <f>+DB!G658</f>
        <v>0</v>
      </c>
      <c r="F658">
        <f>+DB!H658</f>
        <v>0</v>
      </c>
      <c r="G658">
        <f>+DB!N658</f>
        <v>0</v>
      </c>
      <c r="H658">
        <f>+DB!O658</f>
        <v>0</v>
      </c>
      <c r="I658">
        <f>+DB!I658</f>
        <v>0</v>
      </c>
      <c r="J658">
        <f>+DB!J658</f>
        <v>0</v>
      </c>
      <c r="K658">
        <f>+DB!L658</f>
        <v>0</v>
      </c>
      <c r="L658" t="str">
        <f t="shared" si="31"/>
        <v/>
      </c>
      <c r="M658" t="str">
        <f>+IF(LEFT(DB!M658,3)="13/","CAC","MAD")</f>
        <v>MAD</v>
      </c>
      <c r="N658" t="str">
        <f>+RIGHT(DB!M658,6)</f>
        <v/>
      </c>
      <c r="O658">
        <v>95</v>
      </c>
      <c r="P658">
        <v>5</v>
      </c>
      <c r="Q658">
        <f>+DB!AB658</f>
        <v>0</v>
      </c>
      <c r="R658">
        <f>+DB!K658</f>
        <v>0</v>
      </c>
      <c r="S658">
        <f>+DB!F658</f>
        <v>0</v>
      </c>
      <c r="T658">
        <f>+IF(DB!F658="AAAC-35",1,3)</f>
        <v>3</v>
      </c>
      <c r="U658">
        <f>+DB!R658</f>
        <v>0</v>
      </c>
      <c r="V658">
        <f>+IF(DB!P658="1RI",1,0)+IF(DB!P658="2RI",2,0)</f>
        <v>0</v>
      </c>
      <c r="W658">
        <f>+IF(DB!P658="1RV",1,0)+IF(DB!P658="2RV",2,0)</f>
        <v>0</v>
      </c>
      <c r="X658">
        <f>+IF(DB!P658="RYI",1,0)</f>
        <v>0</v>
      </c>
      <c r="Y658">
        <f>+IF(DB!P658="RYV",1,0)</f>
        <v>0</v>
      </c>
      <c r="Z658">
        <f>+DB!U658</f>
        <v>0</v>
      </c>
      <c r="AA658">
        <f>+IF(DB!F658="AAAC-35",19.5,33)</f>
        <v>33</v>
      </c>
      <c r="AB658">
        <f>+DB!V658</f>
        <v>0</v>
      </c>
      <c r="AC658" t="str">
        <f t="shared" si="32"/>
        <v>56-4</v>
      </c>
      <c r="AD658" s="21" t="s">
        <v>72</v>
      </c>
      <c r="AE658">
        <f>+DB!X658</f>
        <v>0</v>
      </c>
      <c r="AF658" s="22">
        <f>+DB!Y658</f>
        <v>0</v>
      </c>
      <c r="AG658">
        <f>+DB!AK658</f>
        <v>0</v>
      </c>
    </row>
    <row r="659" spans="1:33" x14ac:dyDescent="0.2">
      <c r="A659">
        <f>+DB!C659</f>
        <v>0</v>
      </c>
      <c r="B659">
        <f>+DB!D659</f>
        <v>0</v>
      </c>
      <c r="C659">
        <f>+DB!E659</f>
        <v>0</v>
      </c>
      <c r="D659">
        <f t="shared" si="30"/>
        <v>0</v>
      </c>
      <c r="E659">
        <f>+DB!G659</f>
        <v>0</v>
      </c>
      <c r="F659">
        <f>+DB!H659</f>
        <v>0</v>
      </c>
      <c r="G659">
        <f>+DB!N659</f>
        <v>0</v>
      </c>
      <c r="H659">
        <f>+DB!O659</f>
        <v>0</v>
      </c>
      <c r="I659">
        <f>+DB!I659</f>
        <v>0</v>
      </c>
      <c r="J659">
        <f>+DB!J659</f>
        <v>0</v>
      </c>
      <c r="K659">
        <f>+DB!L659</f>
        <v>0</v>
      </c>
      <c r="L659" t="str">
        <f t="shared" si="31"/>
        <v/>
      </c>
      <c r="M659" t="str">
        <f>+IF(LEFT(DB!M659,3)="13/","CAC","MAD")</f>
        <v>MAD</v>
      </c>
      <c r="N659" t="str">
        <f>+RIGHT(DB!M659,6)</f>
        <v/>
      </c>
      <c r="O659">
        <v>95</v>
      </c>
      <c r="P659">
        <v>5</v>
      </c>
      <c r="Q659">
        <f>+DB!AB659</f>
        <v>0</v>
      </c>
      <c r="R659">
        <f>+DB!K659</f>
        <v>0</v>
      </c>
      <c r="S659">
        <f>+DB!F659</f>
        <v>0</v>
      </c>
      <c r="T659">
        <f>+IF(DB!F659="AAAC-35",1,3)</f>
        <v>3</v>
      </c>
      <c r="U659">
        <f>+DB!R659</f>
        <v>0</v>
      </c>
      <c r="V659">
        <f>+IF(DB!P659="1RI",1,0)+IF(DB!P659="2RI",2,0)</f>
        <v>0</v>
      </c>
      <c r="W659">
        <f>+IF(DB!P659="1RV",1,0)+IF(DB!P659="2RV",2,0)</f>
        <v>0</v>
      </c>
      <c r="X659">
        <f>+IF(DB!P659="RYI",1,0)</f>
        <v>0</v>
      </c>
      <c r="Y659">
        <f>+IF(DB!P659="RYV",1,0)</f>
        <v>0</v>
      </c>
      <c r="Z659">
        <f>+DB!U659</f>
        <v>0</v>
      </c>
      <c r="AA659">
        <f>+IF(DB!F659="AAAC-35",19.5,33)</f>
        <v>33</v>
      </c>
      <c r="AB659">
        <f>+DB!V659</f>
        <v>0</v>
      </c>
      <c r="AC659" t="str">
        <f t="shared" si="32"/>
        <v>56-4</v>
      </c>
      <c r="AD659" s="21" t="s">
        <v>72</v>
      </c>
      <c r="AE659">
        <f>+DB!X659</f>
        <v>0</v>
      </c>
      <c r="AF659" s="22">
        <f>+DB!Y659</f>
        <v>0</v>
      </c>
      <c r="AG659">
        <f>+DB!AK659</f>
        <v>0</v>
      </c>
    </row>
    <row r="660" spans="1:33" x14ac:dyDescent="0.2">
      <c r="A660">
        <f>+DB!C660</f>
        <v>0</v>
      </c>
      <c r="B660">
        <f>+DB!D660</f>
        <v>0</v>
      </c>
      <c r="C660">
        <f>+DB!E660</f>
        <v>0</v>
      </c>
      <c r="D660">
        <f t="shared" si="30"/>
        <v>0</v>
      </c>
      <c r="E660">
        <f>+DB!G660</f>
        <v>0</v>
      </c>
      <c r="F660">
        <f>+DB!H660</f>
        <v>0</v>
      </c>
      <c r="G660">
        <f>+DB!N660</f>
        <v>0</v>
      </c>
      <c r="H660">
        <f>+DB!O660</f>
        <v>0</v>
      </c>
      <c r="I660">
        <f>+DB!I660</f>
        <v>0</v>
      </c>
      <c r="J660">
        <f>+DB!J660</f>
        <v>0</v>
      </c>
      <c r="K660">
        <f>+DB!L660</f>
        <v>0</v>
      </c>
      <c r="L660" t="str">
        <f t="shared" si="31"/>
        <v/>
      </c>
      <c r="M660" t="str">
        <f>+IF(LEFT(DB!M660,3)="13/","CAC","MAD")</f>
        <v>MAD</v>
      </c>
      <c r="N660" t="str">
        <f>+RIGHT(DB!M660,6)</f>
        <v/>
      </c>
      <c r="O660">
        <v>95</v>
      </c>
      <c r="P660">
        <v>5</v>
      </c>
      <c r="Q660">
        <f>+DB!AB660</f>
        <v>0</v>
      </c>
      <c r="R660">
        <f>+DB!K660</f>
        <v>0</v>
      </c>
      <c r="S660">
        <f>+DB!F660</f>
        <v>0</v>
      </c>
      <c r="T660">
        <f>+IF(DB!F660="AAAC-35",1,3)</f>
        <v>3</v>
      </c>
      <c r="U660">
        <f>+DB!R660</f>
        <v>0</v>
      </c>
      <c r="V660">
        <f>+IF(DB!P660="1RI",1,0)+IF(DB!P660="2RI",2,0)</f>
        <v>0</v>
      </c>
      <c r="W660">
        <f>+IF(DB!P660="1RV",1,0)+IF(DB!P660="2RV",2,0)</f>
        <v>0</v>
      </c>
      <c r="X660">
        <f>+IF(DB!P660="RYI",1,0)</f>
        <v>0</v>
      </c>
      <c r="Y660">
        <f>+IF(DB!P660="RYV",1,0)</f>
        <v>0</v>
      </c>
      <c r="Z660">
        <f>+DB!U660</f>
        <v>0</v>
      </c>
      <c r="AA660">
        <f>+IF(DB!F660="AAAC-35",19.5,33)</f>
        <v>33</v>
      </c>
      <c r="AB660">
        <f>+DB!V660</f>
        <v>0</v>
      </c>
      <c r="AC660" t="str">
        <f t="shared" si="32"/>
        <v>56-4</v>
      </c>
      <c r="AD660" s="21" t="s">
        <v>72</v>
      </c>
      <c r="AE660">
        <f>+DB!X660</f>
        <v>0</v>
      </c>
      <c r="AF660" s="22">
        <f>+DB!Y660</f>
        <v>0</v>
      </c>
      <c r="AG660">
        <f>+DB!AK660</f>
        <v>0</v>
      </c>
    </row>
    <row r="661" spans="1:33" x14ac:dyDescent="0.2">
      <c r="A661">
        <f>+DB!C661</f>
        <v>0</v>
      </c>
      <c r="B661">
        <f>+DB!D661</f>
        <v>0</v>
      </c>
      <c r="C661">
        <f>+DB!E661</f>
        <v>0</v>
      </c>
      <c r="D661">
        <f t="shared" si="30"/>
        <v>0</v>
      </c>
      <c r="E661">
        <f>+DB!G661</f>
        <v>0</v>
      </c>
      <c r="F661">
        <f>+DB!H661</f>
        <v>0</v>
      </c>
      <c r="G661">
        <f>+DB!N661</f>
        <v>0</v>
      </c>
      <c r="H661">
        <f>+DB!O661</f>
        <v>0</v>
      </c>
      <c r="I661">
        <f>+DB!I661</f>
        <v>0</v>
      </c>
      <c r="J661">
        <f>+DB!J661</f>
        <v>0</v>
      </c>
      <c r="K661">
        <f>+DB!L661</f>
        <v>0</v>
      </c>
      <c r="L661" t="str">
        <f t="shared" si="31"/>
        <v/>
      </c>
      <c r="M661" t="str">
        <f>+IF(LEFT(DB!M661,3)="13/","CAC","MAD")</f>
        <v>MAD</v>
      </c>
      <c r="N661" t="str">
        <f>+RIGHT(DB!M661,6)</f>
        <v/>
      </c>
      <c r="O661">
        <v>95</v>
      </c>
      <c r="P661">
        <v>5</v>
      </c>
      <c r="Q661">
        <f>+DB!AB661</f>
        <v>0</v>
      </c>
      <c r="R661">
        <f>+DB!K661</f>
        <v>0</v>
      </c>
      <c r="S661">
        <f>+DB!F661</f>
        <v>0</v>
      </c>
      <c r="T661">
        <f>+IF(DB!F661="AAAC-35",1,3)</f>
        <v>3</v>
      </c>
      <c r="U661">
        <f>+DB!R661</f>
        <v>0</v>
      </c>
      <c r="V661">
        <f>+IF(DB!P661="1RI",1,0)+IF(DB!P661="2RI",2,0)</f>
        <v>0</v>
      </c>
      <c r="W661">
        <f>+IF(DB!P661="1RV",1,0)+IF(DB!P661="2RV",2,0)</f>
        <v>0</v>
      </c>
      <c r="X661">
        <f>+IF(DB!P661="RYI",1,0)</f>
        <v>0</v>
      </c>
      <c r="Y661">
        <f>+IF(DB!P661="RYV",1,0)</f>
        <v>0</v>
      </c>
      <c r="Z661">
        <f>+DB!U661</f>
        <v>0</v>
      </c>
      <c r="AA661">
        <f>+IF(DB!F661="AAAC-35",19.5,33)</f>
        <v>33</v>
      </c>
      <c r="AB661">
        <f>+DB!V661</f>
        <v>0</v>
      </c>
      <c r="AC661" t="str">
        <f t="shared" si="32"/>
        <v>56-4</v>
      </c>
      <c r="AD661" s="21" t="s">
        <v>72</v>
      </c>
      <c r="AE661">
        <f>+DB!X661</f>
        <v>0</v>
      </c>
      <c r="AF661" s="22">
        <f>+DB!Y661</f>
        <v>0</v>
      </c>
      <c r="AG661">
        <f>+DB!AK661</f>
        <v>0</v>
      </c>
    </row>
    <row r="662" spans="1:33" x14ac:dyDescent="0.2">
      <c r="A662">
        <f>+DB!C662</f>
        <v>0</v>
      </c>
      <c r="B662">
        <f>+DB!D662</f>
        <v>0</v>
      </c>
      <c r="C662">
        <f>+DB!E662</f>
        <v>0</v>
      </c>
      <c r="D662">
        <f t="shared" si="30"/>
        <v>0</v>
      </c>
      <c r="E662">
        <f>+DB!G662</f>
        <v>0</v>
      </c>
      <c r="F662">
        <f>+DB!H662</f>
        <v>0</v>
      </c>
      <c r="G662">
        <f>+DB!N662</f>
        <v>0</v>
      </c>
      <c r="H662">
        <f>+DB!O662</f>
        <v>0</v>
      </c>
      <c r="I662">
        <f>+DB!I662</f>
        <v>0</v>
      </c>
      <c r="J662">
        <f>+DB!J662</f>
        <v>0</v>
      </c>
      <c r="K662">
        <f>+DB!L662</f>
        <v>0</v>
      </c>
      <c r="L662" t="str">
        <f t="shared" si="31"/>
        <v/>
      </c>
      <c r="M662" t="str">
        <f>+IF(LEFT(DB!M662,3)="13/","CAC","MAD")</f>
        <v>MAD</v>
      </c>
      <c r="N662" t="str">
        <f>+RIGHT(DB!M662,6)</f>
        <v/>
      </c>
      <c r="O662">
        <v>95</v>
      </c>
      <c r="P662">
        <v>5</v>
      </c>
      <c r="Q662">
        <f>+DB!AB662</f>
        <v>0</v>
      </c>
      <c r="R662">
        <f>+DB!K662</f>
        <v>0</v>
      </c>
      <c r="S662">
        <f>+DB!F662</f>
        <v>0</v>
      </c>
      <c r="T662">
        <f>+IF(DB!F662="AAAC-35",1,3)</f>
        <v>3</v>
      </c>
      <c r="U662">
        <f>+DB!R662</f>
        <v>0</v>
      </c>
      <c r="V662">
        <f>+IF(DB!P662="1RI",1,0)+IF(DB!P662="2RI",2,0)</f>
        <v>0</v>
      </c>
      <c r="W662">
        <f>+IF(DB!P662="1RV",1,0)+IF(DB!P662="2RV",2,0)</f>
        <v>0</v>
      </c>
      <c r="X662">
        <f>+IF(DB!P662="RYI",1,0)</f>
        <v>0</v>
      </c>
      <c r="Y662">
        <f>+IF(DB!P662="RYV",1,0)</f>
        <v>0</v>
      </c>
      <c r="Z662">
        <f>+DB!U662</f>
        <v>0</v>
      </c>
      <c r="AA662">
        <f>+IF(DB!F662="AAAC-35",19.5,33)</f>
        <v>33</v>
      </c>
      <c r="AB662">
        <f>+DB!V662</f>
        <v>0</v>
      </c>
      <c r="AC662" t="str">
        <f t="shared" si="32"/>
        <v>56-4</v>
      </c>
      <c r="AD662" s="21" t="s">
        <v>72</v>
      </c>
      <c r="AE662">
        <f>+DB!X662</f>
        <v>0</v>
      </c>
      <c r="AF662" s="22">
        <f>+DB!Y662</f>
        <v>0</v>
      </c>
      <c r="AG662">
        <f>+DB!AK662</f>
        <v>0</v>
      </c>
    </row>
    <row r="663" spans="1:33" x14ac:dyDescent="0.2">
      <c r="A663">
        <f>+DB!C663</f>
        <v>0</v>
      </c>
      <c r="B663">
        <f>+DB!D663</f>
        <v>0</v>
      </c>
      <c r="C663">
        <f>+DB!E663</f>
        <v>0</v>
      </c>
      <c r="D663">
        <f t="shared" si="30"/>
        <v>0</v>
      </c>
      <c r="E663">
        <f>+DB!G663</f>
        <v>0</v>
      </c>
      <c r="F663">
        <f>+DB!H663</f>
        <v>0</v>
      </c>
      <c r="G663">
        <f>+DB!N663</f>
        <v>0</v>
      </c>
      <c r="H663">
        <f>+DB!O663</f>
        <v>0</v>
      </c>
      <c r="I663">
        <f>+DB!I663</f>
        <v>0</v>
      </c>
      <c r="J663">
        <f>+DB!J663</f>
        <v>0</v>
      </c>
      <c r="K663">
        <f>+DB!L663</f>
        <v>0</v>
      </c>
      <c r="L663" t="str">
        <f t="shared" si="31"/>
        <v/>
      </c>
      <c r="M663" t="str">
        <f>+IF(LEFT(DB!M663,3)="13/","CAC","MAD")</f>
        <v>MAD</v>
      </c>
      <c r="N663" t="str">
        <f>+RIGHT(DB!M663,6)</f>
        <v/>
      </c>
      <c r="O663">
        <v>95</v>
      </c>
      <c r="P663">
        <v>5</v>
      </c>
      <c r="Q663">
        <f>+DB!AB663</f>
        <v>0</v>
      </c>
      <c r="R663">
        <f>+DB!K663</f>
        <v>0</v>
      </c>
      <c r="S663">
        <f>+DB!F663</f>
        <v>0</v>
      </c>
      <c r="T663">
        <f>+IF(DB!F663="AAAC-35",1,3)</f>
        <v>3</v>
      </c>
      <c r="U663">
        <f>+DB!R663</f>
        <v>0</v>
      </c>
      <c r="V663">
        <f>+IF(DB!P663="1RI",1,0)+IF(DB!P663="2RI",2,0)</f>
        <v>0</v>
      </c>
      <c r="W663">
        <f>+IF(DB!P663="1RV",1,0)+IF(DB!P663="2RV",2,0)</f>
        <v>0</v>
      </c>
      <c r="X663">
        <f>+IF(DB!P663="RYI",1,0)</f>
        <v>0</v>
      </c>
      <c r="Y663">
        <f>+IF(DB!P663="RYV",1,0)</f>
        <v>0</v>
      </c>
      <c r="Z663">
        <f>+DB!U663</f>
        <v>0</v>
      </c>
      <c r="AA663">
        <f>+IF(DB!F663="AAAC-35",19.5,33)</f>
        <v>33</v>
      </c>
      <c r="AB663">
        <f>+DB!V663</f>
        <v>0</v>
      </c>
      <c r="AC663" t="str">
        <f t="shared" si="32"/>
        <v>56-4</v>
      </c>
      <c r="AD663" s="21" t="s">
        <v>72</v>
      </c>
      <c r="AE663">
        <f>+DB!X663</f>
        <v>0</v>
      </c>
      <c r="AF663" s="22">
        <f>+DB!Y663</f>
        <v>0</v>
      </c>
      <c r="AG663">
        <f>+DB!AK663</f>
        <v>0</v>
      </c>
    </row>
    <row r="664" spans="1:33" x14ac:dyDescent="0.2">
      <c r="A664">
        <f>+DB!C664</f>
        <v>0</v>
      </c>
      <c r="B664">
        <f>+DB!D664</f>
        <v>0</v>
      </c>
      <c r="C664">
        <f>+DB!E664</f>
        <v>0</v>
      </c>
      <c r="D664">
        <f t="shared" si="30"/>
        <v>0</v>
      </c>
      <c r="E664">
        <f>+DB!G664</f>
        <v>0</v>
      </c>
      <c r="F664">
        <f>+DB!H664</f>
        <v>0</v>
      </c>
      <c r="G664">
        <f>+DB!N664</f>
        <v>0</v>
      </c>
      <c r="H664">
        <f>+DB!O664</f>
        <v>0</v>
      </c>
      <c r="I664">
        <f>+DB!I664</f>
        <v>0</v>
      </c>
      <c r="J664">
        <f>+DB!J664</f>
        <v>0</v>
      </c>
      <c r="K664">
        <f>+DB!L664</f>
        <v>0</v>
      </c>
      <c r="L664" t="str">
        <f t="shared" si="31"/>
        <v/>
      </c>
      <c r="M664" t="str">
        <f>+IF(LEFT(DB!M664,3)="13/","CAC","MAD")</f>
        <v>MAD</v>
      </c>
      <c r="N664" t="str">
        <f>+RIGHT(DB!M664,6)</f>
        <v/>
      </c>
      <c r="O664">
        <v>95</v>
      </c>
      <c r="P664">
        <v>5</v>
      </c>
      <c r="Q664">
        <f>+DB!AB664</f>
        <v>0</v>
      </c>
      <c r="R664">
        <f>+DB!K664</f>
        <v>0</v>
      </c>
      <c r="S664">
        <f>+DB!F664</f>
        <v>0</v>
      </c>
      <c r="T664">
        <f>+IF(DB!F664="AAAC-35",1,3)</f>
        <v>3</v>
      </c>
      <c r="U664">
        <f>+DB!R664</f>
        <v>0</v>
      </c>
      <c r="V664">
        <f>+IF(DB!P664="1RI",1,0)+IF(DB!P664="2RI",2,0)</f>
        <v>0</v>
      </c>
      <c r="W664">
        <f>+IF(DB!P664="1RV",1,0)+IF(DB!P664="2RV",2,0)</f>
        <v>0</v>
      </c>
      <c r="X664">
        <f>+IF(DB!P664="RYI",1,0)</f>
        <v>0</v>
      </c>
      <c r="Y664">
        <f>+IF(DB!P664="RYV",1,0)</f>
        <v>0</v>
      </c>
      <c r="Z664">
        <f>+DB!U664</f>
        <v>0</v>
      </c>
      <c r="AA664">
        <f>+IF(DB!F664="AAAC-35",19.5,33)</f>
        <v>33</v>
      </c>
      <c r="AB664">
        <f>+DB!V664</f>
        <v>0</v>
      </c>
      <c r="AC664" t="str">
        <f t="shared" si="32"/>
        <v>56-4</v>
      </c>
      <c r="AD664" s="21" t="s">
        <v>72</v>
      </c>
      <c r="AE664">
        <f>+DB!X664</f>
        <v>0</v>
      </c>
      <c r="AF664" s="22">
        <f>+DB!Y664</f>
        <v>0</v>
      </c>
      <c r="AG664">
        <f>+DB!AK664</f>
        <v>0</v>
      </c>
    </row>
    <row r="665" spans="1:33" x14ac:dyDescent="0.2">
      <c r="A665">
        <f>+DB!C665</f>
        <v>0</v>
      </c>
      <c r="B665">
        <f>+DB!D665</f>
        <v>0</v>
      </c>
      <c r="C665">
        <f>+DB!E665</f>
        <v>0</v>
      </c>
      <c r="D665">
        <f t="shared" si="30"/>
        <v>0</v>
      </c>
      <c r="E665">
        <f>+DB!G665</f>
        <v>0</v>
      </c>
      <c r="F665">
        <f>+DB!H665</f>
        <v>0</v>
      </c>
      <c r="G665">
        <f>+DB!N665</f>
        <v>0</v>
      </c>
      <c r="H665">
        <f>+DB!O665</f>
        <v>0</v>
      </c>
      <c r="I665">
        <f>+DB!I665</f>
        <v>0</v>
      </c>
      <c r="J665">
        <f>+DB!J665</f>
        <v>0</v>
      </c>
      <c r="K665">
        <f>+DB!L665</f>
        <v>0</v>
      </c>
      <c r="L665" t="str">
        <f t="shared" si="31"/>
        <v/>
      </c>
      <c r="M665" t="str">
        <f>+IF(LEFT(DB!M665,3)="13/","CAC","MAD")</f>
        <v>MAD</v>
      </c>
      <c r="N665" t="str">
        <f>+RIGHT(DB!M665,6)</f>
        <v/>
      </c>
      <c r="O665">
        <v>95</v>
      </c>
      <c r="P665">
        <v>5</v>
      </c>
      <c r="Q665">
        <f>+DB!AB665</f>
        <v>0</v>
      </c>
      <c r="R665">
        <f>+DB!K665</f>
        <v>0</v>
      </c>
      <c r="S665">
        <f>+DB!F665</f>
        <v>0</v>
      </c>
      <c r="T665">
        <f>+IF(DB!F665="AAAC-35",1,3)</f>
        <v>3</v>
      </c>
      <c r="U665">
        <f>+DB!R665</f>
        <v>0</v>
      </c>
      <c r="V665">
        <f>+IF(DB!P665="1RI",1,0)+IF(DB!P665="2RI",2,0)</f>
        <v>0</v>
      </c>
      <c r="W665">
        <f>+IF(DB!P665="1RV",1,0)+IF(DB!P665="2RV",2,0)</f>
        <v>0</v>
      </c>
      <c r="X665">
        <f>+IF(DB!P665="RYI",1,0)</f>
        <v>0</v>
      </c>
      <c r="Y665">
        <f>+IF(DB!P665="RYV",1,0)</f>
        <v>0</v>
      </c>
      <c r="Z665">
        <f>+DB!U665</f>
        <v>0</v>
      </c>
      <c r="AA665">
        <f>+IF(DB!F665="AAAC-35",19.5,33)</f>
        <v>33</v>
      </c>
      <c r="AB665">
        <f>+DB!V665</f>
        <v>0</v>
      </c>
      <c r="AC665" t="str">
        <f t="shared" si="32"/>
        <v>56-4</v>
      </c>
      <c r="AD665" s="21" t="s">
        <v>72</v>
      </c>
      <c r="AE665">
        <f>+DB!X665</f>
        <v>0</v>
      </c>
      <c r="AF665" s="22">
        <f>+DB!Y665</f>
        <v>0</v>
      </c>
      <c r="AG665">
        <f>+DB!AK665</f>
        <v>0</v>
      </c>
    </row>
    <row r="666" spans="1:33" x14ac:dyDescent="0.2">
      <c r="A666">
        <f>+DB!C666</f>
        <v>0</v>
      </c>
      <c r="B666">
        <f>+DB!D666</f>
        <v>0</v>
      </c>
      <c r="C666">
        <f>+DB!E666</f>
        <v>0</v>
      </c>
      <c r="D666">
        <f t="shared" si="30"/>
        <v>0</v>
      </c>
      <c r="E666">
        <f>+DB!G666</f>
        <v>0</v>
      </c>
      <c r="F666">
        <f>+DB!H666</f>
        <v>0</v>
      </c>
      <c r="G666">
        <f>+DB!N666</f>
        <v>0</v>
      </c>
      <c r="H666">
        <f>+DB!O666</f>
        <v>0</v>
      </c>
      <c r="I666">
        <f>+DB!I666</f>
        <v>0</v>
      </c>
      <c r="J666">
        <f>+DB!J666</f>
        <v>0</v>
      </c>
      <c r="K666">
        <f>+DB!L666</f>
        <v>0</v>
      </c>
      <c r="L666" t="str">
        <f t="shared" si="31"/>
        <v/>
      </c>
      <c r="M666" t="str">
        <f>+IF(LEFT(DB!M666,3)="13/","CAC","MAD")</f>
        <v>MAD</v>
      </c>
      <c r="N666" t="str">
        <f>+RIGHT(DB!M666,6)</f>
        <v/>
      </c>
      <c r="O666">
        <v>95</v>
      </c>
      <c r="P666">
        <v>5</v>
      </c>
      <c r="Q666">
        <f>+DB!AB666</f>
        <v>0</v>
      </c>
      <c r="R666">
        <f>+DB!K666</f>
        <v>0</v>
      </c>
      <c r="S666">
        <f>+DB!F666</f>
        <v>0</v>
      </c>
      <c r="T666">
        <f>+IF(DB!F666="AAAC-35",1,3)</f>
        <v>3</v>
      </c>
      <c r="U666">
        <f>+DB!R666</f>
        <v>0</v>
      </c>
      <c r="V666">
        <f>+IF(DB!P666="1RI",1,0)+IF(DB!P666="2RI",2,0)</f>
        <v>0</v>
      </c>
      <c r="W666">
        <f>+IF(DB!P666="1RV",1,0)+IF(DB!P666="2RV",2,0)</f>
        <v>0</v>
      </c>
      <c r="X666">
        <f>+IF(DB!P666="RYI",1,0)</f>
        <v>0</v>
      </c>
      <c r="Y666">
        <f>+IF(DB!P666="RYV",1,0)</f>
        <v>0</v>
      </c>
      <c r="Z666">
        <f>+DB!U666</f>
        <v>0</v>
      </c>
      <c r="AA666">
        <f>+IF(DB!F666="AAAC-35",19.5,33)</f>
        <v>33</v>
      </c>
      <c r="AB666">
        <f>+DB!V666</f>
        <v>0</v>
      </c>
      <c r="AC666" t="str">
        <f t="shared" si="32"/>
        <v>56-4</v>
      </c>
      <c r="AD666" s="21" t="s">
        <v>72</v>
      </c>
      <c r="AE666">
        <f>+DB!X666</f>
        <v>0</v>
      </c>
      <c r="AF666" s="22">
        <f>+DB!Y666</f>
        <v>0</v>
      </c>
      <c r="AG666">
        <f>+DB!AK666</f>
        <v>0</v>
      </c>
    </row>
    <row r="667" spans="1:33" x14ac:dyDescent="0.2">
      <c r="A667">
        <f>+DB!C667</f>
        <v>0</v>
      </c>
      <c r="B667">
        <f>+DB!D667</f>
        <v>0</v>
      </c>
      <c r="C667">
        <f>+DB!E667</f>
        <v>0</v>
      </c>
      <c r="D667">
        <f t="shared" si="30"/>
        <v>0</v>
      </c>
      <c r="E667">
        <f>+DB!G667</f>
        <v>0</v>
      </c>
      <c r="F667">
        <f>+DB!H667</f>
        <v>0</v>
      </c>
      <c r="G667">
        <f>+DB!N667</f>
        <v>0</v>
      </c>
      <c r="H667">
        <f>+DB!O667</f>
        <v>0</v>
      </c>
      <c r="I667">
        <f>+DB!I667</f>
        <v>0</v>
      </c>
      <c r="J667">
        <f>+DB!J667</f>
        <v>0</v>
      </c>
      <c r="K667">
        <f>+DB!L667</f>
        <v>0</v>
      </c>
      <c r="L667" t="str">
        <f t="shared" si="31"/>
        <v/>
      </c>
      <c r="M667" t="str">
        <f>+IF(LEFT(DB!M667,3)="13/","CAC","MAD")</f>
        <v>MAD</v>
      </c>
      <c r="N667" t="str">
        <f>+RIGHT(DB!M667,6)</f>
        <v/>
      </c>
      <c r="O667">
        <v>95</v>
      </c>
      <c r="P667">
        <v>5</v>
      </c>
      <c r="Q667">
        <f>+DB!AB667</f>
        <v>0</v>
      </c>
      <c r="R667">
        <f>+DB!K667</f>
        <v>0</v>
      </c>
      <c r="S667">
        <f>+DB!F667</f>
        <v>0</v>
      </c>
      <c r="T667">
        <f>+IF(DB!F667="AAAC-35",1,3)</f>
        <v>3</v>
      </c>
      <c r="U667">
        <f>+DB!R667</f>
        <v>0</v>
      </c>
      <c r="V667">
        <f>+IF(DB!P667="1RI",1,0)+IF(DB!P667="2RI",2,0)</f>
        <v>0</v>
      </c>
      <c r="W667">
        <f>+IF(DB!P667="1RV",1,0)+IF(DB!P667="2RV",2,0)</f>
        <v>0</v>
      </c>
      <c r="X667">
        <f>+IF(DB!P667="RYI",1,0)</f>
        <v>0</v>
      </c>
      <c r="Y667">
        <f>+IF(DB!P667="RYV",1,0)</f>
        <v>0</v>
      </c>
      <c r="Z667">
        <f>+DB!U667</f>
        <v>0</v>
      </c>
      <c r="AA667">
        <f>+IF(DB!F667="AAAC-35",19.5,33)</f>
        <v>33</v>
      </c>
      <c r="AB667">
        <f>+DB!V667</f>
        <v>0</v>
      </c>
      <c r="AC667" t="str">
        <f t="shared" si="32"/>
        <v>56-4</v>
      </c>
      <c r="AD667" s="21" t="s">
        <v>72</v>
      </c>
      <c r="AE667">
        <f>+DB!X667</f>
        <v>0</v>
      </c>
      <c r="AF667" s="22">
        <f>+DB!Y667</f>
        <v>0</v>
      </c>
      <c r="AG667">
        <f>+DB!AK667</f>
        <v>0</v>
      </c>
    </row>
    <row r="668" spans="1:33" x14ac:dyDescent="0.2">
      <c r="A668">
        <f>+DB!C668</f>
        <v>0</v>
      </c>
      <c r="B668">
        <f>+DB!D668</f>
        <v>0</v>
      </c>
      <c r="C668">
        <f>+DB!E668</f>
        <v>0</v>
      </c>
      <c r="D668">
        <f t="shared" si="30"/>
        <v>0</v>
      </c>
      <c r="E668">
        <f>+DB!G668</f>
        <v>0</v>
      </c>
      <c r="F668">
        <f>+DB!H668</f>
        <v>0</v>
      </c>
      <c r="G668">
        <f>+DB!N668</f>
        <v>0</v>
      </c>
      <c r="H668">
        <f>+DB!O668</f>
        <v>0</v>
      </c>
      <c r="I668">
        <f>+DB!I668</f>
        <v>0</v>
      </c>
      <c r="J668">
        <f>+DB!J668</f>
        <v>0</v>
      </c>
      <c r="K668">
        <f>+DB!L668</f>
        <v>0</v>
      </c>
      <c r="L668" t="str">
        <f t="shared" si="31"/>
        <v/>
      </c>
      <c r="M668" t="str">
        <f>+IF(LEFT(DB!M668,3)="13/","CAC","MAD")</f>
        <v>MAD</v>
      </c>
      <c r="N668" t="str">
        <f>+RIGHT(DB!M668,6)</f>
        <v/>
      </c>
      <c r="O668">
        <v>95</v>
      </c>
      <c r="P668">
        <v>5</v>
      </c>
      <c r="Q668">
        <f>+DB!AB668</f>
        <v>0</v>
      </c>
      <c r="R668">
        <f>+DB!K668</f>
        <v>0</v>
      </c>
      <c r="S668">
        <f>+DB!F668</f>
        <v>0</v>
      </c>
      <c r="T668">
        <f>+IF(DB!F668="AAAC-35",1,3)</f>
        <v>3</v>
      </c>
      <c r="U668">
        <f>+DB!R668</f>
        <v>0</v>
      </c>
      <c r="V668">
        <f>+IF(DB!P668="1RI",1,0)+IF(DB!P668="2RI",2,0)</f>
        <v>0</v>
      </c>
      <c r="W668">
        <f>+IF(DB!P668="1RV",1,0)+IF(DB!P668="2RV",2,0)</f>
        <v>0</v>
      </c>
      <c r="X668">
        <f>+IF(DB!P668="RYI",1,0)</f>
        <v>0</v>
      </c>
      <c r="Y668">
        <f>+IF(DB!P668="RYV",1,0)</f>
        <v>0</v>
      </c>
      <c r="Z668">
        <f>+DB!U668</f>
        <v>0</v>
      </c>
      <c r="AA668">
        <f>+IF(DB!F668="AAAC-35",19.5,33)</f>
        <v>33</v>
      </c>
      <c r="AB668">
        <f>+DB!V668</f>
        <v>0</v>
      </c>
      <c r="AC668" t="str">
        <f t="shared" si="32"/>
        <v>56-4</v>
      </c>
      <c r="AD668" s="21" t="s">
        <v>72</v>
      </c>
      <c r="AE668">
        <f>+DB!X668</f>
        <v>0</v>
      </c>
      <c r="AF668" s="22">
        <f>+DB!Y668</f>
        <v>0</v>
      </c>
      <c r="AG668">
        <f>+DB!AK668</f>
        <v>0</v>
      </c>
    </row>
    <row r="669" spans="1:33" x14ac:dyDescent="0.2">
      <c r="A669">
        <f>+DB!C669</f>
        <v>0</v>
      </c>
      <c r="B669">
        <f>+DB!D669</f>
        <v>0</v>
      </c>
      <c r="C669">
        <f>+DB!E669</f>
        <v>0</v>
      </c>
      <c r="D669">
        <f t="shared" si="30"/>
        <v>0</v>
      </c>
      <c r="E669">
        <f>+DB!G669</f>
        <v>0</v>
      </c>
      <c r="F669">
        <f>+DB!H669</f>
        <v>0</v>
      </c>
      <c r="G669">
        <f>+DB!N669</f>
        <v>0</v>
      </c>
      <c r="H669">
        <f>+DB!O669</f>
        <v>0</v>
      </c>
      <c r="I669">
        <f>+DB!I669</f>
        <v>0</v>
      </c>
      <c r="J669">
        <f>+DB!J669</f>
        <v>0</v>
      </c>
      <c r="K669">
        <f>+DB!L669</f>
        <v>0</v>
      </c>
      <c r="L669" t="str">
        <f t="shared" si="31"/>
        <v/>
      </c>
      <c r="M669" t="str">
        <f>+IF(LEFT(DB!M669,3)="13/","CAC","MAD")</f>
        <v>MAD</v>
      </c>
      <c r="N669" t="str">
        <f>+RIGHT(DB!M669,6)</f>
        <v/>
      </c>
      <c r="O669">
        <v>95</v>
      </c>
      <c r="P669">
        <v>5</v>
      </c>
      <c r="Q669">
        <f>+DB!AB669</f>
        <v>0</v>
      </c>
      <c r="R669">
        <f>+DB!K669</f>
        <v>0</v>
      </c>
      <c r="S669">
        <f>+DB!F669</f>
        <v>0</v>
      </c>
      <c r="T669">
        <f>+IF(DB!F669="AAAC-35",1,3)</f>
        <v>3</v>
      </c>
      <c r="U669">
        <f>+DB!R669</f>
        <v>0</v>
      </c>
      <c r="V669">
        <f>+IF(DB!P669="1RI",1,0)+IF(DB!P669="2RI",2,0)</f>
        <v>0</v>
      </c>
      <c r="W669">
        <f>+IF(DB!P669="1RV",1,0)+IF(DB!P669="2RV",2,0)</f>
        <v>0</v>
      </c>
      <c r="X669">
        <f>+IF(DB!P669="RYI",1,0)</f>
        <v>0</v>
      </c>
      <c r="Y669">
        <f>+IF(DB!P669="RYV",1,0)</f>
        <v>0</v>
      </c>
      <c r="Z669">
        <f>+DB!U669</f>
        <v>0</v>
      </c>
      <c r="AA669">
        <f>+IF(DB!F669="AAAC-35",19.5,33)</f>
        <v>33</v>
      </c>
      <c r="AB669">
        <f>+DB!V669</f>
        <v>0</v>
      </c>
      <c r="AC669" t="str">
        <f t="shared" si="32"/>
        <v>56-4</v>
      </c>
      <c r="AD669" s="21" t="s">
        <v>72</v>
      </c>
      <c r="AE669">
        <f>+DB!X669</f>
        <v>0</v>
      </c>
      <c r="AF669" s="22">
        <f>+DB!Y669</f>
        <v>0</v>
      </c>
      <c r="AG669">
        <f>+DB!AK669</f>
        <v>0</v>
      </c>
    </row>
    <row r="670" spans="1:33" x14ac:dyDescent="0.2">
      <c r="A670">
        <f>+DB!C670</f>
        <v>0</v>
      </c>
      <c r="B670">
        <f>+DB!D670</f>
        <v>0</v>
      </c>
      <c r="C670">
        <f>+DB!E670</f>
        <v>0</v>
      </c>
      <c r="D670">
        <f t="shared" si="30"/>
        <v>0</v>
      </c>
      <c r="E670">
        <f>+DB!G670</f>
        <v>0</v>
      </c>
      <c r="F670">
        <f>+DB!H670</f>
        <v>0</v>
      </c>
      <c r="G670">
        <f>+DB!N670</f>
        <v>0</v>
      </c>
      <c r="H670">
        <f>+DB!O670</f>
        <v>0</v>
      </c>
      <c r="I670">
        <f>+DB!I670</f>
        <v>0</v>
      </c>
      <c r="J670">
        <f>+DB!J670</f>
        <v>0</v>
      </c>
      <c r="K670">
        <f>+DB!L670</f>
        <v>0</v>
      </c>
      <c r="L670" t="str">
        <f t="shared" si="31"/>
        <v/>
      </c>
      <c r="M670" t="str">
        <f>+IF(LEFT(DB!M670,3)="13/","CAC","MAD")</f>
        <v>MAD</v>
      </c>
      <c r="N670" t="str">
        <f>+RIGHT(DB!M670,6)</f>
        <v/>
      </c>
      <c r="O670">
        <v>95</v>
      </c>
      <c r="P670">
        <v>5</v>
      </c>
      <c r="Q670">
        <f>+DB!AB670</f>
        <v>0</v>
      </c>
      <c r="R670">
        <f>+DB!K670</f>
        <v>0</v>
      </c>
      <c r="S670">
        <f>+DB!F670</f>
        <v>0</v>
      </c>
      <c r="T670">
        <f>+IF(DB!F670="AAAC-35",1,3)</f>
        <v>3</v>
      </c>
      <c r="U670">
        <f>+DB!R670</f>
        <v>0</v>
      </c>
      <c r="V670">
        <f>+IF(DB!P670="1RI",1,0)+IF(DB!P670="2RI",2,0)</f>
        <v>0</v>
      </c>
      <c r="W670">
        <f>+IF(DB!P670="1RV",1,0)+IF(DB!P670="2RV",2,0)</f>
        <v>0</v>
      </c>
      <c r="X670">
        <f>+IF(DB!P670="RYI",1,0)</f>
        <v>0</v>
      </c>
      <c r="Y670">
        <f>+IF(DB!P670="RYV",1,0)</f>
        <v>0</v>
      </c>
      <c r="Z670">
        <f>+DB!U670</f>
        <v>0</v>
      </c>
      <c r="AA670">
        <f>+IF(DB!F670="AAAC-35",19.5,33)</f>
        <v>33</v>
      </c>
      <c r="AB670">
        <f>+DB!V670</f>
        <v>0</v>
      </c>
      <c r="AC670" t="str">
        <f t="shared" si="32"/>
        <v>56-4</v>
      </c>
      <c r="AD670" s="21" t="s">
        <v>72</v>
      </c>
      <c r="AE670">
        <f>+DB!X670</f>
        <v>0</v>
      </c>
      <c r="AF670" s="22">
        <f>+DB!Y670</f>
        <v>0</v>
      </c>
      <c r="AG670">
        <f>+DB!AK670</f>
        <v>0</v>
      </c>
    </row>
    <row r="671" spans="1:33" x14ac:dyDescent="0.2">
      <c r="A671">
        <f>+DB!C671</f>
        <v>0</v>
      </c>
      <c r="B671">
        <f>+DB!D671</f>
        <v>0</v>
      </c>
      <c r="C671">
        <f>+DB!E671</f>
        <v>0</v>
      </c>
      <c r="D671">
        <f t="shared" si="30"/>
        <v>0</v>
      </c>
      <c r="E671">
        <f>+DB!G671</f>
        <v>0</v>
      </c>
      <c r="F671">
        <f>+DB!H671</f>
        <v>0</v>
      </c>
      <c r="G671">
        <f>+DB!N671</f>
        <v>0</v>
      </c>
      <c r="H671">
        <f>+DB!O671</f>
        <v>0</v>
      </c>
      <c r="I671">
        <f>+DB!I671</f>
        <v>0</v>
      </c>
      <c r="J671">
        <f>+DB!J671</f>
        <v>0</v>
      </c>
      <c r="K671">
        <f>+DB!L671</f>
        <v>0</v>
      </c>
      <c r="L671" t="str">
        <f t="shared" si="31"/>
        <v/>
      </c>
      <c r="M671" t="str">
        <f>+IF(LEFT(DB!M671,3)="13/","CAC","MAD")</f>
        <v>MAD</v>
      </c>
      <c r="N671" t="str">
        <f>+RIGHT(DB!M671,6)</f>
        <v/>
      </c>
      <c r="O671">
        <v>95</v>
      </c>
      <c r="P671">
        <v>5</v>
      </c>
      <c r="Q671">
        <f>+DB!AB671</f>
        <v>0</v>
      </c>
      <c r="R671">
        <f>+DB!K671</f>
        <v>0</v>
      </c>
      <c r="S671">
        <f>+DB!F671</f>
        <v>0</v>
      </c>
      <c r="T671">
        <f>+IF(DB!F671="AAAC-35",1,3)</f>
        <v>3</v>
      </c>
      <c r="U671">
        <f>+DB!R671</f>
        <v>0</v>
      </c>
      <c r="V671">
        <f>+IF(DB!P671="1RI",1,0)+IF(DB!P671="2RI",2,0)</f>
        <v>0</v>
      </c>
      <c r="W671">
        <f>+IF(DB!P671="1RV",1,0)+IF(DB!P671="2RV",2,0)</f>
        <v>0</v>
      </c>
      <c r="X671">
        <f>+IF(DB!P671="RYI",1,0)</f>
        <v>0</v>
      </c>
      <c r="Y671">
        <f>+IF(DB!P671="RYV",1,0)</f>
        <v>0</v>
      </c>
      <c r="Z671">
        <f>+DB!U671</f>
        <v>0</v>
      </c>
      <c r="AA671">
        <f>+IF(DB!F671="AAAC-35",19.5,33)</f>
        <v>33</v>
      </c>
      <c r="AB671">
        <f>+DB!V671</f>
        <v>0</v>
      </c>
      <c r="AC671" t="str">
        <f t="shared" si="32"/>
        <v>56-4</v>
      </c>
      <c r="AD671" s="21" t="s">
        <v>72</v>
      </c>
      <c r="AE671">
        <f>+DB!X671</f>
        <v>0</v>
      </c>
      <c r="AF671" s="22">
        <f>+DB!Y671</f>
        <v>0</v>
      </c>
      <c r="AG671">
        <f>+DB!AK671</f>
        <v>0</v>
      </c>
    </row>
    <row r="672" spans="1:33" x14ac:dyDescent="0.2">
      <c r="A672">
        <f>+DB!C672</f>
        <v>0</v>
      </c>
      <c r="B672">
        <f>+DB!D672</f>
        <v>0</v>
      </c>
      <c r="C672">
        <f>+DB!E672</f>
        <v>0</v>
      </c>
      <c r="D672">
        <f t="shared" si="30"/>
        <v>0</v>
      </c>
      <c r="E672">
        <f>+DB!G672</f>
        <v>0</v>
      </c>
      <c r="F672">
        <f>+DB!H672</f>
        <v>0</v>
      </c>
      <c r="G672">
        <f>+DB!N672</f>
        <v>0</v>
      </c>
      <c r="H672">
        <f>+DB!O672</f>
        <v>0</v>
      </c>
      <c r="I672">
        <f>+DB!I672</f>
        <v>0</v>
      </c>
      <c r="J672">
        <f>+DB!J672</f>
        <v>0</v>
      </c>
      <c r="K672">
        <f>+DB!L672</f>
        <v>0</v>
      </c>
      <c r="L672" t="str">
        <f t="shared" si="31"/>
        <v/>
      </c>
      <c r="M672" t="str">
        <f>+IF(LEFT(DB!M672,3)="13/","CAC","MAD")</f>
        <v>MAD</v>
      </c>
      <c r="N672" t="str">
        <f>+RIGHT(DB!M672,6)</f>
        <v/>
      </c>
      <c r="O672">
        <v>95</v>
      </c>
      <c r="P672">
        <v>5</v>
      </c>
      <c r="Q672">
        <f>+DB!AB672</f>
        <v>0</v>
      </c>
      <c r="R672">
        <f>+DB!K672</f>
        <v>0</v>
      </c>
      <c r="S672">
        <f>+DB!F672</f>
        <v>0</v>
      </c>
      <c r="T672">
        <f>+IF(DB!F672="AAAC-35",1,3)</f>
        <v>3</v>
      </c>
      <c r="U672">
        <f>+DB!R672</f>
        <v>0</v>
      </c>
      <c r="V672">
        <f>+IF(DB!P672="1RI",1,0)+IF(DB!P672="2RI",2,0)</f>
        <v>0</v>
      </c>
      <c r="W672">
        <f>+IF(DB!P672="1RV",1,0)+IF(DB!P672="2RV",2,0)</f>
        <v>0</v>
      </c>
      <c r="X672">
        <f>+IF(DB!P672="RYI",1,0)</f>
        <v>0</v>
      </c>
      <c r="Y672">
        <f>+IF(DB!P672="RYV",1,0)</f>
        <v>0</v>
      </c>
      <c r="Z672">
        <f>+DB!U672</f>
        <v>0</v>
      </c>
      <c r="AA672">
        <f>+IF(DB!F672="AAAC-35",19.5,33)</f>
        <v>33</v>
      </c>
      <c r="AB672">
        <f>+DB!V672</f>
        <v>0</v>
      </c>
      <c r="AC672" t="str">
        <f t="shared" si="32"/>
        <v>56-4</v>
      </c>
      <c r="AD672" s="21" t="s">
        <v>72</v>
      </c>
      <c r="AE672">
        <f>+DB!X672</f>
        <v>0</v>
      </c>
      <c r="AF672" s="22">
        <f>+DB!Y672</f>
        <v>0</v>
      </c>
      <c r="AG672">
        <f>+DB!AK672</f>
        <v>0</v>
      </c>
    </row>
    <row r="673" spans="1:33" x14ac:dyDescent="0.2">
      <c r="A673">
        <f>+DB!C673</f>
        <v>0</v>
      </c>
      <c r="B673">
        <f>+DB!D673</f>
        <v>0</v>
      </c>
      <c r="C673">
        <f>+DB!E673</f>
        <v>0</v>
      </c>
      <c r="D673">
        <f t="shared" si="30"/>
        <v>0</v>
      </c>
      <c r="E673">
        <f>+DB!G673</f>
        <v>0</v>
      </c>
      <c r="F673">
        <f>+DB!H673</f>
        <v>0</v>
      </c>
      <c r="G673">
        <f>+DB!N673</f>
        <v>0</v>
      </c>
      <c r="H673">
        <f>+DB!O673</f>
        <v>0</v>
      </c>
      <c r="I673">
        <f>+DB!I673</f>
        <v>0</v>
      </c>
      <c r="J673">
        <f>+DB!J673</f>
        <v>0</v>
      </c>
      <c r="K673">
        <f>+DB!L673</f>
        <v>0</v>
      </c>
      <c r="L673" t="str">
        <f t="shared" si="31"/>
        <v/>
      </c>
      <c r="M673" t="str">
        <f>+IF(LEFT(DB!M673,3)="13/","CAC","MAD")</f>
        <v>MAD</v>
      </c>
      <c r="N673" t="str">
        <f>+RIGHT(DB!M673,6)</f>
        <v/>
      </c>
      <c r="O673">
        <v>95</v>
      </c>
      <c r="P673">
        <v>5</v>
      </c>
      <c r="Q673">
        <f>+DB!AB673</f>
        <v>0</v>
      </c>
      <c r="R673">
        <f>+DB!K673</f>
        <v>0</v>
      </c>
      <c r="S673">
        <f>+DB!F673</f>
        <v>0</v>
      </c>
      <c r="T673">
        <f>+IF(DB!F673="AAAC-35",1,3)</f>
        <v>3</v>
      </c>
      <c r="U673">
        <f>+DB!R673</f>
        <v>0</v>
      </c>
      <c r="V673">
        <f>+IF(DB!P673="1RI",1,0)+IF(DB!P673="2RI",2,0)</f>
        <v>0</v>
      </c>
      <c r="W673">
        <f>+IF(DB!P673="1RV",1,0)+IF(DB!P673="2RV",2,0)</f>
        <v>0</v>
      </c>
      <c r="X673">
        <f>+IF(DB!P673="RYI",1,0)</f>
        <v>0</v>
      </c>
      <c r="Y673">
        <f>+IF(DB!P673="RYV",1,0)</f>
        <v>0</v>
      </c>
      <c r="Z673">
        <f>+DB!U673</f>
        <v>0</v>
      </c>
      <c r="AA673">
        <f>+IF(DB!F673="AAAC-35",19.5,33)</f>
        <v>33</v>
      </c>
      <c r="AB673">
        <f>+DB!V673</f>
        <v>0</v>
      </c>
      <c r="AC673" t="str">
        <f t="shared" si="32"/>
        <v>56-4</v>
      </c>
      <c r="AD673" s="21" t="s">
        <v>72</v>
      </c>
      <c r="AE673">
        <f>+DB!X673</f>
        <v>0</v>
      </c>
      <c r="AF673" s="22">
        <f>+DB!Y673</f>
        <v>0</v>
      </c>
      <c r="AG673">
        <f>+DB!AK673</f>
        <v>0</v>
      </c>
    </row>
    <row r="674" spans="1:33" x14ac:dyDescent="0.2">
      <c r="A674">
        <f>+DB!C674</f>
        <v>0</v>
      </c>
      <c r="B674">
        <f>+DB!D674</f>
        <v>0</v>
      </c>
      <c r="C674">
        <f>+DB!E674</f>
        <v>0</v>
      </c>
      <c r="D674">
        <f t="shared" si="30"/>
        <v>0</v>
      </c>
      <c r="E674">
        <f>+DB!G674</f>
        <v>0</v>
      </c>
      <c r="F674">
        <f>+DB!H674</f>
        <v>0</v>
      </c>
      <c r="G674">
        <f>+DB!N674</f>
        <v>0</v>
      </c>
      <c r="H674">
        <f>+DB!O674</f>
        <v>0</v>
      </c>
      <c r="I674">
        <f>+DB!I674</f>
        <v>0</v>
      </c>
      <c r="J674">
        <f>+DB!J674</f>
        <v>0</v>
      </c>
      <c r="K674">
        <f>+DB!L674</f>
        <v>0</v>
      </c>
      <c r="L674" t="str">
        <f t="shared" si="31"/>
        <v/>
      </c>
      <c r="M674" t="str">
        <f>+IF(LEFT(DB!M674,3)="13/","CAC","MAD")</f>
        <v>MAD</v>
      </c>
      <c r="N674" t="str">
        <f>+RIGHT(DB!M674,6)</f>
        <v/>
      </c>
      <c r="O674">
        <v>95</v>
      </c>
      <c r="P674">
        <v>5</v>
      </c>
      <c r="Q674">
        <f>+DB!AB674</f>
        <v>0</v>
      </c>
      <c r="R674">
        <f>+DB!K674</f>
        <v>0</v>
      </c>
      <c r="S674">
        <f>+DB!F674</f>
        <v>0</v>
      </c>
      <c r="T674">
        <f>+IF(DB!F674="AAAC-35",1,3)</f>
        <v>3</v>
      </c>
      <c r="U674">
        <f>+DB!R674</f>
        <v>0</v>
      </c>
      <c r="V674">
        <f>+IF(DB!P674="1RI",1,0)+IF(DB!P674="2RI",2,0)</f>
        <v>0</v>
      </c>
      <c r="W674">
        <f>+IF(DB!P674="1RV",1,0)+IF(DB!P674="2RV",2,0)</f>
        <v>0</v>
      </c>
      <c r="X674">
        <f>+IF(DB!P674="RYI",1,0)</f>
        <v>0</v>
      </c>
      <c r="Y674">
        <f>+IF(DB!P674="RYV",1,0)</f>
        <v>0</v>
      </c>
      <c r="Z674">
        <f>+DB!U674</f>
        <v>0</v>
      </c>
      <c r="AA674">
        <f>+IF(DB!F674="AAAC-35",19.5,33)</f>
        <v>33</v>
      </c>
      <c r="AB674">
        <f>+DB!V674</f>
        <v>0</v>
      </c>
      <c r="AC674" t="str">
        <f t="shared" si="32"/>
        <v>56-4</v>
      </c>
      <c r="AD674" s="21" t="s">
        <v>72</v>
      </c>
      <c r="AE674">
        <f>+DB!X674</f>
        <v>0</v>
      </c>
      <c r="AF674" s="22">
        <f>+DB!Y674</f>
        <v>0</v>
      </c>
      <c r="AG674">
        <f>+DB!AK674</f>
        <v>0</v>
      </c>
    </row>
    <row r="675" spans="1:33" x14ac:dyDescent="0.2">
      <c r="A675">
        <f>+DB!C675</f>
        <v>0</v>
      </c>
      <c r="B675">
        <f>+DB!D675</f>
        <v>0</v>
      </c>
      <c r="C675">
        <f>+DB!E675</f>
        <v>0</v>
      </c>
      <c r="D675">
        <f t="shared" si="30"/>
        <v>0</v>
      </c>
      <c r="E675">
        <f>+DB!G675</f>
        <v>0</v>
      </c>
      <c r="F675">
        <f>+DB!H675</f>
        <v>0</v>
      </c>
      <c r="G675">
        <f>+DB!N675</f>
        <v>0</v>
      </c>
      <c r="H675">
        <f>+DB!O675</f>
        <v>0</v>
      </c>
      <c r="I675">
        <f>+DB!I675</f>
        <v>0</v>
      </c>
      <c r="J675">
        <f>+DB!J675</f>
        <v>0</v>
      </c>
      <c r="K675">
        <f>+DB!L675</f>
        <v>0</v>
      </c>
      <c r="L675" t="str">
        <f t="shared" si="31"/>
        <v/>
      </c>
      <c r="M675" t="str">
        <f>+IF(LEFT(DB!M675,3)="13/","CAC","MAD")</f>
        <v>MAD</v>
      </c>
      <c r="N675" t="str">
        <f>+RIGHT(DB!M675,6)</f>
        <v/>
      </c>
      <c r="O675">
        <v>95</v>
      </c>
      <c r="P675">
        <v>5</v>
      </c>
      <c r="Q675">
        <f>+DB!AB675</f>
        <v>0</v>
      </c>
      <c r="R675">
        <f>+DB!K675</f>
        <v>0</v>
      </c>
      <c r="S675">
        <f>+DB!F675</f>
        <v>0</v>
      </c>
      <c r="T675">
        <f>+IF(DB!F675="AAAC-35",1,3)</f>
        <v>3</v>
      </c>
      <c r="U675">
        <f>+DB!R675</f>
        <v>0</v>
      </c>
      <c r="V675">
        <f>+IF(DB!P675="1RI",1,0)+IF(DB!P675="2RI",2,0)</f>
        <v>0</v>
      </c>
      <c r="W675">
        <f>+IF(DB!P675="1RV",1,0)+IF(DB!P675="2RV",2,0)</f>
        <v>0</v>
      </c>
      <c r="X675">
        <f>+IF(DB!P675="RYI",1,0)</f>
        <v>0</v>
      </c>
      <c r="Y675">
        <f>+IF(DB!P675="RYV",1,0)</f>
        <v>0</v>
      </c>
      <c r="Z675">
        <f>+DB!U675</f>
        <v>0</v>
      </c>
      <c r="AA675">
        <f>+IF(DB!F675="AAAC-35",19.5,33)</f>
        <v>33</v>
      </c>
      <c r="AB675">
        <f>+DB!V675</f>
        <v>0</v>
      </c>
      <c r="AC675" t="str">
        <f t="shared" si="32"/>
        <v>56-4</v>
      </c>
      <c r="AD675" s="21" t="s">
        <v>72</v>
      </c>
      <c r="AE675">
        <f>+DB!X675</f>
        <v>0</v>
      </c>
      <c r="AF675" s="22">
        <f>+DB!Y675</f>
        <v>0</v>
      </c>
      <c r="AG675">
        <f>+DB!AK675</f>
        <v>0</v>
      </c>
    </row>
    <row r="676" spans="1:33" x14ac:dyDescent="0.2">
      <c r="A676">
        <f>+DB!C676</f>
        <v>0</v>
      </c>
      <c r="B676">
        <f>+DB!D676</f>
        <v>0</v>
      </c>
      <c r="C676">
        <f>+DB!E676</f>
        <v>0</v>
      </c>
      <c r="D676">
        <f t="shared" si="30"/>
        <v>0</v>
      </c>
      <c r="E676">
        <f>+DB!G676</f>
        <v>0</v>
      </c>
      <c r="F676">
        <f>+DB!H676</f>
        <v>0</v>
      </c>
      <c r="G676">
        <f>+DB!N676</f>
        <v>0</v>
      </c>
      <c r="H676">
        <f>+DB!O676</f>
        <v>0</v>
      </c>
      <c r="I676">
        <f>+DB!I676</f>
        <v>0</v>
      </c>
      <c r="J676">
        <f>+DB!J676</f>
        <v>0</v>
      </c>
      <c r="K676">
        <f>+DB!L676</f>
        <v>0</v>
      </c>
      <c r="L676" t="str">
        <f t="shared" si="31"/>
        <v/>
      </c>
      <c r="M676" t="str">
        <f>+IF(LEFT(DB!M676,3)="13/","CAC","MAD")</f>
        <v>MAD</v>
      </c>
      <c r="N676" t="str">
        <f>+RIGHT(DB!M676,6)</f>
        <v/>
      </c>
      <c r="O676">
        <v>95</v>
      </c>
      <c r="P676">
        <v>5</v>
      </c>
      <c r="Q676">
        <f>+DB!AB676</f>
        <v>0</v>
      </c>
      <c r="R676">
        <f>+DB!K676</f>
        <v>0</v>
      </c>
      <c r="S676">
        <f>+DB!F676</f>
        <v>0</v>
      </c>
      <c r="T676">
        <f>+IF(DB!F676="AAAC-35",1,3)</f>
        <v>3</v>
      </c>
      <c r="U676">
        <f>+DB!R676</f>
        <v>0</v>
      </c>
      <c r="V676">
        <f>+IF(DB!P676="1RI",1,0)+IF(DB!P676="2RI",2,0)</f>
        <v>0</v>
      </c>
      <c r="W676">
        <f>+IF(DB!P676="1RV",1,0)+IF(DB!P676="2RV",2,0)</f>
        <v>0</v>
      </c>
      <c r="X676">
        <f>+IF(DB!P676="RYI",1,0)</f>
        <v>0</v>
      </c>
      <c r="Y676">
        <f>+IF(DB!P676="RYV",1,0)</f>
        <v>0</v>
      </c>
      <c r="Z676">
        <f>+DB!U676</f>
        <v>0</v>
      </c>
      <c r="AA676">
        <f>+IF(DB!F676="AAAC-35",19.5,33)</f>
        <v>33</v>
      </c>
      <c r="AB676">
        <f>+DB!V676</f>
        <v>0</v>
      </c>
      <c r="AC676" t="str">
        <f t="shared" si="32"/>
        <v>56-4</v>
      </c>
      <c r="AD676" s="21" t="s">
        <v>72</v>
      </c>
      <c r="AE676">
        <f>+DB!X676</f>
        <v>0</v>
      </c>
      <c r="AF676" s="22">
        <f>+DB!Y676</f>
        <v>0</v>
      </c>
      <c r="AG676">
        <f>+DB!AK676</f>
        <v>0</v>
      </c>
    </row>
    <row r="677" spans="1:33" x14ac:dyDescent="0.2">
      <c r="A677">
        <f>+DB!C677</f>
        <v>0</v>
      </c>
      <c r="B677">
        <f>+DB!D677</f>
        <v>0</v>
      </c>
      <c r="C677">
        <f>+DB!E677</f>
        <v>0</v>
      </c>
      <c r="D677">
        <f t="shared" si="30"/>
        <v>0</v>
      </c>
      <c r="E677">
        <f>+DB!G677</f>
        <v>0</v>
      </c>
      <c r="F677">
        <f>+DB!H677</f>
        <v>0</v>
      </c>
      <c r="G677">
        <f>+DB!N677</f>
        <v>0</v>
      </c>
      <c r="H677">
        <f>+DB!O677</f>
        <v>0</v>
      </c>
      <c r="I677">
        <f>+DB!I677</f>
        <v>0</v>
      </c>
      <c r="J677">
        <f>+DB!J677</f>
        <v>0</v>
      </c>
      <c r="K677">
        <f>+DB!L677</f>
        <v>0</v>
      </c>
      <c r="L677" t="str">
        <f t="shared" si="31"/>
        <v/>
      </c>
      <c r="M677" t="str">
        <f>+IF(LEFT(DB!M677,3)="13/","CAC","MAD")</f>
        <v>MAD</v>
      </c>
      <c r="N677" t="str">
        <f>+RIGHT(DB!M677,6)</f>
        <v/>
      </c>
      <c r="O677">
        <v>95</v>
      </c>
      <c r="P677">
        <v>5</v>
      </c>
      <c r="Q677">
        <f>+DB!AB677</f>
        <v>0</v>
      </c>
      <c r="R677">
        <f>+DB!K677</f>
        <v>0</v>
      </c>
      <c r="S677">
        <f>+DB!F677</f>
        <v>0</v>
      </c>
      <c r="T677">
        <f>+IF(DB!F677="AAAC-35",1,3)</f>
        <v>3</v>
      </c>
      <c r="U677">
        <f>+DB!R677</f>
        <v>0</v>
      </c>
      <c r="V677">
        <f>+IF(DB!P677="1RI",1,0)+IF(DB!P677="2RI",2,0)</f>
        <v>0</v>
      </c>
      <c r="W677">
        <f>+IF(DB!P677="1RV",1,0)+IF(DB!P677="2RV",2,0)</f>
        <v>0</v>
      </c>
      <c r="X677">
        <f>+IF(DB!P677="RYI",1,0)</f>
        <v>0</v>
      </c>
      <c r="Y677">
        <f>+IF(DB!P677="RYV",1,0)</f>
        <v>0</v>
      </c>
      <c r="Z677">
        <f>+DB!U677</f>
        <v>0</v>
      </c>
      <c r="AA677">
        <f>+IF(DB!F677="AAAC-35",19.5,33)</f>
        <v>33</v>
      </c>
      <c r="AB677">
        <f>+DB!V677</f>
        <v>0</v>
      </c>
      <c r="AC677" t="str">
        <f t="shared" si="32"/>
        <v>56-4</v>
      </c>
      <c r="AD677" s="21" t="s">
        <v>72</v>
      </c>
      <c r="AE677">
        <f>+DB!X677</f>
        <v>0</v>
      </c>
      <c r="AF677" s="22">
        <f>+DB!Y677</f>
        <v>0</v>
      </c>
      <c r="AG677">
        <f>+DB!AK677</f>
        <v>0</v>
      </c>
    </row>
    <row r="678" spans="1:33" x14ac:dyDescent="0.2">
      <c r="A678">
        <f>+DB!C678</f>
        <v>0</v>
      </c>
      <c r="B678">
        <f>+DB!D678</f>
        <v>0</v>
      </c>
      <c r="C678">
        <f>+DB!E678</f>
        <v>0</v>
      </c>
      <c r="D678">
        <f t="shared" si="30"/>
        <v>0</v>
      </c>
      <c r="E678">
        <f>+DB!G678</f>
        <v>0</v>
      </c>
      <c r="F678">
        <f>+DB!H678</f>
        <v>0</v>
      </c>
      <c r="G678">
        <f>+DB!N678</f>
        <v>0</v>
      </c>
      <c r="H678">
        <f>+DB!O678</f>
        <v>0</v>
      </c>
      <c r="I678">
        <f>+DB!I678</f>
        <v>0</v>
      </c>
      <c r="J678">
        <f>+DB!J678</f>
        <v>0</v>
      </c>
      <c r="K678">
        <f>+DB!L678</f>
        <v>0</v>
      </c>
      <c r="L678" t="str">
        <f t="shared" si="31"/>
        <v/>
      </c>
      <c r="M678" t="str">
        <f>+IF(LEFT(DB!M678,3)="13/","CAC","MAD")</f>
        <v>MAD</v>
      </c>
      <c r="N678" t="str">
        <f>+RIGHT(DB!M678,6)</f>
        <v/>
      </c>
      <c r="O678">
        <v>95</v>
      </c>
      <c r="P678">
        <v>5</v>
      </c>
      <c r="Q678">
        <f>+DB!AB678</f>
        <v>0</v>
      </c>
      <c r="R678">
        <f>+DB!K678</f>
        <v>0</v>
      </c>
      <c r="S678">
        <f>+DB!F678</f>
        <v>0</v>
      </c>
      <c r="T678">
        <f>+IF(DB!F678="AAAC-35",1,3)</f>
        <v>3</v>
      </c>
      <c r="U678">
        <f>+DB!R678</f>
        <v>0</v>
      </c>
      <c r="V678">
        <f>+IF(DB!P678="1RI",1,0)+IF(DB!P678="2RI",2,0)</f>
        <v>0</v>
      </c>
      <c r="W678">
        <f>+IF(DB!P678="1RV",1,0)+IF(DB!P678="2RV",2,0)</f>
        <v>0</v>
      </c>
      <c r="X678">
        <f>+IF(DB!P678="RYI",1,0)</f>
        <v>0</v>
      </c>
      <c r="Y678">
        <f>+IF(DB!P678="RYV",1,0)</f>
        <v>0</v>
      </c>
      <c r="Z678">
        <f>+DB!U678</f>
        <v>0</v>
      </c>
      <c r="AA678">
        <f>+IF(DB!F678="AAAC-35",19.5,33)</f>
        <v>33</v>
      </c>
      <c r="AB678">
        <f>+DB!V678</f>
        <v>0</v>
      </c>
      <c r="AC678" t="str">
        <f t="shared" si="32"/>
        <v>56-4</v>
      </c>
      <c r="AD678" s="21" t="s">
        <v>72</v>
      </c>
      <c r="AE678">
        <f>+DB!X678</f>
        <v>0</v>
      </c>
      <c r="AF678" s="22">
        <f>+DB!Y678</f>
        <v>0</v>
      </c>
      <c r="AG678">
        <f>+DB!AK678</f>
        <v>0</v>
      </c>
    </row>
    <row r="679" spans="1:33" x14ac:dyDescent="0.2">
      <c r="A679">
        <f>+DB!C679</f>
        <v>0</v>
      </c>
      <c r="B679">
        <f>+DB!D679</f>
        <v>0</v>
      </c>
      <c r="C679">
        <f>+DB!E679</f>
        <v>0</v>
      </c>
      <c r="D679">
        <f t="shared" si="30"/>
        <v>0</v>
      </c>
      <c r="E679">
        <f>+DB!G679</f>
        <v>0</v>
      </c>
      <c r="F679">
        <f>+DB!H679</f>
        <v>0</v>
      </c>
      <c r="G679">
        <f>+DB!N679</f>
        <v>0</v>
      </c>
      <c r="H679">
        <f>+DB!O679</f>
        <v>0</v>
      </c>
      <c r="I679">
        <f>+DB!I679</f>
        <v>0</v>
      </c>
      <c r="J679">
        <f>+DB!J679</f>
        <v>0</v>
      </c>
      <c r="K679">
        <f>+DB!L679</f>
        <v>0</v>
      </c>
      <c r="L679" t="str">
        <f t="shared" si="31"/>
        <v/>
      </c>
      <c r="M679" t="str">
        <f>+IF(LEFT(DB!M679,3)="13/","CAC","MAD")</f>
        <v>MAD</v>
      </c>
      <c r="N679" t="str">
        <f>+RIGHT(DB!M679,6)</f>
        <v/>
      </c>
      <c r="O679">
        <v>95</v>
      </c>
      <c r="P679">
        <v>5</v>
      </c>
      <c r="Q679">
        <f>+DB!AB679</f>
        <v>0</v>
      </c>
      <c r="R679">
        <f>+DB!K679</f>
        <v>0</v>
      </c>
      <c r="S679">
        <f>+DB!F679</f>
        <v>0</v>
      </c>
      <c r="T679">
        <f>+IF(DB!F679="AAAC-35",1,3)</f>
        <v>3</v>
      </c>
      <c r="U679">
        <f>+DB!R679</f>
        <v>0</v>
      </c>
      <c r="V679">
        <f>+IF(DB!P679="1RI",1,0)+IF(DB!P679="2RI",2,0)</f>
        <v>0</v>
      </c>
      <c r="W679">
        <f>+IF(DB!P679="1RV",1,0)+IF(DB!P679="2RV",2,0)</f>
        <v>0</v>
      </c>
      <c r="X679">
        <f>+IF(DB!P679="RYI",1,0)</f>
        <v>0</v>
      </c>
      <c r="Y679">
        <f>+IF(DB!P679="RYV",1,0)</f>
        <v>0</v>
      </c>
      <c r="Z679">
        <f>+DB!U679</f>
        <v>0</v>
      </c>
      <c r="AA679">
        <f>+IF(DB!F679="AAAC-35",19.5,33)</f>
        <v>33</v>
      </c>
      <c r="AB679">
        <f>+DB!V679</f>
        <v>0</v>
      </c>
      <c r="AC679" t="str">
        <f t="shared" si="32"/>
        <v>56-4</v>
      </c>
      <c r="AD679" s="21" t="s">
        <v>72</v>
      </c>
      <c r="AE679">
        <f>+DB!X679</f>
        <v>0</v>
      </c>
      <c r="AF679" s="22">
        <f>+DB!Y679</f>
        <v>0</v>
      </c>
      <c r="AG679">
        <f>+DB!AK679</f>
        <v>0</v>
      </c>
    </row>
    <row r="680" spans="1:33" x14ac:dyDescent="0.2">
      <c r="A680">
        <f>+DB!C680</f>
        <v>0</v>
      </c>
      <c r="B680">
        <f>+DB!D680</f>
        <v>0</v>
      </c>
      <c r="C680">
        <f>+DB!E680</f>
        <v>0</v>
      </c>
      <c r="D680">
        <f t="shared" si="30"/>
        <v>0</v>
      </c>
      <c r="E680">
        <f>+DB!G680</f>
        <v>0</v>
      </c>
      <c r="F680">
        <f>+DB!H680</f>
        <v>0</v>
      </c>
      <c r="G680">
        <f>+DB!N680</f>
        <v>0</v>
      </c>
      <c r="H680">
        <f>+DB!O680</f>
        <v>0</v>
      </c>
      <c r="I680">
        <f>+DB!I680</f>
        <v>0</v>
      </c>
      <c r="J680">
        <f>+DB!J680</f>
        <v>0</v>
      </c>
      <c r="K680">
        <f>+DB!L680</f>
        <v>0</v>
      </c>
      <c r="L680" t="str">
        <f t="shared" si="31"/>
        <v/>
      </c>
      <c r="M680" t="str">
        <f>+IF(LEFT(DB!M680,3)="13/","CAC","MAD")</f>
        <v>MAD</v>
      </c>
      <c r="N680" t="str">
        <f>+RIGHT(DB!M680,6)</f>
        <v/>
      </c>
      <c r="O680">
        <v>95</v>
      </c>
      <c r="P680">
        <v>5</v>
      </c>
      <c r="Q680">
        <f>+DB!AB680</f>
        <v>0</v>
      </c>
      <c r="R680">
        <f>+DB!K680</f>
        <v>0</v>
      </c>
      <c r="S680">
        <f>+DB!F680</f>
        <v>0</v>
      </c>
      <c r="T680">
        <f>+IF(DB!F680="AAAC-35",1,3)</f>
        <v>3</v>
      </c>
      <c r="U680">
        <f>+DB!R680</f>
        <v>0</v>
      </c>
      <c r="V680">
        <f>+IF(DB!P680="1RI",1,0)+IF(DB!P680="2RI",2,0)</f>
        <v>0</v>
      </c>
      <c r="W680">
        <f>+IF(DB!P680="1RV",1,0)+IF(DB!P680="2RV",2,0)</f>
        <v>0</v>
      </c>
      <c r="X680">
        <f>+IF(DB!P680="RYI",1,0)</f>
        <v>0</v>
      </c>
      <c r="Y680">
        <f>+IF(DB!P680="RYV",1,0)</f>
        <v>0</v>
      </c>
      <c r="Z680">
        <f>+DB!U680</f>
        <v>0</v>
      </c>
      <c r="AA680">
        <f>+IF(DB!F680="AAAC-35",19.5,33)</f>
        <v>33</v>
      </c>
      <c r="AB680">
        <f>+DB!V680</f>
        <v>0</v>
      </c>
      <c r="AC680" t="str">
        <f t="shared" si="32"/>
        <v>56-4</v>
      </c>
      <c r="AD680" s="21" t="s">
        <v>72</v>
      </c>
      <c r="AE680">
        <f>+DB!X680</f>
        <v>0</v>
      </c>
      <c r="AF680" s="22">
        <f>+DB!Y680</f>
        <v>0</v>
      </c>
      <c r="AG680">
        <f>+DB!AK680</f>
        <v>0</v>
      </c>
    </row>
    <row r="681" spans="1:33" x14ac:dyDescent="0.2">
      <c r="A681">
        <f>+DB!C681</f>
        <v>0</v>
      </c>
      <c r="B681">
        <f>+DB!D681</f>
        <v>0</v>
      </c>
      <c r="C681">
        <f>+DB!E681</f>
        <v>0</v>
      </c>
      <c r="D681">
        <f t="shared" si="30"/>
        <v>0</v>
      </c>
      <c r="E681">
        <f>+DB!G681</f>
        <v>0</v>
      </c>
      <c r="F681">
        <f>+DB!H681</f>
        <v>0</v>
      </c>
      <c r="G681">
        <f>+DB!N681</f>
        <v>0</v>
      </c>
      <c r="H681">
        <f>+DB!O681</f>
        <v>0</v>
      </c>
      <c r="I681">
        <f>+DB!I681</f>
        <v>0</v>
      </c>
      <c r="J681">
        <f>+DB!J681</f>
        <v>0</v>
      </c>
      <c r="K681">
        <f>+DB!L681</f>
        <v>0</v>
      </c>
      <c r="L681" t="str">
        <f t="shared" si="31"/>
        <v/>
      </c>
      <c r="M681" t="str">
        <f>+IF(LEFT(DB!M681,3)="13/","CAC","MAD")</f>
        <v>MAD</v>
      </c>
      <c r="N681" t="str">
        <f>+RIGHT(DB!M681,6)</f>
        <v/>
      </c>
      <c r="O681">
        <v>95</v>
      </c>
      <c r="P681">
        <v>5</v>
      </c>
      <c r="Q681">
        <f>+DB!AB681</f>
        <v>0</v>
      </c>
      <c r="R681">
        <f>+DB!K681</f>
        <v>0</v>
      </c>
      <c r="S681">
        <f>+DB!F681</f>
        <v>0</v>
      </c>
      <c r="T681">
        <f>+IF(DB!F681="AAAC-35",1,3)</f>
        <v>3</v>
      </c>
      <c r="U681">
        <f>+DB!R681</f>
        <v>0</v>
      </c>
      <c r="V681">
        <f>+IF(DB!P681="1RI",1,0)+IF(DB!P681="2RI",2,0)</f>
        <v>0</v>
      </c>
      <c r="W681">
        <f>+IF(DB!P681="1RV",1,0)+IF(DB!P681="2RV",2,0)</f>
        <v>0</v>
      </c>
      <c r="X681">
        <f>+IF(DB!P681="RYI",1,0)</f>
        <v>0</v>
      </c>
      <c r="Y681">
        <f>+IF(DB!P681="RYV",1,0)</f>
        <v>0</v>
      </c>
      <c r="Z681">
        <f>+DB!U681</f>
        <v>0</v>
      </c>
      <c r="AA681">
        <f>+IF(DB!F681="AAAC-35",19.5,33)</f>
        <v>33</v>
      </c>
      <c r="AB681">
        <f>+DB!V681</f>
        <v>0</v>
      </c>
      <c r="AC681" t="str">
        <f t="shared" si="32"/>
        <v>56-4</v>
      </c>
      <c r="AD681" s="21" t="s">
        <v>72</v>
      </c>
      <c r="AE681">
        <f>+DB!X681</f>
        <v>0</v>
      </c>
      <c r="AF681" s="22">
        <f>+DB!Y681</f>
        <v>0</v>
      </c>
      <c r="AG681">
        <f>+DB!AK681</f>
        <v>0</v>
      </c>
    </row>
    <row r="682" spans="1:33" x14ac:dyDescent="0.2">
      <c r="A682">
        <f>+DB!C682</f>
        <v>0</v>
      </c>
      <c r="B682">
        <f>+DB!D682</f>
        <v>0</v>
      </c>
      <c r="C682">
        <f>+DB!E682</f>
        <v>0</v>
      </c>
      <c r="D682">
        <f t="shared" si="30"/>
        <v>0</v>
      </c>
      <c r="E682">
        <f>+DB!G682</f>
        <v>0</v>
      </c>
      <c r="F682">
        <f>+DB!H682</f>
        <v>0</v>
      </c>
      <c r="G682">
        <f>+DB!N682</f>
        <v>0</v>
      </c>
      <c r="H682">
        <f>+DB!O682</f>
        <v>0</v>
      </c>
      <c r="I682">
        <f>+DB!I682</f>
        <v>0</v>
      </c>
      <c r="J682">
        <f>+DB!J682</f>
        <v>0</v>
      </c>
      <c r="K682">
        <f>+DB!L682</f>
        <v>0</v>
      </c>
      <c r="L682" t="str">
        <f t="shared" si="31"/>
        <v/>
      </c>
      <c r="M682" t="str">
        <f>+IF(LEFT(DB!M682,3)="13/","CAC","MAD")</f>
        <v>MAD</v>
      </c>
      <c r="N682" t="str">
        <f>+RIGHT(DB!M682,6)</f>
        <v/>
      </c>
      <c r="O682">
        <v>95</v>
      </c>
      <c r="P682">
        <v>5</v>
      </c>
      <c r="Q682">
        <f>+DB!AB682</f>
        <v>0</v>
      </c>
      <c r="R682">
        <f>+DB!K682</f>
        <v>0</v>
      </c>
      <c r="S682">
        <f>+DB!F682</f>
        <v>0</v>
      </c>
      <c r="T682">
        <f>+IF(DB!F682="AAAC-35",1,3)</f>
        <v>3</v>
      </c>
      <c r="U682">
        <f>+DB!R682</f>
        <v>0</v>
      </c>
      <c r="V682">
        <f>+IF(DB!P682="1RI",1,0)+IF(DB!P682="2RI",2,0)</f>
        <v>0</v>
      </c>
      <c r="W682">
        <f>+IF(DB!P682="1RV",1,0)+IF(DB!P682="2RV",2,0)</f>
        <v>0</v>
      </c>
      <c r="X682">
        <f>+IF(DB!P682="RYI",1,0)</f>
        <v>0</v>
      </c>
      <c r="Y682">
        <f>+IF(DB!P682="RYV",1,0)</f>
        <v>0</v>
      </c>
      <c r="Z682">
        <f>+DB!U682</f>
        <v>0</v>
      </c>
      <c r="AA682">
        <f>+IF(DB!F682="AAAC-35",19.5,33)</f>
        <v>33</v>
      </c>
      <c r="AB682">
        <f>+DB!V682</f>
        <v>0</v>
      </c>
      <c r="AC682" t="str">
        <f t="shared" si="32"/>
        <v>56-4</v>
      </c>
      <c r="AD682" s="21" t="s">
        <v>72</v>
      </c>
      <c r="AE682">
        <f>+DB!X682</f>
        <v>0</v>
      </c>
      <c r="AF682" s="22">
        <f>+DB!Y682</f>
        <v>0</v>
      </c>
      <c r="AG682">
        <f>+DB!AK682</f>
        <v>0</v>
      </c>
    </row>
    <row r="683" spans="1:33" x14ac:dyDescent="0.2">
      <c r="A683">
        <f>+DB!C683</f>
        <v>0</v>
      </c>
      <c r="B683">
        <f>+DB!D683</f>
        <v>0</v>
      </c>
      <c r="C683">
        <f>+DB!E683</f>
        <v>0</v>
      </c>
      <c r="D683">
        <f t="shared" si="30"/>
        <v>0</v>
      </c>
      <c r="E683">
        <f>+DB!G683</f>
        <v>0</v>
      </c>
      <c r="F683">
        <f>+DB!H683</f>
        <v>0</v>
      </c>
      <c r="G683">
        <f>+DB!N683</f>
        <v>0</v>
      </c>
      <c r="H683">
        <f>+DB!O683</f>
        <v>0</v>
      </c>
      <c r="I683">
        <f>+DB!I683</f>
        <v>0</v>
      </c>
      <c r="J683">
        <f>+DB!J683</f>
        <v>0</v>
      </c>
      <c r="K683">
        <f>+DB!L683</f>
        <v>0</v>
      </c>
      <c r="L683" t="str">
        <f t="shared" si="31"/>
        <v/>
      </c>
      <c r="M683" t="str">
        <f>+IF(LEFT(DB!M683,3)="13/","CAC","MAD")</f>
        <v>MAD</v>
      </c>
      <c r="N683" t="str">
        <f>+RIGHT(DB!M683,6)</f>
        <v/>
      </c>
      <c r="O683">
        <v>95</v>
      </c>
      <c r="P683">
        <v>5</v>
      </c>
      <c r="Q683">
        <f>+DB!AB683</f>
        <v>0</v>
      </c>
      <c r="R683">
        <f>+DB!K683</f>
        <v>0</v>
      </c>
      <c r="S683">
        <f>+DB!F683</f>
        <v>0</v>
      </c>
      <c r="T683">
        <f>+IF(DB!F683="AAAC-35",1,3)</f>
        <v>3</v>
      </c>
      <c r="U683">
        <f>+DB!R683</f>
        <v>0</v>
      </c>
      <c r="V683">
        <f>+IF(DB!P683="1RI",1,0)+IF(DB!P683="2RI",2,0)</f>
        <v>0</v>
      </c>
      <c r="W683">
        <f>+IF(DB!P683="1RV",1,0)+IF(DB!P683="2RV",2,0)</f>
        <v>0</v>
      </c>
      <c r="X683">
        <f>+IF(DB!P683="RYI",1,0)</f>
        <v>0</v>
      </c>
      <c r="Y683">
        <f>+IF(DB!P683="RYV",1,0)</f>
        <v>0</v>
      </c>
      <c r="Z683">
        <f>+DB!U683</f>
        <v>0</v>
      </c>
      <c r="AA683">
        <f>+IF(DB!F683="AAAC-35",19.5,33)</f>
        <v>33</v>
      </c>
      <c r="AB683">
        <f>+DB!V683</f>
        <v>0</v>
      </c>
      <c r="AC683" t="str">
        <f t="shared" si="32"/>
        <v>56-4</v>
      </c>
      <c r="AD683" s="21" t="s">
        <v>72</v>
      </c>
      <c r="AE683">
        <f>+DB!X683</f>
        <v>0</v>
      </c>
      <c r="AF683" s="22">
        <f>+DB!Y683</f>
        <v>0</v>
      </c>
      <c r="AG683">
        <f>+DB!AK683</f>
        <v>0</v>
      </c>
    </row>
    <row r="684" spans="1:33" x14ac:dyDescent="0.2">
      <c r="A684">
        <f>+DB!C684</f>
        <v>0</v>
      </c>
      <c r="B684">
        <f>+DB!D684</f>
        <v>0</v>
      </c>
      <c r="C684">
        <f>+DB!E684</f>
        <v>0</v>
      </c>
      <c r="D684">
        <f t="shared" si="30"/>
        <v>0</v>
      </c>
      <c r="E684">
        <f>+DB!G684</f>
        <v>0</v>
      </c>
      <c r="F684">
        <f>+DB!H684</f>
        <v>0</v>
      </c>
      <c r="G684">
        <f>+DB!N684</f>
        <v>0</v>
      </c>
      <c r="H684">
        <f>+DB!O684</f>
        <v>0</v>
      </c>
      <c r="I684">
        <f>+DB!I684</f>
        <v>0</v>
      </c>
      <c r="J684">
        <f>+DB!J684</f>
        <v>0</v>
      </c>
      <c r="K684">
        <f>+DB!L684</f>
        <v>0</v>
      </c>
      <c r="L684" t="str">
        <f t="shared" si="31"/>
        <v/>
      </c>
      <c r="M684" t="str">
        <f>+IF(LEFT(DB!M684,3)="13/","CAC","MAD")</f>
        <v>MAD</v>
      </c>
      <c r="N684" t="str">
        <f>+RIGHT(DB!M684,6)</f>
        <v/>
      </c>
      <c r="O684">
        <v>95</v>
      </c>
      <c r="P684">
        <v>5</v>
      </c>
      <c r="Q684">
        <f>+DB!AB684</f>
        <v>0</v>
      </c>
      <c r="R684">
        <f>+DB!K684</f>
        <v>0</v>
      </c>
      <c r="S684">
        <f>+DB!F684</f>
        <v>0</v>
      </c>
      <c r="T684">
        <f>+IF(DB!F684="AAAC-35",1,3)</f>
        <v>3</v>
      </c>
      <c r="U684">
        <f>+DB!R684</f>
        <v>0</v>
      </c>
      <c r="V684">
        <f>+IF(DB!P684="1RI",1,0)+IF(DB!P684="2RI",2,0)</f>
        <v>0</v>
      </c>
      <c r="W684">
        <f>+IF(DB!P684="1RV",1,0)+IF(DB!P684="2RV",2,0)</f>
        <v>0</v>
      </c>
      <c r="X684">
        <f>+IF(DB!P684="RYI",1,0)</f>
        <v>0</v>
      </c>
      <c r="Y684">
        <f>+IF(DB!P684="RYV",1,0)</f>
        <v>0</v>
      </c>
      <c r="Z684">
        <f>+DB!U684</f>
        <v>0</v>
      </c>
      <c r="AA684">
        <f>+IF(DB!F684="AAAC-35",19.5,33)</f>
        <v>33</v>
      </c>
      <c r="AB684">
        <f>+DB!V684</f>
        <v>0</v>
      </c>
      <c r="AC684" t="str">
        <f t="shared" si="32"/>
        <v>56-4</v>
      </c>
      <c r="AD684" s="21" t="s">
        <v>72</v>
      </c>
      <c r="AE684">
        <f>+DB!X684</f>
        <v>0</v>
      </c>
      <c r="AF684" s="22">
        <f>+DB!Y684</f>
        <v>0</v>
      </c>
      <c r="AG684">
        <f>+DB!AK684</f>
        <v>0</v>
      </c>
    </row>
    <row r="685" spans="1:33" x14ac:dyDescent="0.2">
      <c r="A685">
        <f>+DB!C685</f>
        <v>0</v>
      </c>
      <c r="B685">
        <f>+DB!D685</f>
        <v>0</v>
      </c>
      <c r="C685">
        <f>+DB!E685</f>
        <v>0</v>
      </c>
      <c r="D685">
        <f t="shared" si="30"/>
        <v>0</v>
      </c>
      <c r="E685">
        <f>+DB!G685</f>
        <v>0</v>
      </c>
      <c r="F685">
        <f>+DB!H685</f>
        <v>0</v>
      </c>
      <c r="G685">
        <f>+DB!N685</f>
        <v>0</v>
      </c>
      <c r="H685">
        <f>+DB!O685</f>
        <v>0</v>
      </c>
      <c r="I685">
        <f>+DB!I685</f>
        <v>0</v>
      </c>
      <c r="J685">
        <f>+DB!J685</f>
        <v>0</v>
      </c>
      <c r="K685">
        <f>+DB!L685</f>
        <v>0</v>
      </c>
      <c r="L685" t="str">
        <f t="shared" si="31"/>
        <v/>
      </c>
      <c r="M685" t="str">
        <f>+IF(LEFT(DB!M685,3)="13/","CAC","MAD")</f>
        <v>MAD</v>
      </c>
      <c r="N685" t="str">
        <f>+RIGHT(DB!M685,6)</f>
        <v/>
      </c>
      <c r="O685">
        <v>95</v>
      </c>
      <c r="P685">
        <v>5</v>
      </c>
      <c r="Q685">
        <f>+DB!AB685</f>
        <v>0</v>
      </c>
      <c r="R685">
        <f>+DB!K685</f>
        <v>0</v>
      </c>
      <c r="S685">
        <f>+DB!F685</f>
        <v>0</v>
      </c>
      <c r="T685">
        <f>+IF(DB!F685="AAAC-35",1,3)</f>
        <v>3</v>
      </c>
      <c r="U685">
        <f>+DB!R685</f>
        <v>0</v>
      </c>
      <c r="V685">
        <f>+IF(DB!P685="1RI",1,0)+IF(DB!P685="2RI",2,0)</f>
        <v>0</v>
      </c>
      <c r="W685">
        <f>+IF(DB!P685="1RV",1,0)+IF(DB!P685="2RV",2,0)</f>
        <v>0</v>
      </c>
      <c r="X685">
        <f>+IF(DB!P685="RYI",1,0)</f>
        <v>0</v>
      </c>
      <c r="Y685">
        <f>+IF(DB!P685="RYV",1,0)</f>
        <v>0</v>
      </c>
      <c r="Z685">
        <f>+DB!U685</f>
        <v>0</v>
      </c>
      <c r="AA685">
        <f>+IF(DB!F685="AAAC-35",19.5,33)</f>
        <v>33</v>
      </c>
      <c r="AB685">
        <f>+DB!V685</f>
        <v>0</v>
      </c>
      <c r="AC685" t="str">
        <f t="shared" si="32"/>
        <v>56-4</v>
      </c>
      <c r="AD685" s="21" t="s">
        <v>72</v>
      </c>
      <c r="AE685">
        <f>+DB!X685</f>
        <v>0</v>
      </c>
      <c r="AF685" s="22">
        <f>+DB!Y685</f>
        <v>0</v>
      </c>
      <c r="AG685">
        <f>+DB!AK685</f>
        <v>0</v>
      </c>
    </row>
    <row r="686" spans="1:33" x14ac:dyDescent="0.2">
      <c r="A686">
        <f>+DB!C686</f>
        <v>0</v>
      </c>
      <c r="B686">
        <f>+DB!D686</f>
        <v>0</v>
      </c>
      <c r="C686">
        <f>+DB!E686</f>
        <v>0</v>
      </c>
      <c r="D686">
        <f t="shared" si="30"/>
        <v>0</v>
      </c>
      <c r="E686">
        <f>+DB!G686</f>
        <v>0</v>
      </c>
      <c r="F686">
        <f>+DB!H686</f>
        <v>0</v>
      </c>
      <c r="G686">
        <f>+DB!N686</f>
        <v>0</v>
      </c>
      <c r="H686">
        <f>+DB!O686</f>
        <v>0</v>
      </c>
      <c r="I686">
        <f>+DB!I686</f>
        <v>0</v>
      </c>
      <c r="J686">
        <f>+DB!J686</f>
        <v>0</v>
      </c>
      <c r="K686">
        <f>+DB!L686</f>
        <v>0</v>
      </c>
      <c r="L686" t="str">
        <f t="shared" si="31"/>
        <v/>
      </c>
      <c r="M686" t="str">
        <f>+IF(LEFT(DB!M686,3)="13/","CAC","MAD")</f>
        <v>MAD</v>
      </c>
      <c r="N686" t="str">
        <f>+RIGHT(DB!M686,6)</f>
        <v/>
      </c>
      <c r="O686">
        <v>95</v>
      </c>
      <c r="P686">
        <v>5</v>
      </c>
      <c r="Q686">
        <f>+DB!AB686</f>
        <v>0</v>
      </c>
      <c r="R686">
        <f>+DB!K686</f>
        <v>0</v>
      </c>
      <c r="S686">
        <f>+DB!F686</f>
        <v>0</v>
      </c>
      <c r="T686">
        <f>+IF(DB!F686="AAAC-35",1,3)</f>
        <v>3</v>
      </c>
      <c r="U686">
        <f>+DB!R686</f>
        <v>0</v>
      </c>
      <c r="V686">
        <f>+IF(DB!P686="1RI",1,0)+IF(DB!P686="2RI",2,0)</f>
        <v>0</v>
      </c>
      <c r="W686">
        <f>+IF(DB!P686="1RV",1,0)+IF(DB!P686="2RV",2,0)</f>
        <v>0</v>
      </c>
      <c r="X686">
        <f>+IF(DB!P686="RYI",1,0)</f>
        <v>0</v>
      </c>
      <c r="Y686">
        <f>+IF(DB!P686="RYV",1,0)</f>
        <v>0</v>
      </c>
      <c r="Z686">
        <f>+DB!U686</f>
        <v>0</v>
      </c>
      <c r="AA686">
        <f>+IF(DB!F686="AAAC-35",19.5,33)</f>
        <v>33</v>
      </c>
      <c r="AB686">
        <f>+DB!V686</f>
        <v>0</v>
      </c>
      <c r="AC686" t="str">
        <f t="shared" si="32"/>
        <v>56-4</v>
      </c>
      <c r="AD686" s="21" t="s">
        <v>72</v>
      </c>
      <c r="AE686">
        <f>+DB!X686</f>
        <v>0</v>
      </c>
      <c r="AF686" s="22">
        <f>+DB!Y686</f>
        <v>0</v>
      </c>
      <c r="AG686">
        <f>+DB!AK686</f>
        <v>0</v>
      </c>
    </row>
    <row r="687" spans="1:33" x14ac:dyDescent="0.2">
      <c r="A687">
        <f>+DB!C687</f>
        <v>0</v>
      </c>
      <c r="B687">
        <f>+DB!D687</f>
        <v>0</v>
      </c>
      <c r="C687">
        <f>+DB!E687</f>
        <v>0</v>
      </c>
      <c r="D687">
        <f t="shared" si="30"/>
        <v>0</v>
      </c>
      <c r="E687">
        <f>+DB!G687</f>
        <v>0</v>
      </c>
      <c r="F687">
        <f>+DB!H687</f>
        <v>0</v>
      </c>
      <c r="G687">
        <f>+DB!N687</f>
        <v>0</v>
      </c>
      <c r="H687">
        <f>+DB!O687</f>
        <v>0</v>
      </c>
      <c r="I687">
        <f>+DB!I687</f>
        <v>0</v>
      </c>
      <c r="J687">
        <f>+DB!J687</f>
        <v>0</v>
      </c>
      <c r="K687">
        <f>+DB!L687</f>
        <v>0</v>
      </c>
      <c r="L687" t="str">
        <f t="shared" si="31"/>
        <v/>
      </c>
      <c r="M687" t="str">
        <f>+IF(LEFT(DB!M687,3)="13/","CAC","MAD")</f>
        <v>MAD</v>
      </c>
      <c r="N687" t="str">
        <f>+RIGHT(DB!M687,6)</f>
        <v/>
      </c>
      <c r="O687">
        <v>95</v>
      </c>
      <c r="P687">
        <v>5</v>
      </c>
      <c r="Q687">
        <f>+DB!AB687</f>
        <v>0</v>
      </c>
      <c r="R687">
        <f>+DB!K687</f>
        <v>0</v>
      </c>
      <c r="S687">
        <f>+DB!F687</f>
        <v>0</v>
      </c>
      <c r="T687">
        <f>+IF(DB!F687="AAAC-35",1,3)</f>
        <v>3</v>
      </c>
      <c r="U687">
        <f>+DB!R687</f>
        <v>0</v>
      </c>
      <c r="V687">
        <f>+IF(DB!P687="1RI",1,0)+IF(DB!P687="2RI",2,0)</f>
        <v>0</v>
      </c>
      <c r="W687">
        <f>+IF(DB!P687="1RV",1,0)+IF(DB!P687="2RV",2,0)</f>
        <v>0</v>
      </c>
      <c r="X687">
        <f>+IF(DB!P687="RYI",1,0)</f>
        <v>0</v>
      </c>
      <c r="Y687">
        <f>+IF(DB!P687="RYV",1,0)</f>
        <v>0</v>
      </c>
      <c r="Z687">
        <f>+DB!U687</f>
        <v>0</v>
      </c>
      <c r="AA687">
        <f>+IF(DB!F687="AAAC-35",19.5,33)</f>
        <v>33</v>
      </c>
      <c r="AB687">
        <f>+DB!V687</f>
        <v>0</v>
      </c>
      <c r="AC687" t="str">
        <f t="shared" si="32"/>
        <v>56-4</v>
      </c>
      <c r="AD687" s="21" t="s">
        <v>72</v>
      </c>
      <c r="AE687">
        <f>+DB!X687</f>
        <v>0</v>
      </c>
      <c r="AF687" s="22">
        <f>+DB!Y687</f>
        <v>0</v>
      </c>
      <c r="AG687">
        <f>+DB!AK687</f>
        <v>0</v>
      </c>
    </row>
    <row r="688" spans="1:33" x14ac:dyDescent="0.2">
      <c r="A688">
        <f>+DB!C688</f>
        <v>0</v>
      </c>
      <c r="B688">
        <f>+DB!D688</f>
        <v>0</v>
      </c>
      <c r="C688">
        <f>+DB!E688</f>
        <v>0</v>
      </c>
      <c r="D688">
        <f t="shared" si="30"/>
        <v>0</v>
      </c>
      <c r="E688">
        <f>+DB!G688</f>
        <v>0</v>
      </c>
      <c r="F688">
        <f>+DB!H688</f>
        <v>0</v>
      </c>
      <c r="G688">
        <f>+DB!N688</f>
        <v>0</v>
      </c>
      <c r="H688">
        <f>+DB!O688</f>
        <v>0</v>
      </c>
      <c r="I688">
        <f>+DB!I688</f>
        <v>0</v>
      </c>
      <c r="J688">
        <f>+DB!J688</f>
        <v>0</v>
      </c>
      <c r="K688">
        <f>+DB!L688</f>
        <v>0</v>
      </c>
      <c r="L688" t="str">
        <f t="shared" si="31"/>
        <v/>
      </c>
      <c r="M688" t="str">
        <f>+IF(LEFT(DB!M688,3)="13/","CAC","MAD")</f>
        <v>MAD</v>
      </c>
      <c r="N688" t="str">
        <f>+RIGHT(DB!M688,6)</f>
        <v/>
      </c>
      <c r="O688">
        <v>95</v>
      </c>
      <c r="P688">
        <v>5</v>
      </c>
      <c r="Q688">
        <f>+DB!AB688</f>
        <v>0</v>
      </c>
      <c r="R688">
        <f>+DB!K688</f>
        <v>0</v>
      </c>
      <c r="S688">
        <f>+DB!F688</f>
        <v>0</v>
      </c>
      <c r="T688">
        <f>+IF(DB!F688="AAAC-35",1,3)</f>
        <v>3</v>
      </c>
      <c r="U688">
        <f>+DB!R688</f>
        <v>0</v>
      </c>
      <c r="V688">
        <f>+IF(DB!P688="1RI",1,0)+IF(DB!P688="2RI",2,0)</f>
        <v>0</v>
      </c>
      <c r="W688">
        <f>+IF(DB!P688="1RV",1,0)+IF(DB!P688="2RV",2,0)</f>
        <v>0</v>
      </c>
      <c r="X688">
        <f>+IF(DB!P688="RYI",1,0)</f>
        <v>0</v>
      </c>
      <c r="Y688">
        <f>+IF(DB!P688="RYV",1,0)</f>
        <v>0</v>
      </c>
      <c r="Z688">
        <f>+DB!U688</f>
        <v>0</v>
      </c>
      <c r="AA688">
        <f>+IF(DB!F688="AAAC-35",19.5,33)</f>
        <v>33</v>
      </c>
      <c r="AB688">
        <f>+DB!V688</f>
        <v>0</v>
      </c>
      <c r="AC688" t="str">
        <f t="shared" si="32"/>
        <v>56-4</v>
      </c>
      <c r="AD688" s="21" t="s">
        <v>72</v>
      </c>
      <c r="AE688">
        <f>+DB!X688</f>
        <v>0</v>
      </c>
      <c r="AF688" s="22">
        <f>+DB!Y688</f>
        <v>0</v>
      </c>
      <c r="AG688">
        <f>+DB!AK688</f>
        <v>0</v>
      </c>
    </row>
    <row r="689" spans="1:33" x14ac:dyDescent="0.2">
      <c r="A689">
        <f>+DB!C689</f>
        <v>0</v>
      </c>
      <c r="B689">
        <f>+DB!D689</f>
        <v>0</v>
      </c>
      <c r="C689">
        <f>+DB!E689</f>
        <v>0</v>
      </c>
      <c r="D689">
        <f t="shared" si="30"/>
        <v>0</v>
      </c>
      <c r="E689">
        <f>+DB!G689</f>
        <v>0</v>
      </c>
      <c r="F689">
        <f>+DB!H689</f>
        <v>0</v>
      </c>
      <c r="G689">
        <f>+DB!N689</f>
        <v>0</v>
      </c>
      <c r="H689">
        <f>+DB!O689</f>
        <v>0</v>
      </c>
      <c r="I689">
        <f>+DB!I689</f>
        <v>0</v>
      </c>
      <c r="J689">
        <f>+DB!J689</f>
        <v>0</v>
      </c>
      <c r="K689">
        <f>+DB!L689</f>
        <v>0</v>
      </c>
      <c r="L689" t="str">
        <f t="shared" si="31"/>
        <v/>
      </c>
      <c r="M689" t="str">
        <f>+IF(LEFT(DB!M689,3)="13/","CAC","MAD")</f>
        <v>MAD</v>
      </c>
      <c r="N689" t="str">
        <f>+RIGHT(DB!M689,6)</f>
        <v/>
      </c>
      <c r="O689">
        <v>95</v>
      </c>
      <c r="P689">
        <v>5</v>
      </c>
      <c r="Q689">
        <f>+DB!AB689</f>
        <v>0</v>
      </c>
      <c r="R689">
        <f>+DB!K689</f>
        <v>0</v>
      </c>
      <c r="S689">
        <f>+DB!F689</f>
        <v>0</v>
      </c>
      <c r="T689">
        <f>+IF(DB!F689="AAAC-35",1,3)</f>
        <v>3</v>
      </c>
      <c r="U689">
        <f>+DB!R689</f>
        <v>0</v>
      </c>
      <c r="V689">
        <f>+IF(DB!P689="1RI",1,0)+IF(DB!P689="2RI",2,0)</f>
        <v>0</v>
      </c>
      <c r="W689">
        <f>+IF(DB!P689="1RV",1,0)+IF(DB!P689="2RV",2,0)</f>
        <v>0</v>
      </c>
      <c r="X689">
        <f>+IF(DB!P689="RYI",1,0)</f>
        <v>0</v>
      </c>
      <c r="Y689">
        <f>+IF(DB!P689="RYV",1,0)</f>
        <v>0</v>
      </c>
      <c r="Z689">
        <f>+DB!U689</f>
        <v>0</v>
      </c>
      <c r="AA689">
        <f>+IF(DB!F689="AAAC-35",19.5,33)</f>
        <v>33</v>
      </c>
      <c r="AB689">
        <f>+DB!V689</f>
        <v>0</v>
      </c>
      <c r="AC689" t="str">
        <f t="shared" si="32"/>
        <v>56-4</v>
      </c>
      <c r="AD689" s="21" t="s">
        <v>72</v>
      </c>
      <c r="AE689">
        <f>+DB!X689</f>
        <v>0</v>
      </c>
      <c r="AF689" s="22">
        <f>+DB!Y689</f>
        <v>0</v>
      </c>
      <c r="AG689">
        <f>+DB!AK689</f>
        <v>0</v>
      </c>
    </row>
    <row r="690" spans="1:33" x14ac:dyDescent="0.2">
      <c r="A690">
        <f>+DB!C690</f>
        <v>0</v>
      </c>
      <c r="B690">
        <f>+DB!D690</f>
        <v>0</v>
      </c>
      <c r="C690">
        <f>+DB!E690</f>
        <v>0</v>
      </c>
      <c r="D690">
        <f t="shared" si="30"/>
        <v>0</v>
      </c>
      <c r="E690">
        <f>+DB!G690</f>
        <v>0</v>
      </c>
      <c r="F690">
        <f>+DB!H690</f>
        <v>0</v>
      </c>
      <c r="G690">
        <f>+DB!N690</f>
        <v>0</v>
      </c>
      <c r="H690">
        <f>+DB!O690</f>
        <v>0</v>
      </c>
      <c r="I690">
        <f>+DB!I690</f>
        <v>0</v>
      </c>
      <c r="J690">
        <f>+DB!J690</f>
        <v>0</v>
      </c>
      <c r="K690">
        <f>+DB!L690</f>
        <v>0</v>
      </c>
      <c r="L690" t="str">
        <f t="shared" si="31"/>
        <v/>
      </c>
      <c r="M690" t="str">
        <f>+IF(LEFT(DB!M690,3)="13/","CAC","MAD")</f>
        <v>MAD</v>
      </c>
      <c r="N690" t="str">
        <f>+RIGHT(DB!M690,6)</f>
        <v/>
      </c>
      <c r="O690">
        <v>95</v>
      </c>
      <c r="P690">
        <v>5</v>
      </c>
      <c r="Q690">
        <f>+DB!AB690</f>
        <v>0</v>
      </c>
      <c r="R690">
        <f>+DB!K690</f>
        <v>0</v>
      </c>
      <c r="S690">
        <f>+DB!F690</f>
        <v>0</v>
      </c>
      <c r="T690">
        <f>+IF(DB!F690="AAAC-35",1,3)</f>
        <v>3</v>
      </c>
      <c r="U690">
        <f>+DB!R690</f>
        <v>0</v>
      </c>
      <c r="V690">
        <f>+IF(DB!P690="1RI",1,0)+IF(DB!P690="2RI",2,0)</f>
        <v>0</v>
      </c>
      <c r="W690">
        <f>+IF(DB!P690="1RV",1,0)+IF(DB!P690="2RV",2,0)</f>
        <v>0</v>
      </c>
      <c r="X690">
        <f>+IF(DB!P690="RYI",1,0)</f>
        <v>0</v>
      </c>
      <c r="Y690">
        <f>+IF(DB!P690="RYV",1,0)</f>
        <v>0</v>
      </c>
      <c r="Z690">
        <f>+DB!U690</f>
        <v>0</v>
      </c>
      <c r="AA690">
        <f>+IF(DB!F690="AAAC-35",19.5,33)</f>
        <v>33</v>
      </c>
      <c r="AB690">
        <f>+DB!V690</f>
        <v>0</v>
      </c>
      <c r="AC690" t="str">
        <f t="shared" si="32"/>
        <v>56-4</v>
      </c>
      <c r="AD690" s="21" t="s">
        <v>72</v>
      </c>
      <c r="AE690">
        <f>+DB!X690</f>
        <v>0</v>
      </c>
      <c r="AF690" s="22">
        <f>+DB!Y690</f>
        <v>0</v>
      </c>
      <c r="AG690">
        <f>+DB!AK690</f>
        <v>0</v>
      </c>
    </row>
    <row r="691" spans="1:33" x14ac:dyDescent="0.2">
      <c r="A691">
        <f>+DB!C691</f>
        <v>0</v>
      </c>
      <c r="B691">
        <f>+DB!D691</f>
        <v>0</v>
      </c>
      <c r="C691">
        <f>+DB!E691</f>
        <v>0</v>
      </c>
      <c r="D691">
        <f t="shared" si="30"/>
        <v>0</v>
      </c>
      <c r="E691">
        <f>+DB!G691</f>
        <v>0</v>
      </c>
      <c r="F691">
        <f>+DB!H691</f>
        <v>0</v>
      </c>
      <c r="G691">
        <f>+DB!N691</f>
        <v>0</v>
      </c>
      <c r="H691">
        <f>+DB!O691</f>
        <v>0</v>
      </c>
      <c r="I691">
        <f>+DB!I691</f>
        <v>0</v>
      </c>
      <c r="J691">
        <f>+DB!J691</f>
        <v>0</v>
      </c>
      <c r="K691">
        <f>+DB!L691</f>
        <v>0</v>
      </c>
      <c r="L691" t="str">
        <f t="shared" si="31"/>
        <v/>
      </c>
      <c r="M691" t="str">
        <f>+IF(LEFT(DB!M691,3)="13/","CAC","MAD")</f>
        <v>MAD</v>
      </c>
      <c r="N691" t="str">
        <f>+RIGHT(DB!M691,6)</f>
        <v/>
      </c>
      <c r="O691">
        <v>95</v>
      </c>
      <c r="P691">
        <v>5</v>
      </c>
      <c r="Q691">
        <f>+DB!AB691</f>
        <v>0</v>
      </c>
      <c r="R691">
        <f>+DB!K691</f>
        <v>0</v>
      </c>
      <c r="S691">
        <f>+DB!F691</f>
        <v>0</v>
      </c>
      <c r="T691">
        <f>+IF(DB!F691="AAAC-35",1,3)</f>
        <v>3</v>
      </c>
      <c r="U691">
        <f>+DB!R691</f>
        <v>0</v>
      </c>
      <c r="V691">
        <f>+IF(DB!P691="1RI",1,0)+IF(DB!P691="2RI",2,0)</f>
        <v>0</v>
      </c>
      <c r="W691">
        <f>+IF(DB!P691="1RV",1,0)+IF(DB!P691="2RV",2,0)</f>
        <v>0</v>
      </c>
      <c r="X691">
        <f>+IF(DB!P691="RYI",1,0)</f>
        <v>0</v>
      </c>
      <c r="Y691">
        <f>+IF(DB!P691="RYV",1,0)</f>
        <v>0</v>
      </c>
      <c r="Z691">
        <f>+DB!U691</f>
        <v>0</v>
      </c>
      <c r="AA691">
        <f>+IF(DB!F691="AAAC-35",19.5,33)</f>
        <v>33</v>
      </c>
      <c r="AB691">
        <f>+DB!V691</f>
        <v>0</v>
      </c>
      <c r="AC691" t="str">
        <f t="shared" si="32"/>
        <v>56-4</v>
      </c>
      <c r="AD691" s="21" t="s">
        <v>72</v>
      </c>
      <c r="AE691">
        <f>+DB!X691</f>
        <v>0</v>
      </c>
      <c r="AF691" s="22">
        <f>+DB!Y691</f>
        <v>0</v>
      </c>
      <c r="AG691">
        <f>+DB!AK691</f>
        <v>0</v>
      </c>
    </row>
    <row r="692" spans="1:33" x14ac:dyDescent="0.2">
      <c r="A692">
        <f>+DB!C692</f>
        <v>0</v>
      </c>
      <c r="B692">
        <f>+DB!D692</f>
        <v>0</v>
      </c>
      <c r="C692">
        <f>+DB!E692</f>
        <v>0</v>
      </c>
      <c r="D692">
        <f t="shared" si="30"/>
        <v>0</v>
      </c>
      <c r="E692">
        <f>+DB!G692</f>
        <v>0</v>
      </c>
      <c r="F692">
        <f>+DB!H692</f>
        <v>0</v>
      </c>
      <c r="G692">
        <f>+DB!N692</f>
        <v>0</v>
      </c>
      <c r="H692">
        <f>+DB!O692</f>
        <v>0</v>
      </c>
      <c r="I692">
        <f>+DB!I692</f>
        <v>0</v>
      </c>
      <c r="J692">
        <f>+DB!J692</f>
        <v>0</v>
      </c>
      <c r="K692">
        <f>+DB!L692</f>
        <v>0</v>
      </c>
      <c r="L692" t="str">
        <f t="shared" si="31"/>
        <v/>
      </c>
      <c r="M692" t="str">
        <f>+IF(LEFT(DB!M692,3)="13/","CAC","MAD")</f>
        <v>MAD</v>
      </c>
      <c r="N692" t="str">
        <f>+RIGHT(DB!M692,6)</f>
        <v/>
      </c>
      <c r="O692">
        <v>95</v>
      </c>
      <c r="P692">
        <v>5</v>
      </c>
      <c r="Q692">
        <f>+DB!AB692</f>
        <v>0</v>
      </c>
      <c r="R692">
        <f>+DB!K692</f>
        <v>0</v>
      </c>
      <c r="S692">
        <f>+DB!F692</f>
        <v>0</v>
      </c>
      <c r="T692">
        <f>+IF(DB!F692="AAAC-35",1,3)</f>
        <v>3</v>
      </c>
      <c r="U692">
        <f>+DB!R692</f>
        <v>0</v>
      </c>
      <c r="V692">
        <f>+IF(DB!P692="1RI",1,0)+IF(DB!P692="2RI",2,0)</f>
        <v>0</v>
      </c>
      <c r="W692">
        <f>+IF(DB!P692="1RV",1,0)+IF(DB!P692="2RV",2,0)</f>
        <v>0</v>
      </c>
      <c r="X692">
        <f>+IF(DB!P692="RYI",1,0)</f>
        <v>0</v>
      </c>
      <c r="Y692">
        <f>+IF(DB!P692="RYV",1,0)</f>
        <v>0</v>
      </c>
      <c r="Z692">
        <f>+DB!U692</f>
        <v>0</v>
      </c>
      <c r="AA692">
        <f>+IF(DB!F692="AAAC-35",19.5,33)</f>
        <v>33</v>
      </c>
      <c r="AB692">
        <f>+DB!V692</f>
        <v>0</v>
      </c>
      <c r="AC692" t="str">
        <f t="shared" si="32"/>
        <v>56-4</v>
      </c>
      <c r="AD692" s="21" t="s">
        <v>72</v>
      </c>
      <c r="AE692">
        <f>+DB!X692</f>
        <v>0</v>
      </c>
      <c r="AF692" s="22">
        <f>+DB!Y692</f>
        <v>0</v>
      </c>
      <c r="AG692">
        <f>+DB!AK692</f>
        <v>0</v>
      </c>
    </row>
    <row r="693" spans="1:33" x14ac:dyDescent="0.2">
      <c r="A693">
        <f>+DB!C693</f>
        <v>0</v>
      </c>
      <c r="B693">
        <f>+DB!D693</f>
        <v>0</v>
      </c>
      <c r="C693">
        <f>+DB!E693</f>
        <v>0</v>
      </c>
      <c r="D693">
        <f t="shared" si="30"/>
        <v>0</v>
      </c>
      <c r="E693">
        <f>+DB!G693</f>
        <v>0</v>
      </c>
      <c r="F693">
        <f>+DB!H693</f>
        <v>0</v>
      </c>
      <c r="G693">
        <f>+DB!N693</f>
        <v>0</v>
      </c>
      <c r="H693">
        <f>+DB!O693</f>
        <v>0</v>
      </c>
      <c r="I693">
        <f>+DB!I693</f>
        <v>0</v>
      </c>
      <c r="J693">
        <f>+DB!J693</f>
        <v>0</v>
      </c>
      <c r="K693">
        <f>+DB!L693</f>
        <v>0</v>
      </c>
      <c r="L693" t="str">
        <f t="shared" si="31"/>
        <v/>
      </c>
      <c r="M693" t="str">
        <f>+IF(LEFT(DB!M693,3)="13/","CAC","MAD")</f>
        <v>MAD</v>
      </c>
      <c r="N693" t="str">
        <f>+RIGHT(DB!M693,6)</f>
        <v/>
      </c>
      <c r="O693">
        <v>95</v>
      </c>
      <c r="P693">
        <v>5</v>
      </c>
      <c r="Q693">
        <f>+DB!AB693</f>
        <v>0</v>
      </c>
      <c r="R693">
        <f>+DB!K693</f>
        <v>0</v>
      </c>
      <c r="S693">
        <f>+DB!F693</f>
        <v>0</v>
      </c>
      <c r="T693">
        <f>+IF(DB!F693="AAAC-35",1,3)</f>
        <v>3</v>
      </c>
      <c r="U693">
        <f>+DB!R693</f>
        <v>0</v>
      </c>
      <c r="V693">
        <f>+IF(DB!P693="1RI",1,0)+IF(DB!P693="2RI",2,0)</f>
        <v>0</v>
      </c>
      <c r="W693">
        <f>+IF(DB!P693="1RV",1,0)+IF(DB!P693="2RV",2,0)</f>
        <v>0</v>
      </c>
      <c r="X693">
        <f>+IF(DB!P693="RYI",1,0)</f>
        <v>0</v>
      </c>
      <c r="Y693">
        <f>+IF(DB!P693="RYV",1,0)</f>
        <v>0</v>
      </c>
      <c r="Z693">
        <f>+DB!U693</f>
        <v>0</v>
      </c>
      <c r="AA693">
        <f>+IF(DB!F693="AAAC-35",19.5,33)</f>
        <v>33</v>
      </c>
      <c r="AB693">
        <f>+DB!V693</f>
        <v>0</v>
      </c>
      <c r="AC693" t="str">
        <f t="shared" si="32"/>
        <v>56-4</v>
      </c>
      <c r="AD693" s="21" t="s">
        <v>72</v>
      </c>
      <c r="AE693">
        <f>+DB!X693</f>
        <v>0</v>
      </c>
      <c r="AF693" s="22">
        <f>+DB!Y693</f>
        <v>0</v>
      </c>
      <c r="AG693">
        <f>+DB!AK693</f>
        <v>0</v>
      </c>
    </row>
    <row r="694" spans="1:33" x14ac:dyDescent="0.2">
      <c r="A694">
        <f>+DB!C694</f>
        <v>0</v>
      </c>
      <c r="B694">
        <f>+DB!D694</f>
        <v>0</v>
      </c>
      <c r="C694">
        <f>+DB!E694</f>
        <v>0</v>
      </c>
      <c r="D694">
        <f t="shared" si="30"/>
        <v>0</v>
      </c>
      <c r="E694">
        <f>+DB!G694</f>
        <v>0</v>
      </c>
      <c r="F694">
        <f>+DB!H694</f>
        <v>0</v>
      </c>
      <c r="G694">
        <f>+DB!N694</f>
        <v>0</v>
      </c>
      <c r="H694">
        <f>+DB!O694</f>
        <v>0</v>
      </c>
      <c r="I694">
        <f>+DB!I694</f>
        <v>0</v>
      </c>
      <c r="J694">
        <f>+DB!J694</f>
        <v>0</v>
      </c>
      <c r="K694">
        <f>+DB!L694</f>
        <v>0</v>
      </c>
      <c r="L694" t="str">
        <f t="shared" si="31"/>
        <v/>
      </c>
      <c r="M694" t="str">
        <f>+IF(LEFT(DB!M694,3)="13/","CAC","MAD")</f>
        <v>MAD</v>
      </c>
      <c r="N694" t="str">
        <f>+RIGHT(DB!M694,6)</f>
        <v/>
      </c>
      <c r="O694">
        <v>95</v>
      </c>
      <c r="P694">
        <v>5</v>
      </c>
      <c r="Q694">
        <f>+DB!AB694</f>
        <v>0</v>
      </c>
      <c r="R694">
        <f>+DB!K694</f>
        <v>0</v>
      </c>
      <c r="S694">
        <f>+DB!F694</f>
        <v>0</v>
      </c>
      <c r="T694">
        <f>+IF(DB!F694="AAAC-35",1,3)</f>
        <v>3</v>
      </c>
      <c r="U694">
        <f>+DB!R694</f>
        <v>0</v>
      </c>
      <c r="V694">
        <f>+IF(DB!P694="1RI",1,0)+IF(DB!P694="2RI",2,0)</f>
        <v>0</v>
      </c>
      <c r="W694">
        <f>+IF(DB!P694="1RV",1,0)+IF(DB!P694="2RV",2,0)</f>
        <v>0</v>
      </c>
      <c r="X694">
        <f>+IF(DB!P694="RYI",1,0)</f>
        <v>0</v>
      </c>
      <c r="Y694">
        <f>+IF(DB!P694="RYV",1,0)</f>
        <v>0</v>
      </c>
      <c r="Z694">
        <f>+DB!U694</f>
        <v>0</v>
      </c>
      <c r="AA694">
        <f>+IF(DB!F694="AAAC-35",19.5,33)</f>
        <v>33</v>
      </c>
      <c r="AB694">
        <f>+DB!V694</f>
        <v>0</v>
      </c>
      <c r="AC694" t="str">
        <f t="shared" si="32"/>
        <v>56-4</v>
      </c>
      <c r="AD694" s="21" t="s">
        <v>72</v>
      </c>
      <c r="AE694">
        <f>+DB!X694</f>
        <v>0</v>
      </c>
      <c r="AF694" s="22">
        <f>+DB!Y694</f>
        <v>0</v>
      </c>
      <c r="AG694">
        <f>+DB!AK694</f>
        <v>0</v>
      </c>
    </row>
    <row r="695" spans="1:33" x14ac:dyDescent="0.2">
      <c r="A695">
        <f>+DB!C695</f>
        <v>0</v>
      </c>
      <c r="B695">
        <f>+DB!D695</f>
        <v>0</v>
      </c>
      <c r="C695">
        <f>+DB!E695</f>
        <v>0</v>
      </c>
      <c r="D695">
        <f t="shared" si="30"/>
        <v>0</v>
      </c>
      <c r="E695">
        <f>+DB!G695</f>
        <v>0</v>
      </c>
      <c r="F695">
        <f>+DB!H695</f>
        <v>0</v>
      </c>
      <c r="G695">
        <f>+DB!N695</f>
        <v>0</v>
      </c>
      <c r="H695">
        <f>+DB!O695</f>
        <v>0</v>
      </c>
      <c r="I695">
        <f>+DB!I695</f>
        <v>0</v>
      </c>
      <c r="J695">
        <f>+DB!J695</f>
        <v>0</v>
      </c>
      <c r="K695">
        <f>+DB!L695</f>
        <v>0</v>
      </c>
      <c r="L695" t="str">
        <f t="shared" si="31"/>
        <v/>
      </c>
      <c r="M695" t="str">
        <f>+IF(LEFT(DB!M695,3)="13/","CAC","MAD")</f>
        <v>MAD</v>
      </c>
      <c r="N695" t="str">
        <f>+RIGHT(DB!M695,6)</f>
        <v/>
      </c>
      <c r="O695">
        <v>95</v>
      </c>
      <c r="P695">
        <v>5</v>
      </c>
      <c r="Q695">
        <f>+DB!AB695</f>
        <v>0</v>
      </c>
      <c r="R695">
        <f>+DB!K695</f>
        <v>0</v>
      </c>
      <c r="S695">
        <f>+DB!F695</f>
        <v>0</v>
      </c>
      <c r="T695">
        <f>+IF(DB!F695="AAAC-35",1,3)</f>
        <v>3</v>
      </c>
      <c r="U695">
        <f>+DB!R695</f>
        <v>0</v>
      </c>
      <c r="V695">
        <f>+IF(DB!P695="1RI",1,0)+IF(DB!P695="2RI",2,0)</f>
        <v>0</v>
      </c>
      <c r="W695">
        <f>+IF(DB!P695="1RV",1,0)+IF(DB!P695="2RV",2,0)</f>
        <v>0</v>
      </c>
      <c r="X695">
        <f>+IF(DB!P695="RYI",1,0)</f>
        <v>0</v>
      </c>
      <c r="Y695">
        <f>+IF(DB!P695="RYV",1,0)</f>
        <v>0</v>
      </c>
      <c r="Z695">
        <f>+DB!U695</f>
        <v>0</v>
      </c>
      <c r="AA695">
        <f>+IF(DB!F695="AAAC-35",19.5,33)</f>
        <v>33</v>
      </c>
      <c r="AB695">
        <f>+DB!V695</f>
        <v>0</v>
      </c>
      <c r="AC695" t="str">
        <f t="shared" si="32"/>
        <v>56-4</v>
      </c>
      <c r="AD695" s="21" t="s">
        <v>72</v>
      </c>
      <c r="AE695">
        <f>+DB!X695</f>
        <v>0</v>
      </c>
      <c r="AF695" s="22">
        <f>+DB!Y695</f>
        <v>0</v>
      </c>
      <c r="AG695">
        <f>+DB!AK695</f>
        <v>0</v>
      </c>
    </row>
    <row r="696" spans="1:33" x14ac:dyDescent="0.2">
      <c r="A696">
        <f>+DB!C696</f>
        <v>0</v>
      </c>
      <c r="B696">
        <f>+DB!D696</f>
        <v>0</v>
      </c>
      <c r="C696">
        <f>+DB!E696</f>
        <v>0</v>
      </c>
      <c r="D696">
        <f t="shared" si="30"/>
        <v>0</v>
      </c>
      <c r="E696">
        <f>+DB!G696</f>
        <v>0</v>
      </c>
      <c r="F696">
        <f>+DB!H696</f>
        <v>0</v>
      </c>
      <c r="G696">
        <f>+DB!N696</f>
        <v>0</v>
      </c>
      <c r="H696">
        <f>+DB!O696</f>
        <v>0</v>
      </c>
      <c r="I696">
        <f>+DB!I696</f>
        <v>0</v>
      </c>
      <c r="J696">
        <f>+DB!J696</f>
        <v>0</v>
      </c>
      <c r="K696">
        <f>+DB!L696</f>
        <v>0</v>
      </c>
      <c r="L696" t="str">
        <f t="shared" si="31"/>
        <v/>
      </c>
      <c r="M696" t="str">
        <f>+IF(LEFT(DB!M696,3)="13/","CAC","MAD")</f>
        <v>MAD</v>
      </c>
      <c r="N696" t="str">
        <f>+RIGHT(DB!M696,6)</f>
        <v/>
      </c>
      <c r="O696">
        <v>95</v>
      </c>
      <c r="P696">
        <v>5</v>
      </c>
      <c r="Q696">
        <f>+DB!AB696</f>
        <v>0</v>
      </c>
      <c r="R696">
        <f>+DB!K696</f>
        <v>0</v>
      </c>
      <c r="S696">
        <f>+DB!F696</f>
        <v>0</v>
      </c>
      <c r="T696">
        <f>+IF(DB!F696="AAAC-35",1,3)</f>
        <v>3</v>
      </c>
      <c r="U696">
        <f>+DB!R696</f>
        <v>0</v>
      </c>
      <c r="V696">
        <f>+IF(DB!P696="1RI",1,0)+IF(DB!P696="2RI",2,0)</f>
        <v>0</v>
      </c>
      <c r="W696">
        <f>+IF(DB!P696="1RV",1,0)+IF(DB!P696="2RV",2,0)</f>
        <v>0</v>
      </c>
      <c r="X696">
        <f>+IF(DB!P696="RYI",1,0)</f>
        <v>0</v>
      </c>
      <c r="Y696">
        <f>+IF(DB!P696="RYV",1,0)</f>
        <v>0</v>
      </c>
      <c r="Z696">
        <f>+DB!U696</f>
        <v>0</v>
      </c>
      <c r="AA696">
        <f>+IF(DB!F696="AAAC-35",19.5,33)</f>
        <v>33</v>
      </c>
      <c r="AB696">
        <f>+DB!V696</f>
        <v>0</v>
      </c>
      <c r="AC696" t="str">
        <f t="shared" si="32"/>
        <v>56-4</v>
      </c>
      <c r="AD696" s="21" t="s">
        <v>72</v>
      </c>
      <c r="AE696">
        <f>+DB!X696</f>
        <v>0</v>
      </c>
      <c r="AF696" s="22">
        <f>+DB!Y696</f>
        <v>0</v>
      </c>
      <c r="AG696">
        <f>+DB!AK696</f>
        <v>0</v>
      </c>
    </row>
    <row r="697" spans="1:33" x14ac:dyDescent="0.2">
      <c r="A697">
        <f>+DB!C697</f>
        <v>0</v>
      </c>
      <c r="B697">
        <f>+DB!D697</f>
        <v>0</v>
      </c>
      <c r="C697">
        <f>+DB!E697</f>
        <v>0</v>
      </c>
      <c r="D697">
        <f t="shared" si="30"/>
        <v>0</v>
      </c>
      <c r="E697">
        <f>+DB!G697</f>
        <v>0</v>
      </c>
      <c r="F697">
        <f>+DB!H697</f>
        <v>0</v>
      </c>
      <c r="G697">
        <f>+DB!N697</f>
        <v>0</v>
      </c>
      <c r="H697">
        <f>+DB!O697</f>
        <v>0</v>
      </c>
      <c r="I697">
        <f>+DB!I697</f>
        <v>0</v>
      </c>
      <c r="J697">
        <f>+DB!J697</f>
        <v>0</v>
      </c>
      <c r="K697">
        <f>+DB!L697</f>
        <v>0</v>
      </c>
      <c r="L697" t="str">
        <f t="shared" si="31"/>
        <v/>
      </c>
      <c r="M697" t="str">
        <f>+IF(LEFT(DB!M697,3)="13/","CAC","MAD")</f>
        <v>MAD</v>
      </c>
      <c r="N697" t="str">
        <f>+RIGHT(DB!M697,6)</f>
        <v/>
      </c>
      <c r="O697">
        <v>95</v>
      </c>
      <c r="P697">
        <v>5</v>
      </c>
      <c r="Q697">
        <f>+DB!AB697</f>
        <v>0</v>
      </c>
      <c r="R697">
        <f>+DB!K697</f>
        <v>0</v>
      </c>
      <c r="S697">
        <f>+DB!F697</f>
        <v>0</v>
      </c>
      <c r="T697">
        <f>+IF(DB!F697="AAAC-35",1,3)</f>
        <v>3</v>
      </c>
      <c r="U697">
        <f>+DB!R697</f>
        <v>0</v>
      </c>
      <c r="V697">
        <f>+IF(DB!P697="1RI",1,0)+IF(DB!P697="2RI",2,0)</f>
        <v>0</v>
      </c>
      <c r="W697">
        <f>+IF(DB!P697="1RV",1,0)+IF(DB!P697="2RV",2,0)</f>
        <v>0</v>
      </c>
      <c r="X697">
        <f>+IF(DB!P697="RYI",1,0)</f>
        <v>0</v>
      </c>
      <c r="Y697">
        <f>+IF(DB!P697="RYV",1,0)</f>
        <v>0</v>
      </c>
      <c r="Z697">
        <f>+DB!U697</f>
        <v>0</v>
      </c>
      <c r="AA697">
        <f>+IF(DB!F697="AAAC-35",19.5,33)</f>
        <v>33</v>
      </c>
      <c r="AB697">
        <f>+DB!V697</f>
        <v>0</v>
      </c>
      <c r="AC697" t="str">
        <f t="shared" si="32"/>
        <v>56-4</v>
      </c>
      <c r="AD697" s="21" t="s">
        <v>72</v>
      </c>
      <c r="AE697">
        <f>+DB!X697</f>
        <v>0</v>
      </c>
      <c r="AF697" s="22">
        <f>+DB!Y697</f>
        <v>0</v>
      </c>
      <c r="AG697">
        <f>+DB!AK697</f>
        <v>0</v>
      </c>
    </row>
    <row r="698" spans="1:33" x14ac:dyDescent="0.2">
      <c r="A698">
        <f>+DB!C698</f>
        <v>0</v>
      </c>
      <c r="B698">
        <f>+DB!D698</f>
        <v>0</v>
      </c>
      <c r="C698">
        <f>+DB!E698</f>
        <v>0</v>
      </c>
      <c r="D698">
        <f t="shared" si="30"/>
        <v>0</v>
      </c>
      <c r="E698">
        <f>+DB!G698</f>
        <v>0</v>
      </c>
      <c r="F698">
        <f>+DB!H698</f>
        <v>0</v>
      </c>
      <c r="G698">
        <f>+DB!N698</f>
        <v>0</v>
      </c>
      <c r="H698">
        <f>+DB!O698</f>
        <v>0</v>
      </c>
      <c r="I698">
        <f>+DB!I698</f>
        <v>0</v>
      </c>
      <c r="J698">
        <f>+DB!J698</f>
        <v>0</v>
      </c>
      <c r="K698">
        <f>+DB!L698</f>
        <v>0</v>
      </c>
      <c r="L698" t="str">
        <f t="shared" si="31"/>
        <v/>
      </c>
      <c r="M698" t="str">
        <f>+IF(LEFT(DB!M698,3)="13/","CAC","MAD")</f>
        <v>MAD</v>
      </c>
      <c r="N698" t="str">
        <f>+RIGHT(DB!M698,6)</f>
        <v/>
      </c>
      <c r="O698">
        <v>95</v>
      </c>
      <c r="P698">
        <v>5</v>
      </c>
      <c r="Q698">
        <f>+DB!AB698</f>
        <v>0</v>
      </c>
      <c r="R698">
        <f>+DB!K698</f>
        <v>0</v>
      </c>
      <c r="S698">
        <f>+DB!F698</f>
        <v>0</v>
      </c>
      <c r="T698">
        <f>+IF(DB!F698="AAAC-35",1,3)</f>
        <v>3</v>
      </c>
      <c r="U698">
        <f>+DB!R698</f>
        <v>0</v>
      </c>
      <c r="V698">
        <f>+IF(DB!P698="1RI",1,0)+IF(DB!P698="2RI",2,0)</f>
        <v>0</v>
      </c>
      <c r="W698">
        <f>+IF(DB!P698="1RV",1,0)+IF(DB!P698="2RV",2,0)</f>
        <v>0</v>
      </c>
      <c r="X698">
        <f>+IF(DB!P698="RYI",1,0)</f>
        <v>0</v>
      </c>
      <c r="Y698">
        <f>+IF(DB!P698="RYV",1,0)</f>
        <v>0</v>
      </c>
      <c r="Z698">
        <f>+DB!U698</f>
        <v>0</v>
      </c>
      <c r="AA698">
        <f>+IF(DB!F698="AAAC-35",19.5,33)</f>
        <v>33</v>
      </c>
      <c r="AB698">
        <f>+DB!V698</f>
        <v>0</v>
      </c>
      <c r="AC698" t="str">
        <f t="shared" si="32"/>
        <v>56-4</v>
      </c>
      <c r="AD698" s="21" t="s">
        <v>72</v>
      </c>
      <c r="AE698">
        <f>+DB!X698</f>
        <v>0</v>
      </c>
      <c r="AF698" s="22">
        <f>+DB!Y698</f>
        <v>0</v>
      </c>
      <c r="AG698">
        <f>+DB!AK698</f>
        <v>0</v>
      </c>
    </row>
    <row r="699" spans="1:33" x14ac:dyDescent="0.2">
      <c r="A699">
        <f>+DB!C699</f>
        <v>0</v>
      </c>
      <c r="B699">
        <f>+DB!D699</f>
        <v>0</v>
      </c>
      <c r="C699">
        <f>+DB!E699</f>
        <v>0</v>
      </c>
      <c r="D699">
        <f t="shared" si="30"/>
        <v>0</v>
      </c>
      <c r="E699">
        <f>+DB!G699</f>
        <v>0</v>
      </c>
      <c r="F699">
        <f>+DB!H699</f>
        <v>0</v>
      </c>
      <c r="G699">
        <f>+DB!N699</f>
        <v>0</v>
      </c>
      <c r="H699">
        <f>+DB!O699</f>
        <v>0</v>
      </c>
      <c r="I699">
        <f>+DB!I699</f>
        <v>0</v>
      </c>
      <c r="J699">
        <f>+DB!J699</f>
        <v>0</v>
      </c>
      <c r="K699">
        <f>+DB!L699</f>
        <v>0</v>
      </c>
      <c r="L699" t="str">
        <f t="shared" si="31"/>
        <v/>
      </c>
      <c r="M699" t="str">
        <f>+IF(LEFT(DB!M699,3)="13/","CAC","MAD")</f>
        <v>MAD</v>
      </c>
      <c r="N699" t="str">
        <f>+RIGHT(DB!M699,6)</f>
        <v/>
      </c>
      <c r="O699">
        <v>95</v>
      </c>
      <c r="P699">
        <v>5</v>
      </c>
      <c r="Q699">
        <f>+DB!AB699</f>
        <v>0</v>
      </c>
      <c r="R699">
        <f>+DB!K699</f>
        <v>0</v>
      </c>
      <c r="S699">
        <f>+DB!F699</f>
        <v>0</v>
      </c>
      <c r="T699">
        <f>+IF(DB!F699="AAAC-35",1,3)</f>
        <v>3</v>
      </c>
      <c r="U699">
        <f>+DB!R699</f>
        <v>0</v>
      </c>
      <c r="V699">
        <f>+IF(DB!P699="1RI",1,0)+IF(DB!P699="2RI",2,0)</f>
        <v>0</v>
      </c>
      <c r="W699">
        <f>+IF(DB!P699="1RV",1,0)+IF(DB!P699="2RV",2,0)</f>
        <v>0</v>
      </c>
      <c r="X699">
        <f>+IF(DB!P699="RYI",1,0)</f>
        <v>0</v>
      </c>
      <c r="Y699">
        <f>+IF(DB!P699="RYV",1,0)</f>
        <v>0</v>
      </c>
      <c r="Z699">
        <f>+DB!U699</f>
        <v>0</v>
      </c>
      <c r="AA699">
        <f>+IF(DB!F699="AAAC-35",19.5,33)</f>
        <v>33</v>
      </c>
      <c r="AB699">
        <f>+DB!V699</f>
        <v>0</v>
      </c>
      <c r="AC699" t="str">
        <f t="shared" si="32"/>
        <v>56-4</v>
      </c>
      <c r="AD699" s="21" t="s">
        <v>72</v>
      </c>
      <c r="AE699">
        <f>+DB!X699</f>
        <v>0</v>
      </c>
      <c r="AF699" s="22">
        <f>+DB!Y699</f>
        <v>0</v>
      </c>
      <c r="AG699">
        <f>+DB!AK699</f>
        <v>0</v>
      </c>
    </row>
    <row r="700" spans="1:33" x14ac:dyDescent="0.2">
      <c r="A700">
        <f>+DB!C700</f>
        <v>0</v>
      </c>
      <c r="B700">
        <f>+DB!D700</f>
        <v>0</v>
      </c>
      <c r="C700">
        <f>+DB!E700</f>
        <v>0</v>
      </c>
      <c r="D700">
        <f t="shared" si="30"/>
        <v>0</v>
      </c>
      <c r="E700">
        <f>+DB!G700</f>
        <v>0</v>
      </c>
      <c r="F700">
        <f>+DB!H700</f>
        <v>0</v>
      </c>
      <c r="G700">
        <f>+DB!N700</f>
        <v>0</v>
      </c>
      <c r="H700">
        <f>+DB!O700</f>
        <v>0</v>
      </c>
      <c r="I700">
        <f>+DB!I700</f>
        <v>0</v>
      </c>
      <c r="J700">
        <f>+DB!J700</f>
        <v>0</v>
      </c>
      <c r="K700">
        <f>+DB!L700</f>
        <v>0</v>
      </c>
      <c r="L700" t="str">
        <f t="shared" si="31"/>
        <v/>
      </c>
      <c r="M700" t="str">
        <f>+IF(LEFT(DB!M700,3)="13/","CAC","MAD")</f>
        <v>MAD</v>
      </c>
      <c r="N700" t="str">
        <f>+RIGHT(DB!M700,6)</f>
        <v/>
      </c>
      <c r="O700">
        <v>95</v>
      </c>
      <c r="P700">
        <v>5</v>
      </c>
      <c r="Q700">
        <f>+DB!AB700</f>
        <v>0</v>
      </c>
      <c r="R700">
        <f>+DB!K700</f>
        <v>0</v>
      </c>
      <c r="S700">
        <f>+DB!F700</f>
        <v>0</v>
      </c>
      <c r="T700">
        <f>+IF(DB!F700="AAAC-35",1,3)</f>
        <v>3</v>
      </c>
      <c r="U700">
        <f>+DB!R700</f>
        <v>0</v>
      </c>
      <c r="V700">
        <f>+IF(DB!P700="1RI",1,0)+IF(DB!P700="2RI",2,0)</f>
        <v>0</v>
      </c>
      <c r="W700">
        <f>+IF(DB!P700="1RV",1,0)+IF(DB!P700="2RV",2,0)</f>
        <v>0</v>
      </c>
      <c r="X700">
        <f>+IF(DB!P700="RYI",1,0)</f>
        <v>0</v>
      </c>
      <c r="Y700">
        <f>+IF(DB!P700="RYV",1,0)</f>
        <v>0</v>
      </c>
      <c r="Z700">
        <f>+DB!U700</f>
        <v>0</v>
      </c>
      <c r="AA700">
        <f>+IF(DB!F700="AAAC-35",19.5,33)</f>
        <v>33</v>
      </c>
      <c r="AB700">
        <f>+DB!V700</f>
        <v>0</v>
      </c>
      <c r="AC700" t="str">
        <f t="shared" si="32"/>
        <v>56-4</v>
      </c>
      <c r="AD700" s="21" t="s">
        <v>72</v>
      </c>
      <c r="AE700">
        <f>+DB!X700</f>
        <v>0</v>
      </c>
      <c r="AF700" s="22">
        <f>+DB!Y700</f>
        <v>0</v>
      </c>
      <c r="AG700">
        <f>+DB!AK700</f>
        <v>0</v>
      </c>
    </row>
    <row r="701" spans="1:33" x14ac:dyDescent="0.2">
      <c r="A701">
        <f>+DB!C701</f>
        <v>0</v>
      </c>
      <c r="B701">
        <f>+DB!D701</f>
        <v>0</v>
      </c>
      <c r="C701">
        <f>+DB!E701</f>
        <v>0</v>
      </c>
      <c r="D701">
        <f t="shared" si="30"/>
        <v>0</v>
      </c>
      <c r="E701">
        <f>+DB!G701</f>
        <v>0</v>
      </c>
      <c r="F701">
        <f>+DB!H701</f>
        <v>0</v>
      </c>
      <c r="G701">
        <f>+DB!N701</f>
        <v>0</v>
      </c>
      <c r="H701">
        <f>+DB!O701</f>
        <v>0</v>
      </c>
      <c r="I701">
        <f>+DB!I701</f>
        <v>0</v>
      </c>
      <c r="J701">
        <f>+DB!J701</f>
        <v>0</v>
      </c>
      <c r="K701">
        <f>+DB!L701</f>
        <v>0</v>
      </c>
      <c r="L701" t="str">
        <f t="shared" si="31"/>
        <v/>
      </c>
      <c r="M701" t="str">
        <f>+IF(LEFT(DB!M701,3)="13/","CAC","MAD")</f>
        <v>MAD</v>
      </c>
      <c r="N701" t="str">
        <f>+RIGHT(DB!M701,6)</f>
        <v/>
      </c>
      <c r="O701">
        <v>95</v>
      </c>
      <c r="P701">
        <v>5</v>
      </c>
      <c r="Q701">
        <f>+DB!AB701</f>
        <v>0</v>
      </c>
      <c r="R701">
        <f>+DB!K701</f>
        <v>0</v>
      </c>
      <c r="S701">
        <f>+DB!F701</f>
        <v>0</v>
      </c>
      <c r="T701">
        <f>+IF(DB!F701="AAAC-35",1,3)</f>
        <v>3</v>
      </c>
      <c r="U701">
        <f>+DB!R701</f>
        <v>0</v>
      </c>
      <c r="V701">
        <f>+IF(DB!P701="1RI",1,0)+IF(DB!P701="2RI",2,0)</f>
        <v>0</v>
      </c>
      <c r="W701">
        <f>+IF(DB!P701="1RV",1,0)+IF(DB!P701="2RV",2,0)</f>
        <v>0</v>
      </c>
      <c r="X701">
        <f>+IF(DB!P701="RYI",1,0)</f>
        <v>0</v>
      </c>
      <c r="Y701">
        <f>+IF(DB!P701="RYV",1,0)</f>
        <v>0</v>
      </c>
      <c r="Z701">
        <f>+DB!U701</f>
        <v>0</v>
      </c>
      <c r="AA701">
        <f>+IF(DB!F701="AAAC-35",19.5,33)</f>
        <v>33</v>
      </c>
      <c r="AB701">
        <f>+DB!V701</f>
        <v>0</v>
      </c>
      <c r="AC701" t="str">
        <f t="shared" si="32"/>
        <v>56-4</v>
      </c>
      <c r="AD701" s="21" t="s">
        <v>72</v>
      </c>
      <c r="AE701">
        <f>+DB!X701</f>
        <v>0</v>
      </c>
      <c r="AF701" s="22">
        <f>+DB!Y701</f>
        <v>0</v>
      </c>
      <c r="AG701">
        <f>+DB!AK701</f>
        <v>0</v>
      </c>
    </row>
    <row r="702" spans="1:33" x14ac:dyDescent="0.2">
      <c r="A702">
        <f>+DB!C702</f>
        <v>0</v>
      </c>
      <c r="B702">
        <f>+DB!D702</f>
        <v>0</v>
      </c>
      <c r="C702">
        <f>+DB!E702</f>
        <v>0</v>
      </c>
      <c r="D702">
        <f t="shared" si="30"/>
        <v>0</v>
      </c>
      <c r="E702">
        <f>+DB!G702</f>
        <v>0</v>
      </c>
      <c r="F702">
        <f>+DB!H702</f>
        <v>0</v>
      </c>
      <c r="G702">
        <f>+DB!N702</f>
        <v>0</v>
      </c>
      <c r="H702">
        <f>+DB!O702</f>
        <v>0</v>
      </c>
      <c r="I702">
        <f>+DB!I702</f>
        <v>0</v>
      </c>
      <c r="J702">
        <f>+DB!J702</f>
        <v>0</v>
      </c>
      <c r="K702">
        <f>+DB!L702</f>
        <v>0</v>
      </c>
      <c r="L702" t="str">
        <f t="shared" si="31"/>
        <v/>
      </c>
      <c r="M702" t="str">
        <f>+IF(LEFT(DB!M702,3)="13/","CAC","MAD")</f>
        <v>MAD</v>
      </c>
      <c r="N702" t="str">
        <f>+RIGHT(DB!M702,6)</f>
        <v/>
      </c>
      <c r="O702">
        <v>95</v>
      </c>
      <c r="P702">
        <v>5</v>
      </c>
      <c r="Q702">
        <f>+DB!AB702</f>
        <v>0</v>
      </c>
      <c r="R702">
        <f>+DB!K702</f>
        <v>0</v>
      </c>
      <c r="S702">
        <f>+DB!F702</f>
        <v>0</v>
      </c>
      <c r="T702">
        <f>+IF(DB!F702="AAAC-35",1,3)</f>
        <v>3</v>
      </c>
      <c r="U702">
        <f>+DB!R702</f>
        <v>0</v>
      </c>
      <c r="V702">
        <f>+IF(DB!P702="1RI",1,0)+IF(DB!P702="2RI",2,0)</f>
        <v>0</v>
      </c>
      <c r="W702">
        <f>+IF(DB!P702="1RV",1,0)+IF(DB!P702="2RV",2,0)</f>
        <v>0</v>
      </c>
      <c r="X702">
        <f>+IF(DB!P702="RYI",1,0)</f>
        <v>0</v>
      </c>
      <c r="Y702">
        <f>+IF(DB!P702="RYV",1,0)</f>
        <v>0</v>
      </c>
      <c r="Z702">
        <f>+DB!U702</f>
        <v>0</v>
      </c>
      <c r="AA702">
        <f>+IF(DB!F702="AAAC-35",19.5,33)</f>
        <v>33</v>
      </c>
      <c r="AB702">
        <f>+DB!V702</f>
        <v>0</v>
      </c>
      <c r="AC702" t="str">
        <f t="shared" si="32"/>
        <v>56-4</v>
      </c>
      <c r="AD702" s="21" t="s">
        <v>72</v>
      </c>
      <c r="AE702">
        <f>+DB!X702</f>
        <v>0</v>
      </c>
      <c r="AF702" s="22">
        <f>+DB!Y702</f>
        <v>0</v>
      </c>
      <c r="AG702">
        <f>+DB!AK702</f>
        <v>0</v>
      </c>
    </row>
    <row r="703" spans="1:33" x14ac:dyDescent="0.2">
      <c r="A703">
        <f>+DB!C703</f>
        <v>0</v>
      </c>
      <c r="B703">
        <f>+DB!D703</f>
        <v>0</v>
      </c>
      <c r="C703">
        <f>+DB!E703</f>
        <v>0</v>
      </c>
      <c r="D703">
        <f t="shared" si="30"/>
        <v>0</v>
      </c>
      <c r="E703">
        <f>+DB!G703</f>
        <v>0</v>
      </c>
      <c r="F703">
        <f>+DB!H703</f>
        <v>0</v>
      </c>
      <c r="G703">
        <f>+DB!N703</f>
        <v>0</v>
      </c>
      <c r="H703">
        <f>+DB!O703</f>
        <v>0</v>
      </c>
      <c r="I703">
        <f>+DB!I703</f>
        <v>0</v>
      </c>
      <c r="J703">
        <f>+DB!J703</f>
        <v>0</v>
      </c>
      <c r="K703">
        <f>+DB!L703</f>
        <v>0</v>
      </c>
      <c r="L703" t="str">
        <f t="shared" si="31"/>
        <v/>
      </c>
      <c r="M703" t="str">
        <f>+IF(LEFT(DB!M703,3)="13/","CAC","MAD")</f>
        <v>MAD</v>
      </c>
      <c r="N703" t="str">
        <f>+RIGHT(DB!M703,6)</f>
        <v/>
      </c>
      <c r="O703">
        <v>95</v>
      </c>
      <c r="P703">
        <v>5</v>
      </c>
      <c r="Q703">
        <f>+DB!AB703</f>
        <v>0</v>
      </c>
      <c r="R703">
        <f>+DB!K703</f>
        <v>0</v>
      </c>
      <c r="S703">
        <f>+DB!F703</f>
        <v>0</v>
      </c>
      <c r="T703">
        <f>+IF(DB!F703="AAAC-35",1,3)</f>
        <v>3</v>
      </c>
      <c r="U703">
        <f>+DB!R703</f>
        <v>0</v>
      </c>
      <c r="V703">
        <f>+IF(DB!P703="1RI",1,0)+IF(DB!P703="2RI",2,0)</f>
        <v>0</v>
      </c>
      <c r="W703">
        <f>+IF(DB!P703="1RV",1,0)+IF(DB!P703="2RV",2,0)</f>
        <v>0</v>
      </c>
      <c r="X703">
        <f>+IF(DB!P703="RYI",1,0)</f>
        <v>0</v>
      </c>
      <c r="Y703">
        <f>+IF(DB!P703="RYV",1,0)</f>
        <v>0</v>
      </c>
      <c r="Z703">
        <f>+DB!U703</f>
        <v>0</v>
      </c>
      <c r="AA703">
        <f>+IF(DB!F703="AAAC-35",19.5,33)</f>
        <v>33</v>
      </c>
      <c r="AB703">
        <f>+DB!V703</f>
        <v>0</v>
      </c>
      <c r="AC703" t="str">
        <f t="shared" si="32"/>
        <v>56-4</v>
      </c>
      <c r="AD703" s="21" t="s">
        <v>72</v>
      </c>
      <c r="AE703">
        <f>+DB!X703</f>
        <v>0</v>
      </c>
      <c r="AF703" s="22">
        <f>+DB!Y703</f>
        <v>0</v>
      </c>
      <c r="AG703">
        <f>+DB!AK703</f>
        <v>0</v>
      </c>
    </row>
    <row r="704" spans="1:33" x14ac:dyDescent="0.2">
      <c r="A704">
        <f>+DB!C704</f>
        <v>0</v>
      </c>
      <c r="B704">
        <f>+DB!D704</f>
        <v>0</v>
      </c>
      <c r="C704">
        <f>+DB!E704</f>
        <v>0</v>
      </c>
      <c r="D704">
        <f t="shared" si="30"/>
        <v>0</v>
      </c>
      <c r="E704">
        <f>+DB!G704</f>
        <v>0</v>
      </c>
      <c r="F704">
        <f>+DB!H704</f>
        <v>0</v>
      </c>
      <c r="G704">
        <f>+DB!N704</f>
        <v>0</v>
      </c>
      <c r="H704">
        <f>+DB!O704</f>
        <v>0</v>
      </c>
      <c r="I704">
        <f>+DB!I704</f>
        <v>0</v>
      </c>
      <c r="J704">
        <f>+DB!J704</f>
        <v>0</v>
      </c>
      <c r="K704">
        <f>+DB!L704</f>
        <v>0</v>
      </c>
      <c r="L704" t="str">
        <f t="shared" si="31"/>
        <v/>
      </c>
      <c r="M704" t="str">
        <f>+IF(LEFT(DB!M704,3)="13/","CAC","MAD")</f>
        <v>MAD</v>
      </c>
      <c r="N704" t="str">
        <f>+RIGHT(DB!M704,6)</f>
        <v/>
      </c>
      <c r="O704">
        <v>95</v>
      </c>
      <c r="P704">
        <v>5</v>
      </c>
      <c r="Q704">
        <f>+DB!AB704</f>
        <v>0</v>
      </c>
      <c r="R704">
        <f>+DB!K704</f>
        <v>0</v>
      </c>
      <c r="S704">
        <f>+DB!F704</f>
        <v>0</v>
      </c>
      <c r="T704">
        <f>+IF(DB!F704="AAAC-35",1,3)</f>
        <v>3</v>
      </c>
      <c r="U704">
        <f>+DB!R704</f>
        <v>0</v>
      </c>
      <c r="V704">
        <f>+IF(DB!P704="1RI",1,0)+IF(DB!P704="2RI",2,0)</f>
        <v>0</v>
      </c>
      <c r="W704">
        <f>+IF(DB!P704="1RV",1,0)+IF(DB!P704="2RV",2,0)</f>
        <v>0</v>
      </c>
      <c r="X704">
        <f>+IF(DB!P704="RYI",1,0)</f>
        <v>0</v>
      </c>
      <c r="Y704">
        <f>+IF(DB!P704="RYV",1,0)</f>
        <v>0</v>
      </c>
      <c r="Z704">
        <f>+DB!U704</f>
        <v>0</v>
      </c>
      <c r="AA704">
        <f>+IF(DB!F704="AAAC-35",19.5,33)</f>
        <v>33</v>
      </c>
      <c r="AB704">
        <f>+DB!V704</f>
        <v>0</v>
      </c>
      <c r="AC704" t="str">
        <f t="shared" si="32"/>
        <v>56-4</v>
      </c>
      <c r="AD704" s="21" t="s">
        <v>72</v>
      </c>
      <c r="AE704">
        <f>+DB!X704</f>
        <v>0</v>
      </c>
      <c r="AF704" s="22">
        <f>+DB!Y704</f>
        <v>0</v>
      </c>
      <c r="AG704">
        <f>+DB!AK704</f>
        <v>0</v>
      </c>
    </row>
    <row r="705" spans="1:33" x14ac:dyDescent="0.2">
      <c r="A705">
        <f>+DB!C705</f>
        <v>0</v>
      </c>
      <c r="B705">
        <f>+DB!D705</f>
        <v>0</v>
      </c>
      <c r="C705">
        <f>+DB!E705</f>
        <v>0</v>
      </c>
      <c r="D705">
        <f t="shared" si="30"/>
        <v>0</v>
      </c>
      <c r="E705">
        <f>+DB!G705</f>
        <v>0</v>
      </c>
      <c r="F705">
        <f>+DB!H705</f>
        <v>0</v>
      </c>
      <c r="G705">
        <f>+DB!N705</f>
        <v>0</v>
      </c>
      <c r="H705">
        <f>+DB!O705</f>
        <v>0</v>
      </c>
      <c r="I705">
        <f>+DB!I705</f>
        <v>0</v>
      </c>
      <c r="J705">
        <f>+DB!J705</f>
        <v>0</v>
      </c>
      <c r="K705">
        <f>+DB!L705</f>
        <v>0</v>
      </c>
      <c r="L705" t="str">
        <f t="shared" si="31"/>
        <v/>
      </c>
      <c r="M705" t="str">
        <f>+IF(LEFT(DB!M705,3)="13/","CAC","MAD")</f>
        <v>MAD</v>
      </c>
      <c r="N705" t="str">
        <f>+RIGHT(DB!M705,6)</f>
        <v/>
      </c>
      <c r="O705">
        <v>95</v>
      </c>
      <c r="P705">
        <v>5</v>
      </c>
      <c r="Q705">
        <f>+DB!AB705</f>
        <v>0</v>
      </c>
      <c r="R705">
        <f>+DB!K705</f>
        <v>0</v>
      </c>
      <c r="S705">
        <f>+DB!F705</f>
        <v>0</v>
      </c>
      <c r="T705">
        <f>+IF(DB!F705="AAAC-35",1,3)</f>
        <v>3</v>
      </c>
      <c r="U705">
        <f>+DB!R705</f>
        <v>0</v>
      </c>
      <c r="V705">
        <f>+IF(DB!P705="1RI",1,0)+IF(DB!P705="2RI",2,0)</f>
        <v>0</v>
      </c>
      <c r="W705">
        <f>+IF(DB!P705="1RV",1,0)+IF(DB!P705="2RV",2,0)</f>
        <v>0</v>
      </c>
      <c r="X705">
        <f>+IF(DB!P705="RYI",1,0)</f>
        <v>0</v>
      </c>
      <c r="Y705">
        <f>+IF(DB!P705="RYV",1,0)</f>
        <v>0</v>
      </c>
      <c r="Z705">
        <f>+DB!U705</f>
        <v>0</v>
      </c>
      <c r="AA705">
        <f>+IF(DB!F705="AAAC-35",19.5,33)</f>
        <v>33</v>
      </c>
      <c r="AB705">
        <f>+DB!V705</f>
        <v>0</v>
      </c>
      <c r="AC705" t="str">
        <f t="shared" si="32"/>
        <v>56-4</v>
      </c>
      <c r="AD705" s="21" t="s">
        <v>72</v>
      </c>
      <c r="AE705">
        <f>+DB!X705</f>
        <v>0</v>
      </c>
      <c r="AF705" s="22">
        <f>+DB!Y705</f>
        <v>0</v>
      </c>
      <c r="AG705">
        <f>+DB!AK705</f>
        <v>0</v>
      </c>
    </row>
    <row r="706" spans="1:33" x14ac:dyDescent="0.2">
      <c r="A706">
        <f>+DB!C706</f>
        <v>0</v>
      </c>
      <c r="B706">
        <f>+DB!D706</f>
        <v>0</v>
      </c>
      <c r="C706">
        <f>+DB!E706</f>
        <v>0</v>
      </c>
      <c r="D706">
        <f t="shared" si="30"/>
        <v>0</v>
      </c>
      <c r="E706">
        <f>+DB!G706</f>
        <v>0</v>
      </c>
      <c r="F706">
        <f>+DB!H706</f>
        <v>0</v>
      </c>
      <c r="G706">
        <f>+DB!N706</f>
        <v>0</v>
      </c>
      <c r="H706">
        <f>+DB!O706</f>
        <v>0</v>
      </c>
      <c r="I706">
        <f>+DB!I706</f>
        <v>0</v>
      </c>
      <c r="J706">
        <f>+DB!J706</f>
        <v>0</v>
      </c>
      <c r="K706">
        <f>+DB!L706</f>
        <v>0</v>
      </c>
      <c r="L706" t="str">
        <f t="shared" si="31"/>
        <v/>
      </c>
      <c r="M706" t="str">
        <f>+IF(LEFT(DB!M706,3)="13/","CAC","MAD")</f>
        <v>MAD</v>
      </c>
      <c r="N706" t="str">
        <f>+RIGHT(DB!M706,6)</f>
        <v/>
      </c>
      <c r="O706">
        <v>95</v>
      </c>
      <c r="P706">
        <v>5</v>
      </c>
      <c r="Q706">
        <f>+DB!AB706</f>
        <v>0</v>
      </c>
      <c r="R706">
        <f>+DB!K706</f>
        <v>0</v>
      </c>
      <c r="S706">
        <f>+DB!F706</f>
        <v>0</v>
      </c>
      <c r="T706">
        <f>+IF(DB!F706="AAAC-35",1,3)</f>
        <v>3</v>
      </c>
      <c r="U706">
        <f>+DB!R706</f>
        <v>0</v>
      </c>
      <c r="V706">
        <f>+IF(DB!P706="1RI",1,0)+IF(DB!P706="2RI",2,0)</f>
        <v>0</v>
      </c>
      <c r="W706">
        <f>+IF(DB!P706="1RV",1,0)+IF(DB!P706="2RV",2,0)</f>
        <v>0</v>
      </c>
      <c r="X706">
        <f>+IF(DB!P706="RYI",1,0)</f>
        <v>0</v>
      </c>
      <c r="Y706">
        <f>+IF(DB!P706="RYV",1,0)</f>
        <v>0</v>
      </c>
      <c r="Z706">
        <f>+DB!U706</f>
        <v>0</v>
      </c>
      <c r="AA706">
        <f>+IF(DB!F706="AAAC-35",19.5,33)</f>
        <v>33</v>
      </c>
      <c r="AB706">
        <f>+DB!V706</f>
        <v>0</v>
      </c>
      <c r="AC706" t="str">
        <f t="shared" si="32"/>
        <v>56-4</v>
      </c>
      <c r="AD706" s="21" t="s">
        <v>72</v>
      </c>
      <c r="AE706">
        <f>+DB!X706</f>
        <v>0</v>
      </c>
      <c r="AF706" s="22">
        <f>+DB!Y706</f>
        <v>0</v>
      </c>
      <c r="AG706">
        <f>+DB!AK706</f>
        <v>0</v>
      </c>
    </row>
    <row r="707" spans="1:33" x14ac:dyDescent="0.2">
      <c r="A707">
        <f>+DB!C707</f>
        <v>0</v>
      </c>
      <c r="B707">
        <f>+DB!D707</f>
        <v>0</v>
      </c>
      <c r="C707">
        <f>+DB!E707</f>
        <v>0</v>
      </c>
      <c r="D707">
        <f t="shared" ref="D707:D770" si="33">+IF(B707="PSEC-0PA","K",0)</f>
        <v>0</v>
      </c>
      <c r="E707">
        <f>+DB!G707</f>
        <v>0</v>
      </c>
      <c r="F707">
        <f>+DB!H707</f>
        <v>0</v>
      </c>
      <c r="G707">
        <f>+DB!N707</f>
        <v>0</v>
      </c>
      <c r="H707">
        <f>+DB!O707</f>
        <v>0</v>
      </c>
      <c r="I707">
        <f>+DB!I707</f>
        <v>0</v>
      </c>
      <c r="J707">
        <f>+DB!J707</f>
        <v>0</v>
      </c>
      <c r="K707">
        <f>+DB!L707</f>
        <v>0</v>
      </c>
      <c r="L707" t="str">
        <f t="shared" ref="L707:L770" si="34">+LEFT(N707,2)</f>
        <v/>
      </c>
      <c r="M707" t="str">
        <f>+IF(LEFT(DB!M707,3)="13/","CAC","MAD")</f>
        <v>MAD</v>
      </c>
      <c r="N707" t="str">
        <f>+RIGHT(DB!M707,6)</f>
        <v/>
      </c>
      <c r="O707">
        <v>95</v>
      </c>
      <c r="P707">
        <v>5</v>
      </c>
      <c r="Q707">
        <f>+DB!AB707</f>
        <v>0</v>
      </c>
      <c r="R707">
        <f>+DB!K707</f>
        <v>0</v>
      </c>
      <c r="S707">
        <f>+DB!F707</f>
        <v>0</v>
      </c>
      <c r="T707">
        <f>+IF(DB!F707="AAAC-35",1,3)</f>
        <v>3</v>
      </c>
      <c r="U707">
        <f>+DB!R707</f>
        <v>0</v>
      </c>
      <c r="V707">
        <f>+IF(DB!P707="1RI",1,0)+IF(DB!P707="2RI",2,0)</f>
        <v>0</v>
      </c>
      <c r="W707">
        <f>+IF(DB!P707="1RV",1,0)+IF(DB!P707="2RV",2,0)</f>
        <v>0</v>
      </c>
      <c r="X707">
        <f>+IF(DB!P707="RYI",1,0)</f>
        <v>0</v>
      </c>
      <c r="Y707">
        <f>+IF(DB!P707="RYV",1,0)</f>
        <v>0</v>
      </c>
      <c r="Z707">
        <f>+DB!U707</f>
        <v>0</v>
      </c>
      <c r="AA707">
        <f>+IF(DB!F707="AAAC-35",19.5,33)</f>
        <v>33</v>
      </c>
      <c r="AB707">
        <f>+DB!V707</f>
        <v>0</v>
      </c>
      <c r="AC707" t="str">
        <f t="shared" ref="AC707:AC770" si="35">+IF(F707&gt;1675,"56-5","56-4")</f>
        <v>56-4</v>
      </c>
      <c r="AD707" s="21" t="s">
        <v>72</v>
      </c>
      <c r="AE707">
        <f>+DB!X707</f>
        <v>0</v>
      </c>
      <c r="AF707" s="22">
        <f>+DB!Y707</f>
        <v>0</v>
      </c>
      <c r="AG707">
        <f>+DB!AK707</f>
        <v>0</v>
      </c>
    </row>
    <row r="708" spans="1:33" x14ac:dyDescent="0.2">
      <c r="A708">
        <f>+DB!C708</f>
        <v>0</v>
      </c>
      <c r="B708">
        <f>+DB!D708</f>
        <v>0</v>
      </c>
      <c r="C708">
        <f>+DB!E708</f>
        <v>0</v>
      </c>
      <c r="D708">
        <f t="shared" si="33"/>
        <v>0</v>
      </c>
      <c r="E708">
        <f>+DB!G708</f>
        <v>0</v>
      </c>
      <c r="F708">
        <f>+DB!H708</f>
        <v>0</v>
      </c>
      <c r="G708">
        <f>+DB!N708</f>
        <v>0</v>
      </c>
      <c r="H708">
        <f>+DB!O708</f>
        <v>0</v>
      </c>
      <c r="I708">
        <f>+DB!I708</f>
        <v>0</v>
      </c>
      <c r="J708">
        <f>+DB!J708</f>
        <v>0</v>
      </c>
      <c r="K708">
        <f>+DB!L708</f>
        <v>0</v>
      </c>
      <c r="L708" t="str">
        <f t="shared" si="34"/>
        <v/>
      </c>
      <c r="M708" t="str">
        <f>+IF(LEFT(DB!M708,3)="13/","CAC","MAD")</f>
        <v>MAD</v>
      </c>
      <c r="N708" t="str">
        <f>+RIGHT(DB!M708,6)</f>
        <v/>
      </c>
      <c r="O708">
        <v>95</v>
      </c>
      <c r="P708">
        <v>5</v>
      </c>
      <c r="Q708">
        <f>+DB!AB708</f>
        <v>0</v>
      </c>
      <c r="R708">
        <f>+DB!K708</f>
        <v>0</v>
      </c>
      <c r="S708">
        <f>+DB!F708</f>
        <v>0</v>
      </c>
      <c r="T708">
        <f>+IF(DB!F708="AAAC-35",1,3)</f>
        <v>3</v>
      </c>
      <c r="U708">
        <f>+DB!R708</f>
        <v>0</v>
      </c>
      <c r="V708">
        <f>+IF(DB!P708="1RI",1,0)+IF(DB!P708="2RI",2,0)</f>
        <v>0</v>
      </c>
      <c r="W708">
        <f>+IF(DB!P708="1RV",1,0)+IF(DB!P708="2RV",2,0)</f>
        <v>0</v>
      </c>
      <c r="X708">
        <f>+IF(DB!P708="RYI",1,0)</f>
        <v>0</v>
      </c>
      <c r="Y708">
        <f>+IF(DB!P708="RYV",1,0)</f>
        <v>0</v>
      </c>
      <c r="Z708">
        <f>+DB!U708</f>
        <v>0</v>
      </c>
      <c r="AA708">
        <f>+IF(DB!F708="AAAC-35",19.5,33)</f>
        <v>33</v>
      </c>
      <c r="AB708">
        <f>+DB!V708</f>
        <v>0</v>
      </c>
      <c r="AC708" t="str">
        <f t="shared" si="35"/>
        <v>56-4</v>
      </c>
      <c r="AD708" s="21" t="s">
        <v>72</v>
      </c>
      <c r="AE708">
        <f>+DB!X708</f>
        <v>0</v>
      </c>
      <c r="AF708" s="22">
        <f>+DB!Y708</f>
        <v>0</v>
      </c>
      <c r="AG708">
        <f>+DB!AK708</f>
        <v>0</v>
      </c>
    </row>
    <row r="709" spans="1:33" x14ac:dyDescent="0.2">
      <c r="A709">
        <f>+DB!C709</f>
        <v>0</v>
      </c>
      <c r="B709">
        <f>+DB!D709</f>
        <v>0</v>
      </c>
      <c r="C709">
        <f>+DB!E709</f>
        <v>0</v>
      </c>
      <c r="D709">
        <f t="shared" si="33"/>
        <v>0</v>
      </c>
      <c r="E709">
        <f>+DB!G709</f>
        <v>0</v>
      </c>
      <c r="F709">
        <f>+DB!H709</f>
        <v>0</v>
      </c>
      <c r="G709">
        <f>+DB!N709</f>
        <v>0</v>
      </c>
      <c r="H709">
        <f>+DB!O709</f>
        <v>0</v>
      </c>
      <c r="I709">
        <f>+DB!I709</f>
        <v>0</v>
      </c>
      <c r="J709">
        <f>+DB!J709</f>
        <v>0</v>
      </c>
      <c r="K709">
        <f>+DB!L709</f>
        <v>0</v>
      </c>
      <c r="L709" t="str">
        <f t="shared" si="34"/>
        <v/>
      </c>
      <c r="M709" t="str">
        <f>+IF(LEFT(DB!M709,3)="13/","CAC","MAD")</f>
        <v>MAD</v>
      </c>
      <c r="N709" t="str">
        <f>+RIGHT(DB!M709,6)</f>
        <v/>
      </c>
      <c r="O709">
        <v>95</v>
      </c>
      <c r="P709">
        <v>5</v>
      </c>
      <c r="Q709">
        <f>+DB!AB709</f>
        <v>0</v>
      </c>
      <c r="R709">
        <f>+DB!K709</f>
        <v>0</v>
      </c>
      <c r="S709">
        <f>+DB!F709</f>
        <v>0</v>
      </c>
      <c r="T709">
        <f>+IF(DB!F709="AAAC-35",1,3)</f>
        <v>3</v>
      </c>
      <c r="U709">
        <f>+DB!R709</f>
        <v>0</v>
      </c>
      <c r="V709">
        <f>+IF(DB!P709="1RI",1,0)+IF(DB!P709="2RI",2,0)</f>
        <v>0</v>
      </c>
      <c r="W709">
        <f>+IF(DB!P709="1RV",1,0)+IF(DB!P709="2RV",2,0)</f>
        <v>0</v>
      </c>
      <c r="X709">
        <f>+IF(DB!P709="RYI",1,0)</f>
        <v>0</v>
      </c>
      <c r="Y709">
        <f>+IF(DB!P709="RYV",1,0)</f>
        <v>0</v>
      </c>
      <c r="Z709">
        <f>+DB!U709</f>
        <v>0</v>
      </c>
      <c r="AA709">
        <f>+IF(DB!F709="AAAC-35",19.5,33)</f>
        <v>33</v>
      </c>
      <c r="AB709">
        <f>+DB!V709</f>
        <v>0</v>
      </c>
      <c r="AC709" t="str">
        <f t="shared" si="35"/>
        <v>56-4</v>
      </c>
      <c r="AD709" s="21" t="s">
        <v>72</v>
      </c>
      <c r="AE709">
        <f>+DB!X709</f>
        <v>0</v>
      </c>
      <c r="AF709" s="22">
        <f>+DB!Y709</f>
        <v>0</v>
      </c>
      <c r="AG709">
        <f>+DB!AK709</f>
        <v>0</v>
      </c>
    </row>
    <row r="710" spans="1:33" x14ac:dyDescent="0.2">
      <c r="A710">
        <f>+DB!C710</f>
        <v>0</v>
      </c>
      <c r="B710">
        <f>+DB!D710</f>
        <v>0</v>
      </c>
      <c r="C710">
        <f>+DB!E710</f>
        <v>0</v>
      </c>
      <c r="D710">
        <f t="shared" si="33"/>
        <v>0</v>
      </c>
      <c r="E710">
        <f>+DB!G710</f>
        <v>0</v>
      </c>
      <c r="F710">
        <f>+DB!H710</f>
        <v>0</v>
      </c>
      <c r="G710">
        <f>+DB!N710</f>
        <v>0</v>
      </c>
      <c r="H710">
        <f>+DB!O710</f>
        <v>0</v>
      </c>
      <c r="I710">
        <f>+DB!I710</f>
        <v>0</v>
      </c>
      <c r="J710">
        <f>+DB!J710</f>
        <v>0</v>
      </c>
      <c r="K710">
        <f>+DB!L710</f>
        <v>0</v>
      </c>
      <c r="L710" t="str">
        <f t="shared" si="34"/>
        <v/>
      </c>
      <c r="M710" t="str">
        <f>+IF(LEFT(DB!M710,3)="13/","CAC","MAD")</f>
        <v>MAD</v>
      </c>
      <c r="N710" t="str">
        <f>+RIGHT(DB!M710,6)</f>
        <v/>
      </c>
      <c r="O710">
        <v>95</v>
      </c>
      <c r="P710">
        <v>5</v>
      </c>
      <c r="Q710">
        <f>+DB!AB710</f>
        <v>0</v>
      </c>
      <c r="R710">
        <f>+DB!K710</f>
        <v>0</v>
      </c>
      <c r="S710">
        <f>+DB!F710</f>
        <v>0</v>
      </c>
      <c r="T710">
        <f>+IF(DB!F710="AAAC-35",1,3)</f>
        <v>3</v>
      </c>
      <c r="U710">
        <f>+DB!R710</f>
        <v>0</v>
      </c>
      <c r="V710">
        <f>+IF(DB!P710="1RI",1,0)+IF(DB!P710="2RI",2,0)</f>
        <v>0</v>
      </c>
      <c r="W710">
        <f>+IF(DB!P710="1RV",1,0)+IF(DB!P710="2RV",2,0)</f>
        <v>0</v>
      </c>
      <c r="X710">
        <f>+IF(DB!P710="RYI",1,0)</f>
        <v>0</v>
      </c>
      <c r="Y710">
        <f>+IF(DB!P710="RYV",1,0)</f>
        <v>0</v>
      </c>
      <c r="Z710">
        <f>+DB!U710</f>
        <v>0</v>
      </c>
      <c r="AA710">
        <f>+IF(DB!F710="AAAC-35",19.5,33)</f>
        <v>33</v>
      </c>
      <c r="AB710">
        <f>+DB!V710</f>
        <v>0</v>
      </c>
      <c r="AC710" t="str">
        <f t="shared" si="35"/>
        <v>56-4</v>
      </c>
      <c r="AD710" s="21" t="s">
        <v>72</v>
      </c>
      <c r="AE710">
        <f>+DB!X710</f>
        <v>0</v>
      </c>
      <c r="AF710" s="22">
        <f>+DB!Y710</f>
        <v>0</v>
      </c>
      <c r="AG710">
        <f>+DB!AK710</f>
        <v>0</v>
      </c>
    </row>
    <row r="711" spans="1:33" x14ac:dyDescent="0.2">
      <c r="A711">
        <f>+DB!C711</f>
        <v>0</v>
      </c>
      <c r="B711">
        <f>+DB!D711</f>
        <v>0</v>
      </c>
      <c r="C711">
        <f>+DB!E711</f>
        <v>0</v>
      </c>
      <c r="D711">
        <f t="shared" si="33"/>
        <v>0</v>
      </c>
      <c r="E711">
        <f>+DB!G711</f>
        <v>0</v>
      </c>
      <c r="F711">
        <f>+DB!H711</f>
        <v>0</v>
      </c>
      <c r="G711">
        <f>+DB!N711</f>
        <v>0</v>
      </c>
      <c r="H711">
        <f>+DB!O711</f>
        <v>0</v>
      </c>
      <c r="I711">
        <f>+DB!I711</f>
        <v>0</v>
      </c>
      <c r="J711">
        <f>+DB!J711</f>
        <v>0</v>
      </c>
      <c r="K711">
        <f>+DB!L711</f>
        <v>0</v>
      </c>
      <c r="L711" t="str">
        <f t="shared" si="34"/>
        <v/>
      </c>
      <c r="M711" t="str">
        <f>+IF(LEFT(DB!M711,3)="13/","CAC","MAD")</f>
        <v>MAD</v>
      </c>
      <c r="N711" t="str">
        <f>+RIGHT(DB!M711,6)</f>
        <v/>
      </c>
      <c r="O711">
        <v>95</v>
      </c>
      <c r="P711">
        <v>5</v>
      </c>
      <c r="Q711">
        <f>+DB!AB711</f>
        <v>0</v>
      </c>
      <c r="R711">
        <f>+DB!K711</f>
        <v>0</v>
      </c>
      <c r="S711">
        <f>+DB!F711</f>
        <v>0</v>
      </c>
      <c r="T711">
        <f>+IF(DB!F711="AAAC-35",1,3)</f>
        <v>3</v>
      </c>
      <c r="U711">
        <f>+DB!R711</f>
        <v>0</v>
      </c>
      <c r="V711">
        <f>+IF(DB!P711="1RI",1,0)+IF(DB!P711="2RI",2,0)</f>
        <v>0</v>
      </c>
      <c r="W711">
        <f>+IF(DB!P711="1RV",1,0)+IF(DB!P711="2RV",2,0)</f>
        <v>0</v>
      </c>
      <c r="X711">
        <f>+IF(DB!P711="RYI",1,0)</f>
        <v>0</v>
      </c>
      <c r="Y711">
        <f>+IF(DB!P711="RYV",1,0)</f>
        <v>0</v>
      </c>
      <c r="Z711">
        <f>+DB!U711</f>
        <v>0</v>
      </c>
      <c r="AA711">
        <f>+IF(DB!F711="AAAC-35",19.5,33)</f>
        <v>33</v>
      </c>
      <c r="AB711">
        <f>+DB!V711</f>
        <v>0</v>
      </c>
      <c r="AC711" t="str">
        <f t="shared" si="35"/>
        <v>56-4</v>
      </c>
      <c r="AD711" s="21" t="s">
        <v>72</v>
      </c>
      <c r="AE711">
        <f>+DB!X711</f>
        <v>0</v>
      </c>
      <c r="AF711" s="22">
        <f>+DB!Y711</f>
        <v>0</v>
      </c>
      <c r="AG711">
        <f>+DB!AK711</f>
        <v>0</v>
      </c>
    </row>
    <row r="712" spans="1:33" x14ac:dyDescent="0.2">
      <c r="A712">
        <f>+DB!C712</f>
        <v>0</v>
      </c>
      <c r="B712">
        <f>+DB!D712</f>
        <v>0</v>
      </c>
      <c r="C712">
        <f>+DB!E712</f>
        <v>0</v>
      </c>
      <c r="D712">
        <f t="shared" si="33"/>
        <v>0</v>
      </c>
      <c r="E712">
        <f>+DB!G712</f>
        <v>0</v>
      </c>
      <c r="F712">
        <f>+DB!H712</f>
        <v>0</v>
      </c>
      <c r="G712">
        <f>+DB!N712</f>
        <v>0</v>
      </c>
      <c r="H712">
        <f>+DB!O712</f>
        <v>0</v>
      </c>
      <c r="I712">
        <f>+DB!I712</f>
        <v>0</v>
      </c>
      <c r="J712">
        <f>+DB!J712</f>
        <v>0</v>
      </c>
      <c r="K712">
        <f>+DB!L712</f>
        <v>0</v>
      </c>
      <c r="L712" t="str">
        <f t="shared" si="34"/>
        <v/>
      </c>
      <c r="M712" t="str">
        <f>+IF(LEFT(DB!M712,3)="13/","CAC","MAD")</f>
        <v>MAD</v>
      </c>
      <c r="N712" t="str">
        <f>+RIGHT(DB!M712,6)</f>
        <v/>
      </c>
      <c r="O712">
        <v>95</v>
      </c>
      <c r="P712">
        <v>5</v>
      </c>
      <c r="Q712">
        <f>+DB!AB712</f>
        <v>0</v>
      </c>
      <c r="R712">
        <f>+DB!K712</f>
        <v>0</v>
      </c>
      <c r="S712">
        <f>+DB!F712</f>
        <v>0</v>
      </c>
      <c r="T712">
        <f>+IF(DB!F712="AAAC-35",1,3)</f>
        <v>3</v>
      </c>
      <c r="U712">
        <f>+DB!R712</f>
        <v>0</v>
      </c>
      <c r="V712">
        <f>+IF(DB!P712="1RI",1,0)+IF(DB!P712="2RI",2,0)</f>
        <v>0</v>
      </c>
      <c r="W712">
        <f>+IF(DB!P712="1RV",1,0)+IF(DB!P712="2RV",2,0)</f>
        <v>0</v>
      </c>
      <c r="X712">
        <f>+IF(DB!P712="RYI",1,0)</f>
        <v>0</v>
      </c>
      <c r="Y712">
        <f>+IF(DB!P712="RYV",1,0)</f>
        <v>0</v>
      </c>
      <c r="Z712">
        <f>+DB!U712</f>
        <v>0</v>
      </c>
      <c r="AA712">
        <f>+IF(DB!F712="AAAC-35",19.5,33)</f>
        <v>33</v>
      </c>
      <c r="AB712">
        <f>+DB!V712</f>
        <v>0</v>
      </c>
      <c r="AC712" t="str">
        <f t="shared" si="35"/>
        <v>56-4</v>
      </c>
      <c r="AD712" s="21" t="s">
        <v>72</v>
      </c>
      <c r="AE712">
        <f>+DB!X712</f>
        <v>0</v>
      </c>
      <c r="AF712" s="22">
        <f>+DB!Y712</f>
        <v>0</v>
      </c>
      <c r="AG712">
        <f>+DB!AK712</f>
        <v>0</v>
      </c>
    </row>
    <row r="713" spans="1:33" x14ac:dyDescent="0.2">
      <c r="A713">
        <f>+DB!C713</f>
        <v>0</v>
      </c>
      <c r="B713">
        <f>+DB!D713</f>
        <v>0</v>
      </c>
      <c r="C713">
        <f>+DB!E713</f>
        <v>0</v>
      </c>
      <c r="D713">
        <f t="shared" si="33"/>
        <v>0</v>
      </c>
      <c r="E713">
        <f>+DB!G713</f>
        <v>0</v>
      </c>
      <c r="F713">
        <f>+DB!H713</f>
        <v>0</v>
      </c>
      <c r="G713">
        <f>+DB!N713</f>
        <v>0</v>
      </c>
      <c r="H713">
        <f>+DB!O713</f>
        <v>0</v>
      </c>
      <c r="I713">
        <f>+DB!I713</f>
        <v>0</v>
      </c>
      <c r="J713">
        <f>+DB!J713</f>
        <v>0</v>
      </c>
      <c r="K713">
        <f>+DB!L713</f>
        <v>0</v>
      </c>
      <c r="L713" t="str">
        <f t="shared" si="34"/>
        <v/>
      </c>
      <c r="M713" t="str">
        <f>+IF(LEFT(DB!M713,3)="13/","CAC","MAD")</f>
        <v>MAD</v>
      </c>
      <c r="N713" t="str">
        <f>+RIGHT(DB!M713,6)</f>
        <v/>
      </c>
      <c r="O713">
        <v>95</v>
      </c>
      <c r="P713">
        <v>5</v>
      </c>
      <c r="Q713">
        <f>+DB!AB713</f>
        <v>0</v>
      </c>
      <c r="R713">
        <f>+DB!K713</f>
        <v>0</v>
      </c>
      <c r="S713">
        <f>+DB!F713</f>
        <v>0</v>
      </c>
      <c r="T713">
        <f>+IF(DB!F713="AAAC-35",1,3)</f>
        <v>3</v>
      </c>
      <c r="U713">
        <f>+DB!R713</f>
        <v>0</v>
      </c>
      <c r="V713">
        <f>+IF(DB!P713="1RI",1,0)+IF(DB!P713="2RI",2,0)</f>
        <v>0</v>
      </c>
      <c r="W713">
        <f>+IF(DB!P713="1RV",1,0)+IF(DB!P713="2RV",2,0)</f>
        <v>0</v>
      </c>
      <c r="X713">
        <f>+IF(DB!P713="RYI",1,0)</f>
        <v>0</v>
      </c>
      <c r="Y713">
        <f>+IF(DB!P713="RYV",1,0)</f>
        <v>0</v>
      </c>
      <c r="Z713">
        <f>+DB!U713</f>
        <v>0</v>
      </c>
      <c r="AA713">
        <f>+IF(DB!F713="AAAC-35",19.5,33)</f>
        <v>33</v>
      </c>
      <c r="AB713">
        <f>+DB!V713</f>
        <v>0</v>
      </c>
      <c r="AC713" t="str">
        <f t="shared" si="35"/>
        <v>56-4</v>
      </c>
      <c r="AD713" s="21" t="s">
        <v>72</v>
      </c>
      <c r="AE713">
        <f>+DB!X713</f>
        <v>0</v>
      </c>
      <c r="AF713" s="22">
        <f>+DB!Y713</f>
        <v>0</v>
      </c>
      <c r="AG713">
        <f>+DB!AK713</f>
        <v>0</v>
      </c>
    </row>
    <row r="714" spans="1:33" x14ac:dyDescent="0.2">
      <c r="A714">
        <f>+DB!C714</f>
        <v>0</v>
      </c>
      <c r="B714">
        <f>+DB!D714</f>
        <v>0</v>
      </c>
      <c r="C714">
        <f>+DB!E714</f>
        <v>0</v>
      </c>
      <c r="D714">
        <f t="shared" si="33"/>
        <v>0</v>
      </c>
      <c r="E714">
        <f>+DB!G714</f>
        <v>0</v>
      </c>
      <c r="F714">
        <f>+DB!H714</f>
        <v>0</v>
      </c>
      <c r="G714">
        <f>+DB!N714</f>
        <v>0</v>
      </c>
      <c r="H714">
        <f>+DB!O714</f>
        <v>0</v>
      </c>
      <c r="I714">
        <f>+DB!I714</f>
        <v>0</v>
      </c>
      <c r="J714">
        <f>+DB!J714</f>
        <v>0</v>
      </c>
      <c r="K714">
        <f>+DB!L714</f>
        <v>0</v>
      </c>
      <c r="L714" t="str">
        <f t="shared" si="34"/>
        <v/>
      </c>
      <c r="M714" t="str">
        <f>+IF(LEFT(DB!M714,3)="13/","CAC","MAD")</f>
        <v>MAD</v>
      </c>
      <c r="N714" t="str">
        <f>+RIGHT(DB!M714,6)</f>
        <v/>
      </c>
      <c r="O714">
        <v>95</v>
      </c>
      <c r="P714">
        <v>5</v>
      </c>
      <c r="Q714">
        <f>+DB!AB714</f>
        <v>0</v>
      </c>
      <c r="R714">
        <f>+DB!K714</f>
        <v>0</v>
      </c>
      <c r="S714">
        <f>+DB!F714</f>
        <v>0</v>
      </c>
      <c r="T714">
        <f>+IF(DB!F714="AAAC-35",1,3)</f>
        <v>3</v>
      </c>
      <c r="U714">
        <f>+DB!R714</f>
        <v>0</v>
      </c>
      <c r="V714">
        <f>+IF(DB!P714="1RI",1,0)+IF(DB!P714="2RI",2,0)</f>
        <v>0</v>
      </c>
      <c r="W714">
        <f>+IF(DB!P714="1RV",1,0)+IF(DB!P714="2RV",2,0)</f>
        <v>0</v>
      </c>
      <c r="X714">
        <f>+IF(DB!P714="RYI",1,0)</f>
        <v>0</v>
      </c>
      <c r="Y714">
        <f>+IF(DB!P714="RYV",1,0)</f>
        <v>0</v>
      </c>
      <c r="Z714">
        <f>+DB!U714</f>
        <v>0</v>
      </c>
      <c r="AA714">
        <f>+IF(DB!F714="AAAC-35",19.5,33)</f>
        <v>33</v>
      </c>
      <c r="AB714">
        <f>+DB!V714</f>
        <v>0</v>
      </c>
      <c r="AC714" t="str">
        <f t="shared" si="35"/>
        <v>56-4</v>
      </c>
      <c r="AD714" s="21" t="s">
        <v>72</v>
      </c>
      <c r="AE714">
        <f>+DB!X714</f>
        <v>0</v>
      </c>
      <c r="AF714" s="22">
        <f>+DB!Y714</f>
        <v>0</v>
      </c>
      <c r="AG714">
        <f>+DB!AK714</f>
        <v>0</v>
      </c>
    </row>
    <row r="715" spans="1:33" x14ac:dyDescent="0.2">
      <c r="A715">
        <f>+DB!C715</f>
        <v>0</v>
      </c>
      <c r="B715">
        <f>+DB!D715</f>
        <v>0</v>
      </c>
      <c r="C715">
        <f>+DB!E715</f>
        <v>0</v>
      </c>
      <c r="D715">
        <f t="shared" si="33"/>
        <v>0</v>
      </c>
      <c r="E715">
        <f>+DB!G715</f>
        <v>0</v>
      </c>
      <c r="F715">
        <f>+DB!H715</f>
        <v>0</v>
      </c>
      <c r="G715">
        <f>+DB!N715</f>
        <v>0</v>
      </c>
      <c r="H715">
        <f>+DB!O715</f>
        <v>0</v>
      </c>
      <c r="I715">
        <f>+DB!I715</f>
        <v>0</v>
      </c>
      <c r="J715">
        <f>+DB!J715</f>
        <v>0</v>
      </c>
      <c r="K715">
        <f>+DB!L715</f>
        <v>0</v>
      </c>
      <c r="L715" t="str">
        <f t="shared" si="34"/>
        <v/>
      </c>
      <c r="M715" t="str">
        <f>+IF(LEFT(DB!M715,3)="13/","CAC","MAD")</f>
        <v>MAD</v>
      </c>
      <c r="N715" t="str">
        <f>+RIGHT(DB!M715,6)</f>
        <v/>
      </c>
      <c r="O715">
        <v>95</v>
      </c>
      <c r="P715">
        <v>5</v>
      </c>
      <c r="Q715">
        <f>+DB!AB715</f>
        <v>0</v>
      </c>
      <c r="R715">
        <f>+DB!K715</f>
        <v>0</v>
      </c>
      <c r="S715">
        <f>+DB!F715</f>
        <v>0</v>
      </c>
      <c r="T715">
        <f>+IF(DB!F715="AAAC-35",1,3)</f>
        <v>3</v>
      </c>
      <c r="U715">
        <f>+DB!R715</f>
        <v>0</v>
      </c>
      <c r="V715">
        <f>+IF(DB!P715="1RI",1,0)+IF(DB!P715="2RI",2,0)</f>
        <v>0</v>
      </c>
      <c r="W715">
        <f>+IF(DB!P715="1RV",1,0)+IF(DB!P715="2RV",2,0)</f>
        <v>0</v>
      </c>
      <c r="X715">
        <f>+IF(DB!P715="RYI",1,0)</f>
        <v>0</v>
      </c>
      <c r="Y715">
        <f>+IF(DB!P715="RYV",1,0)</f>
        <v>0</v>
      </c>
      <c r="Z715">
        <f>+DB!U715</f>
        <v>0</v>
      </c>
      <c r="AA715">
        <f>+IF(DB!F715="AAAC-35",19.5,33)</f>
        <v>33</v>
      </c>
      <c r="AB715">
        <f>+DB!V715</f>
        <v>0</v>
      </c>
      <c r="AC715" t="str">
        <f t="shared" si="35"/>
        <v>56-4</v>
      </c>
      <c r="AD715" s="21" t="s">
        <v>72</v>
      </c>
      <c r="AE715">
        <f>+DB!X715</f>
        <v>0</v>
      </c>
      <c r="AF715" s="22">
        <f>+DB!Y715</f>
        <v>0</v>
      </c>
      <c r="AG715">
        <f>+DB!AK715</f>
        <v>0</v>
      </c>
    </row>
    <row r="716" spans="1:33" x14ac:dyDescent="0.2">
      <c r="A716">
        <f>+DB!C716</f>
        <v>0</v>
      </c>
      <c r="B716">
        <f>+DB!D716</f>
        <v>0</v>
      </c>
      <c r="C716">
        <f>+DB!E716</f>
        <v>0</v>
      </c>
      <c r="D716">
        <f t="shared" si="33"/>
        <v>0</v>
      </c>
      <c r="E716">
        <f>+DB!G716</f>
        <v>0</v>
      </c>
      <c r="F716">
        <f>+DB!H716</f>
        <v>0</v>
      </c>
      <c r="G716">
        <f>+DB!N716</f>
        <v>0</v>
      </c>
      <c r="H716">
        <f>+DB!O716</f>
        <v>0</v>
      </c>
      <c r="I716">
        <f>+DB!I716</f>
        <v>0</v>
      </c>
      <c r="J716">
        <f>+DB!J716</f>
        <v>0</v>
      </c>
      <c r="K716">
        <f>+DB!L716</f>
        <v>0</v>
      </c>
      <c r="L716" t="str">
        <f t="shared" si="34"/>
        <v/>
      </c>
      <c r="M716" t="str">
        <f>+IF(LEFT(DB!M716,3)="13/","CAC","MAD")</f>
        <v>MAD</v>
      </c>
      <c r="N716" t="str">
        <f>+RIGHT(DB!M716,6)</f>
        <v/>
      </c>
      <c r="O716">
        <v>95</v>
      </c>
      <c r="P716">
        <v>5</v>
      </c>
      <c r="Q716">
        <f>+DB!AB716</f>
        <v>0</v>
      </c>
      <c r="R716">
        <f>+DB!K716</f>
        <v>0</v>
      </c>
      <c r="S716">
        <f>+DB!F716</f>
        <v>0</v>
      </c>
      <c r="T716">
        <f>+IF(DB!F716="AAAC-35",1,3)</f>
        <v>3</v>
      </c>
      <c r="U716">
        <f>+DB!R716</f>
        <v>0</v>
      </c>
      <c r="V716">
        <f>+IF(DB!P716="1RI",1,0)+IF(DB!P716="2RI",2,0)</f>
        <v>0</v>
      </c>
      <c r="W716">
        <f>+IF(DB!P716="1RV",1,0)+IF(DB!P716="2RV",2,0)</f>
        <v>0</v>
      </c>
      <c r="X716">
        <f>+IF(DB!P716="RYI",1,0)</f>
        <v>0</v>
      </c>
      <c r="Y716">
        <f>+IF(DB!P716="RYV",1,0)</f>
        <v>0</v>
      </c>
      <c r="Z716">
        <f>+DB!U716</f>
        <v>0</v>
      </c>
      <c r="AA716">
        <f>+IF(DB!F716="AAAC-35",19.5,33)</f>
        <v>33</v>
      </c>
      <c r="AB716">
        <f>+DB!V716</f>
        <v>0</v>
      </c>
      <c r="AC716" t="str">
        <f t="shared" si="35"/>
        <v>56-4</v>
      </c>
      <c r="AD716" s="21" t="s">
        <v>72</v>
      </c>
      <c r="AE716">
        <f>+DB!X716</f>
        <v>0</v>
      </c>
      <c r="AF716" s="22">
        <f>+DB!Y716</f>
        <v>0</v>
      </c>
      <c r="AG716">
        <f>+DB!AK716</f>
        <v>0</v>
      </c>
    </row>
    <row r="717" spans="1:33" x14ac:dyDescent="0.2">
      <c r="A717">
        <f>+DB!C717</f>
        <v>0</v>
      </c>
      <c r="B717">
        <f>+DB!D717</f>
        <v>0</v>
      </c>
      <c r="C717">
        <f>+DB!E717</f>
        <v>0</v>
      </c>
      <c r="D717">
        <f t="shared" si="33"/>
        <v>0</v>
      </c>
      <c r="E717">
        <f>+DB!G717</f>
        <v>0</v>
      </c>
      <c r="F717">
        <f>+DB!H717</f>
        <v>0</v>
      </c>
      <c r="G717">
        <f>+DB!N717</f>
        <v>0</v>
      </c>
      <c r="H717">
        <f>+DB!O717</f>
        <v>0</v>
      </c>
      <c r="I717">
        <f>+DB!I717</f>
        <v>0</v>
      </c>
      <c r="J717">
        <f>+DB!J717</f>
        <v>0</v>
      </c>
      <c r="K717">
        <f>+DB!L717</f>
        <v>0</v>
      </c>
      <c r="L717" t="str">
        <f t="shared" si="34"/>
        <v/>
      </c>
      <c r="M717" t="str">
        <f>+IF(LEFT(DB!M717,3)="13/","CAC","MAD")</f>
        <v>MAD</v>
      </c>
      <c r="N717" t="str">
        <f>+RIGHT(DB!M717,6)</f>
        <v/>
      </c>
      <c r="O717">
        <v>95</v>
      </c>
      <c r="P717">
        <v>5</v>
      </c>
      <c r="Q717">
        <f>+DB!AB717</f>
        <v>0</v>
      </c>
      <c r="R717">
        <f>+DB!K717</f>
        <v>0</v>
      </c>
      <c r="S717">
        <f>+DB!F717</f>
        <v>0</v>
      </c>
      <c r="T717">
        <f>+IF(DB!F717="AAAC-35",1,3)</f>
        <v>3</v>
      </c>
      <c r="U717">
        <f>+DB!R717</f>
        <v>0</v>
      </c>
      <c r="V717">
        <f>+IF(DB!P717="1RI",1,0)+IF(DB!P717="2RI",2,0)</f>
        <v>0</v>
      </c>
      <c r="W717">
        <f>+IF(DB!P717="1RV",1,0)+IF(DB!P717="2RV",2,0)</f>
        <v>0</v>
      </c>
      <c r="X717">
        <f>+IF(DB!P717="RYI",1,0)</f>
        <v>0</v>
      </c>
      <c r="Y717">
        <f>+IF(DB!P717="RYV",1,0)</f>
        <v>0</v>
      </c>
      <c r="Z717">
        <f>+DB!U717</f>
        <v>0</v>
      </c>
      <c r="AA717">
        <f>+IF(DB!F717="AAAC-35",19.5,33)</f>
        <v>33</v>
      </c>
      <c r="AB717">
        <f>+DB!V717</f>
        <v>0</v>
      </c>
      <c r="AC717" t="str">
        <f t="shared" si="35"/>
        <v>56-4</v>
      </c>
      <c r="AD717" s="21" t="s">
        <v>72</v>
      </c>
      <c r="AE717">
        <f>+DB!X717</f>
        <v>0</v>
      </c>
      <c r="AF717" s="22">
        <f>+DB!Y717</f>
        <v>0</v>
      </c>
      <c r="AG717">
        <f>+DB!AK717</f>
        <v>0</v>
      </c>
    </row>
    <row r="718" spans="1:33" x14ac:dyDescent="0.2">
      <c r="A718">
        <f>+DB!C718</f>
        <v>0</v>
      </c>
      <c r="B718">
        <f>+DB!D718</f>
        <v>0</v>
      </c>
      <c r="C718">
        <f>+DB!E718</f>
        <v>0</v>
      </c>
      <c r="D718">
        <f t="shared" si="33"/>
        <v>0</v>
      </c>
      <c r="E718">
        <f>+DB!G718</f>
        <v>0</v>
      </c>
      <c r="F718">
        <f>+DB!H718</f>
        <v>0</v>
      </c>
      <c r="G718">
        <f>+DB!N718</f>
        <v>0</v>
      </c>
      <c r="H718">
        <f>+DB!O718</f>
        <v>0</v>
      </c>
      <c r="I718">
        <f>+DB!I718</f>
        <v>0</v>
      </c>
      <c r="J718">
        <f>+DB!J718</f>
        <v>0</v>
      </c>
      <c r="K718">
        <f>+DB!L718</f>
        <v>0</v>
      </c>
      <c r="L718" t="str">
        <f t="shared" si="34"/>
        <v/>
      </c>
      <c r="M718" t="str">
        <f>+IF(LEFT(DB!M718,3)="13/","CAC","MAD")</f>
        <v>MAD</v>
      </c>
      <c r="N718" t="str">
        <f>+RIGHT(DB!M718,6)</f>
        <v/>
      </c>
      <c r="O718">
        <v>95</v>
      </c>
      <c r="P718">
        <v>5</v>
      </c>
      <c r="Q718">
        <f>+DB!AB718</f>
        <v>0</v>
      </c>
      <c r="R718">
        <f>+DB!K718</f>
        <v>0</v>
      </c>
      <c r="S718">
        <f>+DB!F718</f>
        <v>0</v>
      </c>
      <c r="T718">
        <f>+IF(DB!F718="AAAC-35",1,3)</f>
        <v>3</v>
      </c>
      <c r="U718">
        <f>+DB!R718</f>
        <v>0</v>
      </c>
      <c r="V718">
        <f>+IF(DB!P718="1RI",1,0)+IF(DB!P718="2RI",2,0)</f>
        <v>0</v>
      </c>
      <c r="W718">
        <f>+IF(DB!P718="1RV",1,0)+IF(DB!P718="2RV",2,0)</f>
        <v>0</v>
      </c>
      <c r="X718">
        <f>+IF(DB!P718="RYI",1,0)</f>
        <v>0</v>
      </c>
      <c r="Y718">
        <f>+IF(DB!P718="RYV",1,0)</f>
        <v>0</v>
      </c>
      <c r="Z718">
        <f>+DB!U718</f>
        <v>0</v>
      </c>
      <c r="AA718">
        <f>+IF(DB!F718="AAAC-35",19.5,33)</f>
        <v>33</v>
      </c>
      <c r="AB718">
        <f>+DB!V718</f>
        <v>0</v>
      </c>
      <c r="AC718" t="str">
        <f t="shared" si="35"/>
        <v>56-4</v>
      </c>
      <c r="AD718" s="21" t="s">
        <v>72</v>
      </c>
      <c r="AE718">
        <f>+DB!X718</f>
        <v>0</v>
      </c>
      <c r="AF718" s="22">
        <f>+DB!Y718</f>
        <v>0</v>
      </c>
      <c r="AG718">
        <f>+DB!AK718</f>
        <v>0</v>
      </c>
    </row>
    <row r="719" spans="1:33" x14ac:dyDescent="0.2">
      <c r="A719">
        <f>+DB!C719</f>
        <v>0</v>
      </c>
      <c r="B719">
        <f>+DB!D719</f>
        <v>0</v>
      </c>
      <c r="C719">
        <f>+DB!E719</f>
        <v>0</v>
      </c>
      <c r="D719">
        <f t="shared" si="33"/>
        <v>0</v>
      </c>
      <c r="E719">
        <f>+DB!G719</f>
        <v>0</v>
      </c>
      <c r="F719">
        <f>+DB!H719</f>
        <v>0</v>
      </c>
      <c r="G719">
        <f>+DB!N719</f>
        <v>0</v>
      </c>
      <c r="H719">
        <f>+DB!O719</f>
        <v>0</v>
      </c>
      <c r="I719">
        <f>+DB!I719</f>
        <v>0</v>
      </c>
      <c r="J719">
        <f>+DB!J719</f>
        <v>0</v>
      </c>
      <c r="K719">
        <f>+DB!L719</f>
        <v>0</v>
      </c>
      <c r="L719" t="str">
        <f t="shared" si="34"/>
        <v/>
      </c>
      <c r="M719" t="str">
        <f>+IF(LEFT(DB!M719,3)="13/","CAC","MAD")</f>
        <v>MAD</v>
      </c>
      <c r="N719" t="str">
        <f>+RIGHT(DB!M719,6)</f>
        <v/>
      </c>
      <c r="O719">
        <v>95</v>
      </c>
      <c r="P719">
        <v>5</v>
      </c>
      <c r="Q719">
        <f>+DB!AB719</f>
        <v>0</v>
      </c>
      <c r="R719">
        <f>+DB!K719</f>
        <v>0</v>
      </c>
      <c r="S719">
        <f>+DB!F719</f>
        <v>0</v>
      </c>
      <c r="T719">
        <f>+IF(DB!F719="AAAC-35",1,3)</f>
        <v>3</v>
      </c>
      <c r="U719">
        <f>+DB!R719</f>
        <v>0</v>
      </c>
      <c r="V719">
        <f>+IF(DB!P719="1RI",1,0)+IF(DB!P719="2RI",2,0)</f>
        <v>0</v>
      </c>
      <c r="W719">
        <f>+IF(DB!P719="1RV",1,0)+IF(DB!P719="2RV",2,0)</f>
        <v>0</v>
      </c>
      <c r="X719">
        <f>+IF(DB!P719="RYI",1,0)</f>
        <v>0</v>
      </c>
      <c r="Y719">
        <f>+IF(DB!P719="RYV",1,0)</f>
        <v>0</v>
      </c>
      <c r="Z719">
        <f>+DB!U719</f>
        <v>0</v>
      </c>
      <c r="AA719">
        <f>+IF(DB!F719="AAAC-35",19.5,33)</f>
        <v>33</v>
      </c>
      <c r="AB719">
        <f>+DB!V719</f>
        <v>0</v>
      </c>
      <c r="AC719" t="str">
        <f t="shared" si="35"/>
        <v>56-4</v>
      </c>
      <c r="AD719" s="21" t="s">
        <v>72</v>
      </c>
      <c r="AE719">
        <f>+DB!X719</f>
        <v>0</v>
      </c>
      <c r="AF719" s="22">
        <f>+DB!Y719</f>
        <v>0</v>
      </c>
      <c r="AG719">
        <f>+DB!AK719</f>
        <v>0</v>
      </c>
    </row>
    <row r="720" spans="1:33" x14ac:dyDescent="0.2">
      <c r="A720">
        <f>+DB!C720</f>
        <v>0</v>
      </c>
      <c r="B720">
        <f>+DB!D720</f>
        <v>0</v>
      </c>
      <c r="C720">
        <f>+DB!E720</f>
        <v>0</v>
      </c>
      <c r="D720">
        <f t="shared" si="33"/>
        <v>0</v>
      </c>
      <c r="E720">
        <f>+DB!G720</f>
        <v>0</v>
      </c>
      <c r="F720">
        <f>+DB!H720</f>
        <v>0</v>
      </c>
      <c r="G720">
        <f>+DB!N720</f>
        <v>0</v>
      </c>
      <c r="H720">
        <f>+DB!O720</f>
        <v>0</v>
      </c>
      <c r="I720">
        <f>+DB!I720</f>
        <v>0</v>
      </c>
      <c r="J720">
        <f>+DB!J720</f>
        <v>0</v>
      </c>
      <c r="K720">
        <f>+DB!L720</f>
        <v>0</v>
      </c>
      <c r="L720" t="str">
        <f t="shared" si="34"/>
        <v/>
      </c>
      <c r="M720" t="str">
        <f>+IF(LEFT(DB!M720,3)="13/","CAC","MAD")</f>
        <v>MAD</v>
      </c>
      <c r="N720" t="str">
        <f>+RIGHT(DB!M720,6)</f>
        <v/>
      </c>
      <c r="O720">
        <v>95</v>
      </c>
      <c r="P720">
        <v>5</v>
      </c>
      <c r="Q720">
        <f>+DB!AB720</f>
        <v>0</v>
      </c>
      <c r="R720">
        <f>+DB!K720</f>
        <v>0</v>
      </c>
      <c r="S720">
        <f>+DB!F720</f>
        <v>0</v>
      </c>
      <c r="T720">
        <f>+IF(DB!F720="AAAC-35",1,3)</f>
        <v>3</v>
      </c>
      <c r="U720">
        <f>+DB!R720</f>
        <v>0</v>
      </c>
      <c r="V720">
        <f>+IF(DB!P720="1RI",1,0)+IF(DB!P720="2RI",2,0)</f>
        <v>0</v>
      </c>
      <c r="W720">
        <f>+IF(DB!P720="1RV",1,0)+IF(DB!P720="2RV",2,0)</f>
        <v>0</v>
      </c>
      <c r="X720">
        <f>+IF(DB!P720="RYI",1,0)</f>
        <v>0</v>
      </c>
      <c r="Y720">
        <f>+IF(DB!P720="RYV",1,0)</f>
        <v>0</v>
      </c>
      <c r="Z720">
        <f>+DB!U720</f>
        <v>0</v>
      </c>
      <c r="AA720">
        <f>+IF(DB!F720="AAAC-35",19.5,33)</f>
        <v>33</v>
      </c>
      <c r="AB720">
        <f>+DB!V720</f>
        <v>0</v>
      </c>
      <c r="AC720" t="str">
        <f t="shared" si="35"/>
        <v>56-4</v>
      </c>
      <c r="AD720" s="21" t="s">
        <v>72</v>
      </c>
      <c r="AE720">
        <f>+DB!X720</f>
        <v>0</v>
      </c>
      <c r="AF720" s="22">
        <f>+DB!Y720</f>
        <v>0</v>
      </c>
      <c r="AG720">
        <f>+DB!AK720</f>
        <v>0</v>
      </c>
    </row>
    <row r="721" spans="1:33" x14ac:dyDescent="0.2">
      <c r="A721">
        <f>+DB!C721</f>
        <v>0</v>
      </c>
      <c r="B721">
        <f>+DB!D721</f>
        <v>0</v>
      </c>
      <c r="C721">
        <f>+DB!E721</f>
        <v>0</v>
      </c>
      <c r="D721">
        <f t="shared" si="33"/>
        <v>0</v>
      </c>
      <c r="E721">
        <f>+DB!G721</f>
        <v>0</v>
      </c>
      <c r="F721">
        <f>+DB!H721</f>
        <v>0</v>
      </c>
      <c r="G721">
        <f>+DB!N721</f>
        <v>0</v>
      </c>
      <c r="H721">
        <f>+DB!O721</f>
        <v>0</v>
      </c>
      <c r="I721">
        <f>+DB!I721</f>
        <v>0</v>
      </c>
      <c r="J721">
        <f>+DB!J721</f>
        <v>0</v>
      </c>
      <c r="K721">
        <f>+DB!L721</f>
        <v>0</v>
      </c>
      <c r="L721" t="str">
        <f t="shared" si="34"/>
        <v/>
      </c>
      <c r="M721" t="str">
        <f>+IF(LEFT(DB!M721,3)="13/","CAC","MAD")</f>
        <v>MAD</v>
      </c>
      <c r="N721" t="str">
        <f>+RIGHT(DB!M721,6)</f>
        <v/>
      </c>
      <c r="O721">
        <v>95</v>
      </c>
      <c r="P721">
        <v>5</v>
      </c>
      <c r="Q721">
        <f>+DB!AB721</f>
        <v>0</v>
      </c>
      <c r="R721">
        <f>+DB!K721</f>
        <v>0</v>
      </c>
      <c r="S721">
        <f>+DB!F721</f>
        <v>0</v>
      </c>
      <c r="T721">
        <f>+IF(DB!F721="AAAC-35",1,3)</f>
        <v>3</v>
      </c>
      <c r="U721">
        <f>+DB!R721</f>
        <v>0</v>
      </c>
      <c r="V721">
        <f>+IF(DB!P721="1RI",1,0)+IF(DB!P721="2RI",2,0)</f>
        <v>0</v>
      </c>
      <c r="W721">
        <f>+IF(DB!P721="1RV",1,0)+IF(DB!P721="2RV",2,0)</f>
        <v>0</v>
      </c>
      <c r="X721">
        <f>+IF(DB!P721="RYI",1,0)</f>
        <v>0</v>
      </c>
      <c r="Y721">
        <f>+IF(DB!P721="RYV",1,0)</f>
        <v>0</v>
      </c>
      <c r="Z721">
        <f>+DB!U721</f>
        <v>0</v>
      </c>
      <c r="AA721">
        <f>+IF(DB!F721="AAAC-35",19.5,33)</f>
        <v>33</v>
      </c>
      <c r="AB721">
        <f>+DB!V721</f>
        <v>0</v>
      </c>
      <c r="AC721" t="str">
        <f t="shared" si="35"/>
        <v>56-4</v>
      </c>
      <c r="AD721" s="21" t="s">
        <v>72</v>
      </c>
      <c r="AE721">
        <f>+DB!X721</f>
        <v>0</v>
      </c>
      <c r="AF721" s="22">
        <f>+DB!Y721</f>
        <v>0</v>
      </c>
      <c r="AG721">
        <f>+DB!AK721</f>
        <v>0</v>
      </c>
    </row>
    <row r="722" spans="1:33" x14ac:dyDescent="0.2">
      <c r="A722">
        <f>+DB!C722</f>
        <v>0</v>
      </c>
      <c r="B722">
        <f>+DB!D722</f>
        <v>0</v>
      </c>
      <c r="C722">
        <f>+DB!E722</f>
        <v>0</v>
      </c>
      <c r="D722">
        <f t="shared" si="33"/>
        <v>0</v>
      </c>
      <c r="E722">
        <f>+DB!G722</f>
        <v>0</v>
      </c>
      <c r="F722">
        <f>+DB!H722</f>
        <v>0</v>
      </c>
      <c r="G722">
        <f>+DB!N722</f>
        <v>0</v>
      </c>
      <c r="H722">
        <f>+DB!O722</f>
        <v>0</v>
      </c>
      <c r="I722">
        <f>+DB!I722</f>
        <v>0</v>
      </c>
      <c r="J722">
        <f>+DB!J722</f>
        <v>0</v>
      </c>
      <c r="K722">
        <f>+DB!L722</f>
        <v>0</v>
      </c>
      <c r="L722" t="str">
        <f t="shared" si="34"/>
        <v/>
      </c>
      <c r="M722" t="str">
        <f>+IF(LEFT(DB!M722,3)="13/","CAC","MAD")</f>
        <v>MAD</v>
      </c>
      <c r="N722" t="str">
        <f>+RIGHT(DB!M722,6)</f>
        <v/>
      </c>
      <c r="O722">
        <v>95</v>
      </c>
      <c r="P722">
        <v>5</v>
      </c>
      <c r="Q722">
        <f>+DB!AB722</f>
        <v>0</v>
      </c>
      <c r="R722">
        <f>+DB!K722</f>
        <v>0</v>
      </c>
      <c r="S722">
        <f>+DB!F722</f>
        <v>0</v>
      </c>
      <c r="T722">
        <f>+IF(DB!F722="AAAC-35",1,3)</f>
        <v>3</v>
      </c>
      <c r="U722">
        <f>+DB!R722</f>
        <v>0</v>
      </c>
      <c r="V722">
        <f>+IF(DB!P722="1RI",1,0)+IF(DB!P722="2RI",2,0)</f>
        <v>0</v>
      </c>
      <c r="W722">
        <f>+IF(DB!P722="1RV",1,0)+IF(DB!P722="2RV",2,0)</f>
        <v>0</v>
      </c>
      <c r="X722">
        <f>+IF(DB!P722="RYI",1,0)</f>
        <v>0</v>
      </c>
      <c r="Y722">
        <f>+IF(DB!P722="RYV",1,0)</f>
        <v>0</v>
      </c>
      <c r="Z722">
        <f>+DB!U722</f>
        <v>0</v>
      </c>
      <c r="AA722">
        <f>+IF(DB!F722="AAAC-35",19.5,33)</f>
        <v>33</v>
      </c>
      <c r="AB722">
        <f>+DB!V722</f>
        <v>0</v>
      </c>
      <c r="AC722" t="str">
        <f t="shared" si="35"/>
        <v>56-4</v>
      </c>
      <c r="AD722" s="21" t="s">
        <v>72</v>
      </c>
      <c r="AE722">
        <f>+DB!X722</f>
        <v>0</v>
      </c>
      <c r="AF722" s="22">
        <f>+DB!Y722</f>
        <v>0</v>
      </c>
      <c r="AG722">
        <f>+DB!AK722</f>
        <v>0</v>
      </c>
    </row>
    <row r="723" spans="1:33" x14ac:dyDescent="0.2">
      <c r="A723">
        <f>+DB!C723</f>
        <v>0</v>
      </c>
      <c r="B723">
        <f>+DB!D723</f>
        <v>0</v>
      </c>
      <c r="C723">
        <f>+DB!E723</f>
        <v>0</v>
      </c>
      <c r="D723">
        <f t="shared" si="33"/>
        <v>0</v>
      </c>
      <c r="E723">
        <f>+DB!G723</f>
        <v>0</v>
      </c>
      <c r="F723">
        <f>+DB!H723</f>
        <v>0</v>
      </c>
      <c r="G723">
        <f>+DB!N723</f>
        <v>0</v>
      </c>
      <c r="H723">
        <f>+DB!O723</f>
        <v>0</v>
      </c>
      <c r="I723">
        <f>+DB!I723</f>
        <v>0</v>
      </c>
      <c r="J723">
        <f>+DB!J723</f>
        <v>0</v>
      </c>
      <c r="K723">
        <f>+DB!L723</f>
        <v>0</v>
      </c>
      <c r="L723" t="str">
        <f t="shared" si="34"/>
        <v/>
      </c>
      <c r="M723" t="str">
        <f>+IF(LEFT(DB!M723,3)="13/","CAC","MAD")</f>
        <v>MAD</v>
      </c>
      <c r="N723" t="str">
        <f>+RIGHT(DB!M723,6)</f>
        <v/>
      </c>
      <c r="O723">
        <v>95</v>
      </c>
      <c r="P723">
        <v>5</v>
      </c>
      <c r="Q723">
        <f>+DB!AB723</f>
        <v>0</v>
      </c>
      <c r="R723">
        <f>+DB!K723</f>
        <v>0</v>
      </c>
      <c r="S723">
        <f>+DB!F723</f>
        <v>0</v>
      </c>
      <c r="T723">
        <f>+IF(DB!F723="AAAC-35",1,3)</f>
        <v>3</v>
      </c>
      <c r="U723">
        <f>+DB!R723</f>
        <v>0</v>
      </c>
      <c r="V723">
        <f>+IF(DB!P723="1RI",1,0)+IF(DB!P723="2RI",2,0)</f>
        <v>0</v>
      </c>
      <c r="W723">
        <f>+IF(DB!P723="1RV",1,0)+IF(DB!P723="2RV",2,0)</f>
        <v>0</v>
      </c>
      <c r="X723">
        <f>+IF(DB!P723="RYI",1,0)</f>
        <v>0</v>
      </c>
      <c r="Y723">
        <f>+IF(DB!P723="RYV",1,0)</f>
        <v>0</v>
      </c>
      <c r="Z723">
        <f>+DB!U723</f>
        <v>0</v>
      </c>
      <c r="AA723">
        <f>+IF(DB!F723="AAAC-35",19.5,33)</f>
        <v>33</v>
      </c>
      <c r="AB723">
        <f>+DB!V723</f>
        <v>0</v>
      </c>
      <c r="AC723" t="str">
        <f t="shared" si="35"/>
        <v>56-4</v>
      </c>
      <c r="AD723" s="21" t="s">
        <v>72</v>
      </c>
      <c r="AE723">
        <f>+DB!X723</f>
        <v>0</v>
      </c>
      <c r="AF723" s="22">
        <f>+DB!Y723</f>
        <v>0</v>
      </c>
      <c r="AG723">
        <f>+DB!AK723</f>
        <v>0</v>
      </c>
    </row>
    <row r="724" spans="1:33" x14ac:dyDescent="0.2">
      <c r="A724">
        <f>+DB!C724</f>
        <v>0</v>
      </c>
      <c r="B724">
        <f>+DB!D724</f>
        <v>0</v>
      </c>
      <c r="C724">
        <f>+DB!E724</f>
        <v>0</v>
      </c>
      <c r="D724">
        <f t="shared" si="33"/>
        <v>0</v>
      </c>
      <c r="E724">
        <f>+DB!G724</f>
        <v>0</v>
      </c>
      <c r="F724">
        <f>+DB!H724</f>
        <v>0</v>
      </c>
      <c r="G724">
        <f>+DB!N724</f>
        <v>0</v>
      </c>
      <c r="H724">
        <f>+DB!O724</f>
        <v>0</v>
      </c>
      <c r="I724">
        <f>+DB!I724</f>
        <v>0</v>
      </c>
      <c r="J724">
        <f>+DB!J724</f>
        <v>0</v>
      </c>
      <c r="K724">
        <f>+DB!L724</f>
        <v>0</v>
      </c>
      <c r="L724" t="str">
        <f t="shared" si="34"/>
        <v/>
      </c>
      <c r="M724" t="str">
        <f>+IF(LEFT(DB!M724,3)="13/","CAC","MAD")</f>
        <v>MAD</v>
      </c>
      <c r="N724" t="str">
        <f>+RIGHT(DB!M724,6)</f>
        <v/>
      </c>
      <c r="O724">
        <v>95</v>
      </c>
      <c r="P724">
        <v>5</v>
      </c>
      <c r="Q724">
        <f>+DB!AB724</f>
        <v>0</v>
      </c>
      <c r="R724">
        <f>+DB!K724</f>
        <v>0</v>
      </c>
      <c r="S724">
        <f>+DB!F724</f>
        <v>0</v>
      </c>
      <c r="T724">
        <f>+IF(DB!F724="AAAC-35",1,3)</f>
        <v>3</v>
      </c>
      <c r="U724">
        <f>+DB!R724</f>
        <v>0</v>
      </c>
      <c r="V724">
        <f>+IF(DB!P724="1RI",1,0)+IF(DB!P724="2RI",2,0)</f>
        <v>0</v>
      </c>
      <c r="W724">
        <f>+IF(DB!P724="1RV",1,0)+IF(DB!P724="2RV",2,0)</f>
        <v>0</v>
      </c>
      <c r="X724">
        <f>+IF(DB!P724="RYI",1,0)</f>
        <v>0</v>
      </c>
      <c r="Y724">
        <f>+IF(DB!P724="RYV",1,0)</f>
        <v>0</v>
      </c>
      <c r="Z724">
        <f>+DB!U724</f>
        <v>0</v>
      </c>
      <c r="AA724">
        <f>+IF(DB!F724="AAAC-35",19.5,33)</f>
        <v>33</v>
      </c>
      <c r="AB724">
        <f>+DB!V724</f>
        <v>0</v>
      </c>
      <c r="AC724" t="str">
        <f t="shared" si="35"/>
        <v>56-4</v>
      </c>
      <c r="AD724" s="21" t="s">
        <v>72</v>
      </c>
      <c r="AE724">
        <f>+DB!X724</f>
        <v>0</v>
      </c>
      <c r="AF724" s="22">
        <f>+DB!Y724</f>
        <v>0</v>
      </c>
      <c r="AG724">
        <f>+DB!AK724</f>
        <v>0</v>
      </c>
    </row>
    <row r="725" spans="1:33" x14ac:dyDescent="0.2">
      <c r="A725">
        <f>+DB!C725</f>
        <v>0</v>
      </c>
      <c r="B725">
        <f>+DB!D725</f>
        <v>0</v>
      </c>
      <c r="C725">
        <f>+DB!E725</f>
        <v>0</v>
      </c>
      <c r="D725">
        <f t="shared" si="33"/>
        <v>0</v>
      </c>
      <c r="E725">
        <f>+DB!G725</f>
        <v>0</v>
      </c>
      <c r="F725">
        <f>+DB!H725</f>
        <v>0</v>
      </c>
      <c r="G725">
        <f>+DB!N725</f>
        <v>0</v>
      </c>
      <c r="H725">
        <f>+DB!O725</f>
        <v>0</v>
      </c>
      <c r="I725">
        <f>+DB!I725</f>
        <v>0</v>
      </c>
      <c r="J725">
        <f>+DB!J725</f>
        <v>0</v>
      </c>
      <c r="K725">
        <f>+DB!L725</f>
        <v>0</v>
      </c>
      <c r="L725" t="str">
        <f t="shared" si="34"/>
        <v/>
      </c>
      <c r="M725" t="str">
        <f>+IF(LEFT(DB!M725,3)="13/","CAC","MAD")</f>
        <v>MAD</v>
      </c>
      <c r="N725" t="str">
        <f>+RIGHT(DB!M725,6)</f>
        <v/>
      </c>
      <c r="O725">
        <v>95</v>
      </c>
      <c r="P725">
        <v>5</v>
      </c>
      <c r="Q725">
        <f>+DB!AB725</f>
        <v>0</v>
      </c>
      <c r="R725">
        <f>+DB!K725</f>
        <v>0</v>
      </c>
      <c r="S725">
        <f>+DB!F725</f>
        <v>0</v>
      </c>
      <c r="T725">
        <f>+IF(DB!F725="AAAC-35",1,3)</f>
        <v>3</v>
      </c>
      <c r="U725">
        <f>+DB!R725</f>
        <v>0</v>
      </c>
      <c r="V725">
        <f>+IF(DB!P725="1RI",1,0)+IF(DB!P725="2RI",2,0)</f>
        <v>0</v>
      </c>
      <c r="W725">
        <f>+IF(DB!P725="1RV",1,0)+IF(DB!P725="2RV",2,0)</f>
        <v>0</v>
      </c>
      <c r="X725">
        <f>+IF(DB!P725="RYI",1,0)</f>
        <v>0</v>
      </c>
      <c r="Y725">
        <f>+IF(DB!P725="RYV",1,0)</f>
        <v>0</v>
      </c>
      <c r="Z725">
        <f>+DB!U725</f>
        <v>0</v>
      </c>
      <c r="AA725">
        <f>+IF(DB!F725="AAAC-35",19.5,33)</f>
        <v>33</v>
      </c>
      <c r="AB725">
        <f>+DB!V725</f>
        <v>0</v>
      </c>
      <c r="AC725" t="str">
        <f t="shared" si="35"/>
        <v>56-4</v>
      </c>
      <c r="AD725" s="21" t="s">
        <v>72</v>
      </c>
      <c r="AE725">
        <f>+DB!X725</f>
        <v>0</v>
      </c>
      <c r="AF725" s="22">
        <f>+DB!Y725</f>
        <v>0</v>
      </c>
      <c r="AG725">
        <f>+DB!AK725</f>
        <v>0</v>
      </c>
    </row>
    <row r="726" spans="1:33" x14ac:dyDescent="0.2">
      <c r="A726">
        <f>+DB!C726</f>
        <v>0</v>
      </c>
      <c r="B726">
        <f>+DB!D726</f>
        <v>0</v>
      </c>
      <c r="C726">
        <f>+DB!E726</f>
        <v>0</v>
      </c>
      <c r="D726">
        <f t="shared" si="33"/>
        <v>0</v>
      </c>
      <c r="E726">
        <f>+DB!G726</f>
        <v>0</v>
      </c>
      <c r="F726">
        <f>+DB!H726</f>
        <v>0</v>
      </c>
      <c r="G726">
        <f>+DB!N726</f>
        <v>0</v>
      </c>
      <c r="H726">
        <f>+DB!O726</f>
        <v>0</v>
      </c>
      <c r="I726">
        <f>+DB!I726</f>
        <v>0</v>
      </c>
      <c r="J726">
        <f>+DB!J726</f>
        <v>0</v>
      </c>
      <c r="K726">
        <f>+DB!L726</f>
        <v>0</v>
      </c>
      <c r="L726" t="str">
        <f t="shared" si="34"/>
        <v/>
      </c>
      <c r="M726" t="str">
        <f>+IF(LEFT(DB!M726,3)="13/","CAC","MAD")</f>
        <v>MAD</v>
      </c>
      <c r="N726" t="str">
        <f>+RIGHT(DB!M726,6)</f>
        <v/>
      </c>
      <c r="O726">
        <v>95</v>
      </c>
      <c r="P726">
        <v>5</v>
      </c>
      <c r="Q726">
        <f>+DB!AB726</f>
        <v>0</v>
      </c>
      <c r="R726">
        <f>+DB!K726</f>
        <v>0</v>
      </c>
      <c r="S726">
        <f>+DB!F726</f>
        <v>0</v>
      </c>
      <c r="T726">
        <f>+IF(DB!F726="AAAC-35",1,3)</f>
        <v>3</v>
      </c>
      <c r="U726">
        <f>+DB!R726</f>
        <v>0</v>
      </c>
      <c r="V726">
        <f>+IF(DB!P726="1RI",1,0)+IF(DB!P726="2RI",2,0)</f>
        <v>0</v>
      </c>
      <c r="W726">
        <f>+IF(DB!P726="1RV",1,0)+IF(DB!P726="2RV",2,0)</f>
        <v>0</v>
      </c>
      <c r="X726">
        <f>+IF(DB!P726="RYI",1,0)</f>
        <v>0</v>
      </c>
      <c r="Y726">
        <f>+IF(DB!P726="RYV",1,0)</f>
        <v>0</v>
      </c>
      <c r="Z726">
        <f>+DB!U726</f>
        <v>0</v>
      </c>
      <c r="AA726">
        <f>+IF(DB!F726="AAAC-35",19.5,33)</f>
        <v>33</v>
      </c>
      <c r="AB726">
        <f>+DB!V726</f>
        <v>0</v>
      </c>
      <c r="AC726" t="str">
        <f t="shared" si="35"/>
        <v>56-4</v>
      </c>
      <c r="AD726" s="21" t="s">
        <v>72</v>
      </c>
      <c r="AE726">
        <f>+DB!X726</f>
        <v>0</v>
      </c>
      <c r="AF726" s="22">
        <f>+DB!Y726</f>
        <v>0</v>
      </c>
      <c r="AG726">
        <f>+DB!AK726</f>
        <v>0</v>
      </c>
    </row>
    <row r="727" spans="1:33" x14ac:dyDescent="0.2">
      <c r="A727">
        <f>+DB!C727</f>
        <v>0</v>
      </c>
      <c r="B727">
        <f>+DB!D727</f>
        <v>0</v>
      </c>
      <c r="C727">
        <f>+DB!E727</f>
        <v>0</v>
      </c>
      <c r="D727">
        <f t="shared" si="33"/>
        <v>0</v>
      </c>
      <c r="E727">
        <f>+DB!G727</f>
        <v>0</v>
      </c>
      <c r="F727">
        <f>+DB!H727</f>
        <v>0</v>
      </c>
      <c r="G727">
        <f>+DB!N727</f>
        <v>0</v>
      </c>
      <c r="H727">
        <f>+DB!O727</f>
        <v>0</v>
      </c>
      <c r="I727">
        <f>+DB!I727</f>
        <v>0</v>
      </c>
      <c r="J727">
        <f>+DB!J727</f>
        <v>0</v>
      </c>
      <c r="K727">
        <f>+DB!L727</f>
        <v>0</v>
      </c>
      <c r="L727" t="str">
        <f t="shared" si="34"/>
        <v/>
      </c>
      <c r="M727" t="str">
        <f>+IF(LEFT(DB!M727,3)="13/","CAC","MAD")</f>
        <v>MAD</v>
      </c>
      <c r="N727" t="str">
        <f>+RIGHT(DB!M727,6)</f>
        <v/>
      </c>
      <c r="O727">
        <v>95</v>
      </c>
      <c r="P727">
        <v>5</v>
      </c>
      <c r="Q727">
        <f>+DB!AB727</f>
        <v>0</v>
      </c>
      <c r="R727">
        <f>+DB!K727</f>
        <v>0</v>
      </c>
      <c r="S727">
        <f>+DB!F727</f>
        <v>0</v>
      </c>
      <c r="T727">
        <f>+IF(DB!F727="AAAC-35",1,3)</f>
        <v>3</v>
      </c>
      <c r="U727">
        <f>+DB!R727</f>
        <v>0</v>
      </c>
      <c r="V727">
        <f>+IF(DB!P727="1RI",1,0)+IF(DB!P727="2RI",2,0)</f>
        <v>0</v>
      </c>
      <c r="W727">
        <f>+IF(DB!P727="1RV",1,0)+IF(DB!P727="2RV",2,0)</f>
        <v>0</v>
      </c>
      <c r="X727">
        <f>+IF(DB!P727="RYI",1,0)</f>
        <v>0</v>
      </c>
      <c r="Y727">
        <f>+IF(DB!P727="RYV",1,0)</f>
        <v>0</v>
      </c>
      <c r="Z727">
        <f>+DB!U727</f>
        <v>0</v>
      </c>
      <c r="AA727">
        <f>+IF(DB!F727="AAAC-35",19.5,33)</f>
        <v>33</v>
      </c>
      <c r="AB727">
        <f>+DB!V727</f>
        <v>0</v>
      </c>
      <c r="AC727" t="str">
        <f t="shared" si="35"/>
        <v>56-4</v>
      </c>
      <c r="AD727" s="21" t="s">
        <v>72</v>
      </c>
      <c r="AE727">
        <f>+DB!X727</f>
        <v>0</v>
      </c>
      <c r="AF727" s="22">
        <f>+DB!Y727</f>
        <v>0</v>
      </c>
      <c r="AG727">
        <f>+DB!AK727</f>
        <v>0</v>
      </c>
    </row>
    <row r="728" spans="1:33" x14ac:dyDescent="0.2">
      <c r="A728">
        <f>+DB!C728</f>
        <v>0</v>
      </c>
      <c r="B728">
        <f>+DB!D728</f>
        <v>0</v>
      </c>
      <c r="C728">
        <f>+DB!E728</f>
        <v>0</v>
      </c>
      <c r="D728">
        <f t="shared" si="33"/>
        <v>0</v>
      </c>
      <c r="E728">
        <f>+DB!G728</f>
        <v>0</v>
      </c>
      <c r="F728">
        <f>+DB!H728</f>
        <v>0</v>
      </c>
      <c r="G728">
        <f>+DB!N728</f>
        <v>0</v>
      </c>
      <c r="H728">
        <f>+DB!O728</f>
        <v>0</v>
      </c>
      <c r="I728">
        <f>+DB!I728</f>
        <v>0</v>
      </c>
      <c r="J728">
        <f>+DB!J728</f>
        <v>0</v>
      </c>
      <c r="K728">
        <f>+DB!L728</f>
        <v>0</v>
      </c>
      <c r="L728" t="str">
        <f t="shared" si="34"/>
        <v/>
      </c>
      <c r="M728" t="str">
        <f>+IF(LEFT(DB!M728,3)="13/","CAC","MAD")</f>
        <v>MAD</v>
      </c>
      <c r="N728" t="str">
        <f>+RIGHT(DB!M728,6)</f>
        <v/>
      </c>
      <c r="O728">
        <v>95</v>
      </c>
      <c r="P728">
        <v>5</v>
      </c>
      <c r="Q728">
        <f>+DB!AB728</f>
        <v>0</v>
      </c>
      <c r="R728">
        <f>+DB!K728</f>
        <v>0</v>
      </c>
      <c r="S728">
        <f>+DB!F728</f>
        <v>0</v>
      </c>
      <c r="T728">
        <f>+IF(DB!F728="AAAC-35",1,3)</f>
        <v>3</v>
      </c>
      <c r="U728">
        <f>+DB!R728</f>
        <v>0</v>
      </c>
      <c r="V728">
        <f>+IF(DB!P728="1RI",1,0)+IF(DB!P728="2RI",2,0)</f>
        <v>0</v>
      </c>
      <c r="W728">
        <f>+IF(DB!P728="1RV",1,0)+IF(DB!P728="2RV",2,0)</f>
        <v>0</v>
      </c>
      <c r="X728">
        <f>+IF(DB!P728="RYI",1,0)</f>
        <v>0</v>
      </c>
      <c r="Y728">
        <f>+IF(DB!P728="RYV",1,0)</f>
        <v>0</v>
      </c>
      <c r="Z728">
        <f>+DB!U728</f>
        <v>0</v>
      </c>
      <c r="AA728">
        <f>+IF(DB!F728="AAAC-35",19.5,33)</f>
        <v>33</v>
      </c>
      <c r="AB728">
        <f>+DB!V728</f>
        <v>0</v>
      </c>
      <c r="AC728" t="str">
        <f t="shared" si="35"/>
        <v>56-4</v>
      </c>
      <c r="AD728" s="21" t="s">
        <v>72</v>
      </c>
      <c r="AE728">
        <f>+DB!X728</f>
        <v>0</v>
      </c>
      <c r="AF728" s="22">
        <f>+DB!Y728</f>
        <v>0</v>
      </c>
      <c r="AG728">
        <f>+DB!AK728</f>
        <v>0</v>
      </c>
    </row>
    <row r="729" spans="1:33" x14ac:dyDescent="0.2">
      <c r="A729">
        <f>+DB!C729</f>
        <v>0</v>
      </c>
      <c r="B729">
        <f>+DB!D729</f>
        <v>0</v>
      </c>
      <c r="C729">
        <f>+DB!E729</f>
        <v>0</v>
      </c>
      <c r="D729">
        <f t="shared" si="33"/>
        <v>0</v>
      </c>
      <c r="E729">
        <f>+DB!G729</f>
        <v>0</v>
      </c>
      <c r="F729">
        <f>+DB!H729</f>
        <v>0</v>
      </c>
      <c r="G729">
        <f>+DB!N729</f>
        <v>0</v>
      </c>
      <c r="H729">
        <f>+DB!O729</f>
        <v>0</v>
      </c>
      <c r="I729">
        <f>+DB!I729</f>
        <v>0</v>
      </c>
      <c r="J729">
        <f>+DB!J729</f>
        <v>0</v>
      </c>
      <c r="K729">
        <f>+DB!L729</f>
        <v>0</v>
      </c>
      <c r="L729" t="str">
        <f t="shared" si="34"/>
        <v/>
      </c>
      <c r="M729" t="str">
        <f>+IF(LEFT(DB!M729,3)="13/","CAC","MAD")</f>
        <v>MAD</v>
      </c>
      <c r="N729" t="str">
        <f>+RIGHT(DB!M729,6)</f>
        <v/>
      </c>
      <c r="O729">
        <v>95</v>
      </c>
      <c r="P729">
        <v>5</v>
      </c>
      <c r="Q729">
        <f>+DB!AB729</f>
        <v>0</v>
      </c>
      <c r="R729">
        <f>+DB!K729</f>
        <v>0</v>
      </c>
      <c r="S729">
        <f>+DB!F729</f>
        <v>0</v>
      </c>
      <c r="T729">
        <f>+IF(DB!F729="AAAC-35",1,3)</f>
        <v>3</v>
      </c>
      <c r="U729">
        <f>+DB!R729</f>
        <v>0</v>
      </c>
      <c r="V729">
        <f>+IF(DB!P729="1RI",1,0)+IF(DB!P729="2RI",2,0)</f>
        <v>0</v>
      </c>
      <c r="W729">
        <f>+IF(DB!P729="1RV",1,0)+IF(DB!P729="2RV",2,0)</f>
        <v>0</v>
      </c>
      <c r="X729">
        <f>+IF(DB!P729="RYI",1,0)</f>
        <v>0</v>
      </c>
      <c r="Y729">
        <f>+IF(DB!P729="RYV",1,0)</f>
        <v>0</v>
      </c>
      <c r="Z729">
        <f>+DB!U729</f>
        <v>0</v>
      </c>
      <c r="AA729">
        <f>+IF(DB!F729="AAAC-35",19.5,33)</f>
        <v>33</v>
      </c>
      <c r="AB729">
        <f>+DB!V729</f>
        <v>0</v>
      </c>
      <c r="AC729" t="str">
        <f t="shared" si="35"/>
        <v>56-4</v>
      </c>
      <c r="AD729" s="21" t="s">
        <v>72</v>
      </c>
      <c r="AE729">
        <f>+DB!X729</f>
        <v>0</v>
      </c>
      <c r="AF729" s="22">
        <f>+DB!Y729</f>
        <v>0</v>
      </c>
      <c r="AG729">
        <f>+DB!AK729</f>
        <v>0</v>
      </c>
    </row>
    <row r="730" spans="1:33" x14ac:dyDescent="0.2">
      <c r="A730">
        <f>+DB!C730</f>
        <v>0</v>
      </c>
      <c r="B730">
        <f>+DB!D730</f>
        <v>0</v>
      </c>
      <c r="C730">
        <f>+DB!E730</f>
        <v>0</v>
      </c>
      <c r="D730">
        <f t="shared" si="33"/>
        <v>0</v>
      </c>
      <c r="E730">
        <f>+DB!G730</f>
        <v>0</v>
      </c>
      <c r="F730">
        <f>+DB!H730</f>
        <v>0</v>
      </c>
      <c r="G730">
        <f>+DB!N730</f>
        <v>0</v>
      </c>
      <c r="H730">
        <f>+DB!O730</f>
        <v>0</v>
      </c>
      <c r="I730">
        <f>+DB!I730</f>
        <v>0</v>
      </c>
      <c r="J730">
        <f>+DB!J730</f>
        <v>0</v>
      </c>
      <c r="K730">
        <f>+DB!L730</f>
        <v>0</v>
      </c>
      <c r="L730" t="str">
        <f t="shared" si="34"/>
        <v/>
      </c>
      <c r="M730" t="str">
        <f>+IF(LEFT(DB!M730,3)="13/","CAC","MAD")</f>
        <v>MAD</v>
      </c>
      <c r="N730" t="str">
        <f>+RIGHT(DB!M730,6)</f>
        <v/>
      </c>
      <c r="O730">
        <v>95</v>
      </c>
      <c r="P730">
        <v>5</v>
      </c>
      <c r="Q730">
        <f>+DB!AB730</f>
        <v>0</v>
      </c>
      <c r="R730">
        <f>+DB!K730</f>
        <v>0</v>
      </c>
      <c r="S730">
        <f>+DB!F730</f>
        <v>0</v>
      </c>
      <c r="T730">
        <f>+IF(DB!F730="AAAC-35",1,3)</f>
        <v>3</v>
      </c>
      <c r="U730">
        <f>+DB!R730</f>
        <v>0</v>
      </c>
      <c r="V730">
        <f>+IF(DB!P730="1RI",1,0)+IF(DB!P730="2RI",2,0)</f>
        <v>0</v>
      </c>
      <c r="W730">
        <f>+IF(DB!P730="1RV",1,0)+IF(DB!P730="2RV",2,0)</f>
        <v>0</v>
      </c>
      <c r="X730">
        <f>+IF(DB!P730="RYI",1,0)</f>
        <v>0</v>
      </c>
      <c r="Y730">
        <f>+IF(DB!P730="RYV",1,0)</f>
        <v>0</v>
      </c>
      <c r="Z730">
        <f>+DB!U730</f>
        <v>0</v>
      </c>
      <c r="AA730">
        <f>+IF(DB!F730="AAAC-35",19.5,33)</f>
        <v>33</v>
      </c>
      <c r="AB730">
        <f>+DB!V730</f>
        <v>0</v>
      </c>
      <c r="AC730" t="str">
        <f t="shared" si="35"/>
        <v>56-4</v>
      </c>
      <c r="AD730" s="21" t="s">
        <v>72</v>
      </c>
      <c r="AE730">
        <f>+DB!X730</f>
        <v>0</v>
      </c>
      <c r="AF730" s="22">
        <f>+DB!Y730</f>
        <v>0</v>
      </c>
      <c r="AG730">
        <f>+DB!AK730</f>
        <v>0</v>
      </c>
    </row>
    <row r="731" spans="1:33" x14ac:dyDescent="0.2">
      <c r="A731">
        <f>+DB!C731</f>
        <v>0</v>
      </c>
      <c r="B731">
        <f>+DB!D731</f>
        <v>0</v>
      </c>
      <c r="C731">
        <f>+DB!E731</f>
        <v>0</v>
      </c>
      <c r="D731">
        <f t="shared" si="33"/>
        <v>0</v>
      </c>
      <c r="E731">
        <f>+DB!G731</f>
        <v>0</v>
      </c>
      <c r="F731">
        <f>+DB!H731</f>
        <v>0</v>
      </c>
      <c r="G731">
        <f>+DB!N731</f>
        <v>0</v>
      </c>
      <c r="H731">
        <f>+DB!O731</f>
        <v>0</v>
      </c>
      <c r="I731">
        <f>+DB!I731</f>
        <v>0</v>
      </c>
      <c r="J731">
        <f>+DB!J731</f>
        <v>0</v>
      </c>
      <c r="K731">
        <f>+DB!L731</f>
        <v>0</v>
      </c>
      <c r="L731" t="str">
        <f t="shared" si="34"/>
        <v/>
      </c>
      <c r="M731" t="str">
        <f>+IF(LEFT(DB!M731,3)="13/","CAC","MAD")</f>
        <v>MAD</v>
      </c>
      <c r="N731" t="str">
        <f>+RIGHT(DB!M731,6)</f>
        <v/>
      </c>
      <c r="O731">
        <v>95</v>
      </c>
      <c r="P731">
        <v>5</v>
      </c>
      <c r="Q731">
        <f>+DB!AB731</f>
        <v>0</v>
      </c>
      <c r="R731">
        <f>+DB!K731</f>
        <v>0</v>
      </c>
      <c r="S731">
        <f>+DB!F731</f>
        <v>0</v>
      </c>
      <c r="T731">
        <f>+IF(DB!F731="AAAC-35",1,3)</f>
        <v>3</v>
      </c>
      <c r="U731">
        <f>+DB!R731</f>
        <v>0</v>
      </c>
      <c r="V731">
        <f>+IF(DB!P731="1RI",1,0)+IF(DB!P731="2RI",2,0)</f>
        <v>0</v>
      </c>
      <c r="W731">
        <f>+IF(DB!P731="1RV",1,0)+IF(DB!P731="2RV",2,0)</f>
        <v>0</v>
      </c>
      <c r="X731">
        <f>+IF(DB!P731="RYI",1,0)</f>
        <v>0</v>
      </c>
      <c r="Y731">
        <f>+IF(DB!P731="RYV",1,0)</f>
        <v>0</v>
      </c>
      <c r="Z731">
        <f>+DB!U731</f>
        <v>0</v>
      </c>
      <c r="AA731">
        <f>+IF(DB!F731="AAAC-35",19.5,33)</f>
        <v>33</v>
      </c>
      <c r="AB731">
        <f>+DB!V731</f>
        <v>0</v>
      </c>
      <c r="AC731" t="str">
        <f t="shared" si="35"/>
        <v>56-4</v>
      </c>
      <c r="AD731" s="21" t="s">
        <v>72</v>
      </c>
      <c r="AE731">
        <f>+DB!X731</f>
        <v>0</v>
      </c>
      <c r="AF731" s="22">
        <f>+DB!Y731</f>
        <v>0</v>
      </c>
      <c r="AG731">
        <f>+DB!AK731</f>
        <v>0</v>
      </c>
    </row>
    <row r="732" spans="1:33" x14ac:dyDescent="0.2">
      <c r="A732">
        <f>+DB!C732</f>
        <v>0</v>
      </c>
      <c r="B732">
        <f>+DB!D732</f>
        <v>0</v>
      </c>
      <c r="C732">
        <f>+DB!E732</f>
        <v>0</v>
      </c>
      <c r="D732">
        <f t="shared" si="33"/>
        <v>0</v>
      </c>
      <c r="E732">
        <f>+DB!G732</f>
        <v>0</v>
      </c>
      <c r="F732">
        <f>+DB!H732</f>
        <v>0</v>
      </c>
      <c r="G732">
        <f>+DB!N732</f>
        <v>0</v>
      </c>
      <c r="H732">
        <f>+DB!O732</f>
        <v>0</v>
      </c>
      <c r="I732">
        <f>+DB!I732</f>
        <v>0</v>
      </c>
      <c r="J732">
        <f>+DB!J732</f>
        <v>0</v>
      </c>
      <c r="K732">
        <f>+DB!L732</f>
        <v>0</v>
      </c>
      <c r="L732" t="str">
        <f t="shared" si="34"/>
        <v/>
      </c>
      <c r="M732" t="str">
        <f>+IF(LEFT(DB!M732,3)="13/","CAC","MAD")</f>
        <v>MAD</v>
      </c>
      <c r="N732" t="str">
        <f>+RIGHT(DB!M732,6)</f>
        <v/>
      </c>
      <c r="O732">
        <v>95</v>
      </c>
      <c r="P732">
        <v>5</v>
      </c>
      <c r="Q732">
        <f>+DB!AB732</f>
        <v>0</v>
      </c>
      <c r="R732">
        <f>+DB!K732</f>
        <v>0</v>
      </c>
      <c r="S732">
        <f>+DB!F732</f>
        <v>0</v>
      </c>
      <c r="T732">
        <f>+IF(DB!F732="AAAC-35",1,3)</f>
        <v>3</v>
      </c>
      <c r="U732">
        <f>+DB!R732</f>
        <v>0</v>
      </c>
      <c r="V732">
        <f>+IF(DB!P732="1RI",1,0)+IF(DB!P732="2RI",2,0)</f>
        <v>0</v>
      </c>
      <c r="W732">
        <f>+IF(DB!P732="1RV",1,0)+IF(DB!P732="2RV",2,0)</f>
        <v>0</v>
      </c>
      <c r="X732">
        <f>+IF(DB!P732="RYI",1,0)</f>
        <v>0</v>
      </c>
      <c r="Y732">
        <f>+IF(DB!P732="RYV",1,0)</f>
        <v>0</v>
      </c>
      <c r="Z732">
        <f>+DB!U732</f>
        <v>0</v>
      </c>
      <c r="AA732">
        <f>+IF(DB!F732="AAAC-35",19.5,33)</f>
        <v>33</v>
      </c>
      <c r="AB732">
        <f>+DB!V732</f>
        <v>0</v>
      </c>
      <c r="AC732" t="str">
        <f t="shared" si="35"/>
        <v>56-4</v>
      </c>
      <c r="AD732" s="21" t="s">
        <v>72</v>
      </c>
      <c r="AE732">
        <f>+DB!X732</f>
        <v>0</v>
      </c>
      <c r="AF732" s="22">
        <f>+DB!Y732</f>
        <v>0</v>
      </c>
      <c r="AG732">
        <f>+DB!AK732</f>
        <v>0</v>
      </c>
    </row>
    <row r="733" spans="1:33" x14ac:dyDescent="0.2">
      <c r="A733">
        <f>+DB!C733</f>
        <v>0</v>
      </c>
      <c r="B733">
        <f>+DB!D733</f>
        <v>0</v>
      </c>
      <c r="C733">
        <f>+DB!E733</f>
        <v>0</v>
      </c>
      <c r="D733">
        <f t="shared" si="33"/>
        <v>0</v>
      </c>
      <c r="E733">
        <f>+DB!G733</f>
        <v>0</v>
      </c>
      <c r="F733">
        <f>+DB!H733</f>
        <v>0</v>
      </c>
      <c r="G733">
        <f>+DB!N733</f>
        <v>0</v>
      </c>
      <c r="H733">
        <f>+DB!O733</f>
        <v>0</v>
      </c>
      <c r="I733">
        <f>+DB!I733</f>
        <v>0</v>
      </c>
      <c r="J733">
        <f>+DB!J733</f>
        <v>0</v>
      </c>
      <c r="K733">
        <f>+DB!L733</f>
        <v>0</v>
      </c>
      <c r="L733" t="str">
        <f t="shared" si="34"/>
        <v/>
      </c>
      <c r="M733" t="str">
        <f>+IF(LEFT(DB!M733,3)="13/","CAC","MAD")</f>
        <v>MAD</v>
      </c>
      <c r="N733" t="str">
        <f>+RIGHT(DB!M733,6)</f>
        <v/>
      </c>
      <c r="O733">
        <v>95</v>
      </c>
      <c r="P733">
        <v>5</v>
      </c>
      <c r="Q733">
        <f>+DB!AB733</f>
        <v>0</v>
      </c>
      <c r="R733">
        <f>+DB!K733</f>
        <v>0</v>
      </c>
      <c r="S733">
        <f>+DB!F733</f>
        <v>0</v>
      </c>
      <c r="T733">
        <f>+IF(DB!F733="AAAC-35",1,3)</f>
        <v>3</v>
      </c>
      <c r="U733">
        <f>+DB!R733</f>
        <v>0</v>
      </c>
      <c r="V733">
        <f>+IF(DB!P733="1RI",1,0)+IF(DB!P733="2RI",2,0)</f>
        <v>0</v>
      </c>
      <c r="W733">
        <f>+IF(DB!P733="1RV",1,0)+IF(DB!P733="2RV",2,0)</f>
        <v>0</v>
      </c>
      <c r="X733">
        <f>+IF(DB!P733="RYI",1,0)</f>
        <v>0</v>
      </c>
      <c r="Y733">
        <f>+IF(DB!P733="RYV",1,0)</f>
        <v>0</v>
      </c>
      <c r="Z733">
        <f>+DB!U733</f>
        <v>0</v>
      </c>
      <c r="AA733">
        <f>+IF(DB!F733="AAAC-35",19.5,33)</f>
        <v>33</v>
      </c>
      <c r="AB733">
        <f>+DB!V733</f>
        <v>0</v>
      </c>
      <c r="AC733" t="str">
        <f t="shared" si="35"/>
        <v>56-4</v>
      </c>
      <c r="AD733" s="21" t="s">
        <v>72</v>
      </c>
      <c r="AE733">
        <f>+DB!X733</f>
        <v>0</v>
      </c>
      <c r="AF733" s="22">
        <f>+DB!Y733</f>
        <v>0</v>
      </c>
      <c r="AG733">
        <f>+DB!AK733</f>
        <v>0</v>
      </c>
    </row>
    <row r="734" spans="1:33" x14ac:dyDescent="0.2">
      <c r="A734">
        <f>+DB!C734</f>
        <v>0</v>
      </c>
      <c r="B734">
        <f>+DB!D734</f>
        <v>0</v>
      </c>
      <c r="C734">
        <f>+DB!E734</f>
        <v>0</v>
      </c>
      <c r="D734">
        <f t="shared" si="33"/>
        <v>0</v>
      </c>
      <c r="E734">
        <f>+DB!G734</f>
        <v>0</v>
      </c>
      <c r="F734">
        <f>+DB!H734</f>
        <v>0</v>
      </c>
      <c r="G734">
        <f>+DB!N734</f>
        <v>0</v>
      </c>
      <c r="H734">
        <f>+DB!O734</f>
        <v>0</v>
      </c>
      <c r="I734">
        <f>+DB!I734</f>
        <v>0</v>
      </c>
      <c r="J734">
        <f>+DB!J734</f>
        <v>0</v>
      </c>
      <c r="K734">
        <f>+DB!L734</f>
        <v>0</v>
      </c>
      <c r="L734" t="str">
        <f t="shared" si="34"/>
        <v/>
      </c>
      <c r="M734" t="str">
        <f>+IF(LEFT(DB!M734,3)="13/","CAC","MAD")</f>
        <v>MAD</v>
      </c>
      <c r="N734" t="str">
        <f>+RIGHT(DB!M734,6)</f>
        <v/>
      </c>
      <c r="O734">
        <v>95</v>
      </c>
      <c r="P734">
        <v>5</v>
      </c>
      <c r="Q734">
        <f>+DB!AB734</f>
        <v>0</v>
      </c>
      <c r="R734">
        <f>+DB!K734</f>
        <v>0</v>
      </c>
      <c r="S734">
        <f>+DB!F734</f>
        <v>0</v>
      </c>
      <c r="T734">
        <f>+IF(DB!F734="AAAC-35",1,3)</f>
        <v>3</v>
      </c>
      <c r="U734">
        <f>+DB!R734</f>
        <v>0</v>
      </c>
      <c r="V734">
        <f>+IF(DB!P734="1RI",1,0)+IF(DB!P734="2RI",2,0)</f>
        <v>0</v>
      </c>
      <c r="W734">
        <f>+IF(DB!P734="1RV",1,0)+IF(DB!P734="2RV",2,0)</f>
        <v>0</v>
      </c>
      <c r="X734">
        <f>+IF(DB!P734="RYI",1,0)</f>
        <v>0</v>
      </c>
      <c r="Y734">
        <f>+IF(DB!P734="RYV",1,0)</f>
        <v>0</v>
      </c>
      <c r="Z734">
        <f>+DB!U734</f>
        <v>0</v>
      </c>
      <c r="AA734">
        <f>+IF(DB!F734="AAAC-35",19.5,33)</f>
        <v>33</v>
      </c>
      <c r="AB734">
        <f>+DB!V734</f>
        <v>0</v>
      </c>
      <c r="AC734" t="str">
        <f t="shared" si="35"/>
        <v>56-4</v>
      </c>
      <c r="AD734" s="21" t="s">
        <v>72</v>
      </c>
      <c r="AE734">
        <f>+DB!X734</f>
        <v>0</v>
      </c>
      <c r="AF734" s="22">
        <f>+DB!Y734</f>
        <v>0</v>
      </c>
      <c r="AG734">
        <f>+DB!AK734</f>
        <v>0</v>
      </c>
    </row>
    <row r="735" spans="1:33" x14ac:dyDescent="0.2">
      <c r="A735">
        <f>+DB!C735</f>
        <v>0</v>
      </c>
      <c r="B735">
        <f>+DB!D735</f>
        <v>0</v>
      </c>
      <c r="C735">
        <f>+DB!E735</f>
        <v>0</v>
      </c>
      <c r="D735">
        <f t="shared" si="33"/>
        <v>0</v>
      </c>
      <c r="E735">
        <f>+DB!G735</f>
        <v>0</v>
      </c>
      <c r="F735">
        <f>+DB!H735</f>
        <v>0</v>
      </c>
      <c r="G735">
        <f>+DB!N735</f>
        <v>0</v>
      </c>
      <c r="H735">
        <f>+DB!O735</f>
        <v>0</v>
      </c>
      <c r="I735">
        <f>+DB!I735</f>
        <v>0</v>
      </c>
      <c r="J735">
        <f>+DB!J735</f>
        <v>0</v>
      </c>
      <c r="K735">
        <f>+DB!L735</f>
        <v>0</v>
      </c>
      <c r="L735" t="str">
        <f t="shared" si="34"/>
        <v/>
      </c>
      <c r="M735" t="str">
        <f>+IF(LEFT(DB!M735,3)="13/","CAC","MAD")</f>
        <v>MAD</v>
      </c>
      <c r="N735" t="str">
        <f>+RIGHT(DB!M735,6)</f>
        <v/>
      </c>
      <c r="O735">
        <v>95</v>
      </c>
      <c r="P735">
        <v>5</v>
      </c>
      <c r="Q735">
        <f>+DB!AB735</f>
        <v>0</v>
      </c>
      <c r="R735">
        <f>+DB!K735</f>
        <v>0</v>
      </c>
      <c r="S735">
        <f>+DB!F735</f>
        <v>0</v>
      </c>
      <c r="T735">
        <f>+IF(DB!F735="AAAC-35",1,3)</f>
        <v>3</v>
      </c>
      <c r="U735">
        <f>+DB!R735</f>
        <v>0</v>
      </c>
      <c r="V735">
        <f>+IF(DB!P735="1RI",1,0)+IF(DB!P735="2RI",2,0)</f>
        <v>0</v>
      </c>
      <c r="W735">
        <f>+IF(DB!P735="1RV",1,0)+IF(DB!P735="2RV",2,0)</f>
        <v>0</v>
      </c>
      <c r="X735">
        <f>+IF(DB!P735="RYI",1,0)</f>
        <v>0</v>
      </c>
      <c r="Y735">
        <f>+IF(DB!P735="RYV",1,0)</f>
        <v>0</v>
      </c>
      <c r="Z735">
        <f>+DB!U735</f>
        <v>0</v>
      </c>
      <c r="AA735">
        <f>+IF(DB!F735="AAAC-35",19.5,33)</f>
        <v>33</v>
      </c>
      <c r="AB735">
        <f>+DB!V735</f>
        <v>0</v>
      </c>
      <c r="AC735" t="str">
        <f t="shared" si="35"/>
        <v>56-4</v>
      </c>
      <c r="AD735" s="21" t="s">
        <v>72</v>
      </c>
      <c r="AE735">
        <f>+DB!X735</f>
        <v>0</v>
      </c>
      <c r="AF735" s="22">
        <f>+DB!Y735</f>
        <v>0</v>
      </c>
      <c r="AG735">
        <f>+DB!AK735</f>
        <v>0</v>
      </c>
    </row>
    <row r="736" spans="1:33" x14ac:dyDescent="0.2">
      <c r="A736">
        <f>+DB!C736</f>
        <v>0</v>
      </c>
      <c r="B736">
        <f>+DB!D736</f>
        <v>0</v>
      </c>
      <c r="C736">
        <f>+DB!E736</f>
        <v>0</v>
      </c>
      <c r="D736">
        <f t="shared" si="33"/>
        <v>0</v>
      </c>
      <c r="E736">
        <f>+DB!G736</f>
        <v>0</v>
      </c>
      <c r="F736">
        <f>+DB!H736</f>
        <v>0</v>
      </c>
      <c r="G736">
        <f>+DB!N736</f>
        <v>0</v>
      </c>
      <c r="H736">
        <f>+DB!O736</f>
        <v>0</v>
      </c>
      <c r="I736">
        <f>+DB!I736</f>
        <v>0</v>
      </c>
      <c r="J736">
        <f>+DB!J736</f>
        <v>0</v>
      </c>
      <c r="K736">
        <f>+DB!L736</f>
        <v>0</v>
      </c>
      <c r="L736" t="str">
        <f t="shared" si="34"/>
        <v/>
      </c>
      <c r="M736" t="str">
        <f>+IF(LEFT(DB!M736,3)="13/","CAC","MAD")</f>
        <v>MAD</v>
      </c>
      <c r="N736" t="str">
        <f>+RIGHT(DB!M736,6)</f>
        <v/>
      </c>
      <c r="O736">
        <v>95</v>
      </c>
      <c r="P736">
        <v>5</v>
      </c>
      <c r="Q736">
        <f>+DB!AB736</f>
        <v>0</v>
      </c>
      <c r="R736">
        <f>+DB!K736</f>
        <v>0</v>
      </c>
      <c r="S736">
        <f>+DB!F736</f>
        <v>0</v>
      </c>
      <c r="T736">
        <f>+IF(DB!F736="AAAC-35",1,3)</f>
        <v>3</v>
      </c>
      <c r="U736">
        <f>+DB!R736</f>
        <v>0</v>
      </c>
      <c r="V736">
        <f>+IF(DB!P736="1RI",1,0)+IF(DB!P736="2RI",2,0)</f>
        <v>0</v>
      </c>
      <c r="W736">
        <f>+IF(DB!P736="1RV",1,0)+IF(DB!P736="2RV",2,0)</f>
        <v>0</v>
      </c>
      <c r="X736">
        <f>+IF(DB!P736="RYI",1,0)</f>
        <v>0</v>
      </c>
      <c r="Y736">
        <f>+IF(DB!P736="RYV",1,0)</f>
        <v>0</v>
      </c>
      <c r="Z736">
        <f>+DB!U736</f>
        <v>0</v>
      </c>
      <c r="AA736">
        <f>+IF(DB!F736="AAAC-35",19.5,33)</f>
        <v>33</v>
      </c>
      <c r="AB736">
        <f>+DB!V736</f>
        <v>0</v>
      </c>
      <c r="AC736" t="str">
        <f t="shared" si="35"/>
        <v>56-4</v>
      </c>
      <c r="AD736" s="21" t="s">
        <v>72</v>
      </c>
      <c r="AE736">
        <f>+DB!X736</f>
        <v>0</v>
      </c>
      <c r="AF736" s="22">
        <f>+DB!Y736</f>
        <v>0</v>
      </c>
      <c r="AG736">
        <f>+DB!AK736</f>
        <v>0</v>
      </c>
    </row>
    <row r="737" spans="1:33" x14ac:dyDescent="0.2">
      <c r="A737">
        <f>+DB!C737</f>
        <v>0</v>
      </c>
      <c r="B737">
        <f>+DB!D737</f>
        <v>0</v>
      </c>
      <c r="C737">
        <f>+DB!E737</f>
        <v>0</v>
      </c>
      <c r="D737">
        <f t="shared" si="33"/>
        <v>0</v>
      </c>
      <c r="E737">
        <f>+DB!G737</f>
        <v>0</v>
      </c>
      <c r="F737">
        <f>+DB!H737</f>
        <v>0</v>
      </c>
      <c r="G737">
        <f>+DB!N737</f>
        <v>0</v>
      </c>
      <c r="H737">
        <f>+DB!O737</f>
        <v>0</v>
      </c>
      <c r="I737">
        <f>+DB!I737</f>
        <v>0</v>
      </c>
      <c r="J737">
        <f>+DB!J737</f>
        <v>0</v>
      </c>
      <c r="K737">
        <f>+DB!L737</f>
        <v>0</v>
      </c>
      <c r="L737" t="str">
        <f t="shared" si="34"/>
        <v/>
      </c>
      <c r="M737" t="str">
        <f>+IF(LEFT(DB!M737,3)="13/","CAC","MAD")</f>
        <v>MAD</v>
      </c>
      <c r="N737" t="str">
        <f>+RIGHT(DB!M737,6)</f>
        <v/>
      </c>
      <c r="O737">
        <v>95</v>
      </c>
      <c r="P737">
        <v>5</v>
      </c>
      <c r="Q737">
        <f>+DB!AB737</f>
        <v>0</v>
      </c>
      <c r="R737">
        <f>+DB!K737</f>
        <v>0</v>
      </c>
      <c r="S737">
        <f>+DB!F737</f>
        <v>0</v>
      </c>
      <c r="T737">
        <f>+IF(DB!F737="AAAC-35",1,3)</f>
        <v>3</v>
      </c>
      <c r="U737">
        <f>+DB!R737</f>
        <v>0</v>
      </c>
      <c r="V737">
        <f>+IF(DB!P737="1RI",1,0)+IF(DB!P737="2RI",2,0)</f>
        <v>0</v>
      </c>
      <c r="W737">
        <f>+IF(DB!P737="1RV",1,0)+IF(DB!P737="2RV",2,0)</f>
        <v>0</v>
      </c>
      <c r="X737">
        <f>+IF(DB!P737="RYI",1,0)</f>
        <v>0</v>
      </c>
      <c r="Y737">
        <f>+IF(DB!P737="RYV",1,0)</f>
        <v>0</v>
      </c>
      <c r="Z737">
        <f>+DB!U737</f>
        <v>0</v>
      </c>
      <c r="AA737">
        <f>+IF(DB!F737="AAAC-35",19.5,33)</f>
        <v>33</v>
      </c>
      <c r="AB737">
        <f>+DB!V737</f>
        <v>0</v>
      </c>
      <c r="AC737" t="str">
        <f t="shared" si="35"/>
        <v>56-4</v>
      </c>
      <c r="AD737" s="21" t="s">
        <v>72</v>
      </c>
      <c r="AE737">
        <f>+DB!X737</f>
        <v>0</v>
      </c>
      <c r="AF737" s="22">
        <f>+DB!Y737</f>
        <v>0</v>
      </c>
      <c r="AG737">
        <f>+DB!AK737</f>
        <v>0</v>
      </c>
    </row>
    <row r="738" spans="1:33" x14ac:dyDescent="0.2">
      <c r="A738">
        <f>+DB!C738</f>
        <v>0</v>
      </c>
      <c r="B738">
        <f>+DB!D738</f>
        <v>0</v>
      </c>
      <c r="C738">
        <f>+DB!E738</f>
        <v>0</v>
      </c>
      <c r="D738">
        <f t="shared" si="33"/>
        <v>0</v>
      </c>
      <c r="E738">
        <f>+DB!G738</f>
        <v>0</v>
      </c>
      <c r="F738">
        <f>+DB!H738</f>
        <v>0</v>
      </c>
      <c r="G738">
        <f>+DB!N738</f>
        <v>0</v>
      </c>
      <c r="H738">
        <f>+DB!O738</f>
        <v>0</v>
      </c>
      <c r="I738">
        <f>+DB!I738</f>
        <v>0</v>
      </c>
      <c r="J738">
        <f>+DB!J738</f>
        <v>0</v>
      </c>
      <c r="K738">
        <f>+DB!L738</f>
        <v>0</v>
      </c>
      <c r="L738" t="str">
        <f t="shared" si="34"/>
        <v/>
      </c>
      <c r="M738" t="str">
        <f>+IF(LEFT(DB!M738,3)="13/","CAC","MAD")</f>
        <v>MAD</v>
      </c>
      <c r="N738" t="str">
        <f>+RIGHT(DB!M738,6)</f>
        <v/>
      </c>
      <c r="O738">
        <v>95</v>
      </c>
      <c r="P738">
        <v>5</v>
      </c>
      <c r="Q738">
        <f>+DB!AB738</f>
        <v>0</v>
      </c>
      <c r="R738">
        <f>+DB!K738</f>
        <v>0</v>
      </c>
      <c r="S738">
        <f>+DB!F738</f>
        <v>0</v>
      </c>
      <c r="T738">
        <f>+IF(DB!F738="AAAC-35",1,3)</f>
        <v>3</v>
      </c>
      <c r="U738">
        <f>+DB!R738</f>
        <v>0</v>
      </c>
      <c r="V738">
        <f>+IF(DB!P738="1RI",1,0)+IF(DB!P738="2RI",2,0)</f>
        <v>0</v>
      </c>
      <c r="W738">
        <f>+IF(DB!P738="1RV",1,0)+IF(DB!P738="2RV",2,0)</f>
        <v>0</v>
      </c>
      <c r="X738">
        <f>+IF(DB!P738="RYI",1,0)</f>
        <v>0</v>
      </c>
      <c r="Y738">
        <f>+IF(DB!P738="RYV",1,0)</f>
        <v>0</v>
      </c>
      <c r="Z738">
        <f>+DB!U738</f>
        <v>0</v>
      </c>
      <c r="AA738">
        <f>+IF(DB!F738="AAAC-35",19.5,33)</f>
        <v>33</v>
      </c>
      <c r="AB738">
        <f>+DB!V738</f>
        <v>0</v>
      </c>
      <c r="AC738" t="str">
        <f t="shared" si="35"/>
        <v>56-4</v>
      </c>
      <c r="AD738" s="21" t="s">
        <v>72</v>
      </c>
      <c r="AE738">
        <f>+DB!X738</f>
        <v>0</v>
      </c>
      <c r="AF738" s="22">
        <f>+DB!Y738</f>
        <v>0</v>
      </c>
      <c r="AG738">
        <f>+DB!AK738</f>
        <v>0</v>
      </c>
    </row>
    <row r="739" spans="1:33" x14ac:dyDescent="0.2">
      <c r="A739">
        <f>+DB!C739</f>
        <v>0</v>
      </c>
      <c r="B739">
        <f>+DB!D739</f>
        <v>0</v>
      </c>
      <c r="C739">
        <f>+DB!E739</f>
        <v>0</v>
      </c>
      <c r="D739">
        <f t="shared" si="33"/>
        <v>0</v>
      </c>
      <c r="E739">
        <f>+DB!G739</f>
        <v>0</v>
      </c>
      <c r="F739">
        <f>+DB!H739</f>
        <v>0</v>
      </c>
      <c r="G739">
        <f>+DB!N739</f>
        <v>0</v>
      </c>
      <c r="H739">
        <f>+DB!O739</f>
        <v>0</v>
      </c>
      <c r="I739">
        <f>+DB!I739</f>
        <v>0</v>
      </c>
      <c r="J739">
        <f>+DB!J739</f>
        <v>0</v>
      </c>
      <c r="K739">
        <f>+DB!L739</f>
        <v>0</v>
      </c>
      <c r="L739" t="str">
        <f t="shared" si="34"/>
        <v/>
      </c>
      <c r="M739" t="str">
        <f>+IF(LEFT(DB!M739,3)="13/","CAC","MAD")</f>
        <v>MAD</v>
      </c>
      <c r="N739" t="str">
        <f>+RIGHT(DB!M739,6)</f>
        <v/>
      </c>
      <c r="O739">
        <v>95</v>
      </c>
      <c r="P739">
        <v>5</v>
      </c>
      <c r="Q739">
        <f>+DB!AB739</f>
        <v>0</v>
      </c>
      <c r="R739">
        <f>+DB!K739</f>
        <v>0</v>
      </c>
      <c r="S739">
        <f>+DB!F739</f>
        <v>0</v>
      </c>
      <c r="T739">
        <f>+IF(DB!F739="AAAC-35",1,3)</f>
        <v>3</v>
      </c>
      <c r="U739">
        <f>+DB!R739</f>
        <v>0</v>
      </c>
      <c r="V739">
        <f>+IF(DB!P739="1RI",1,0)+IF(DB!P739="2RI",2,0)</f>
        <v>0</v>
      </c>
      <c r="W739">
        <f>+IF(DB!P739="1RV",1,0)+IF(DB!P739="2RV",2,0)</f>
        <v>0</v>
      </c>
      <c r="X739">
        <f>+IF(DB!P739="RYI",1,0)</f>
        <v>0</v>
      </c>
      <c r="Y739">
        <f>+IF(DB!P739="RYV",1,0)</f>
        <v>0</v>
      </c>
      <c r="Z739">
        <f>+DB!U739</f>
        <v>0</v>
      </c>
      <c r="AA739">
        <f>+IF(DB!F739="AAAC-35",19.5,33)</f>
        <v>33</v>
      </c>
      <c r="AB739">
        <f>+DB!V739</f>
        <v>0</v>
      </c>
      <c r="AC739" t="str">
        <f t="shared" si="35"/>
        <v>56-4</v>
      </c>
      <c r="AD739" s="21" t="s">
        <v>72</v>
      </c>
      <c r="AE739">
        <f>+DB!X739</f>
        <v>0</v>
      </c>
      <c r="AF739" s="22">
        <f>+DB!Y739</f>
        <v>0</v>
      </c>
      <c r="AG739">
        <f>+DB!AK739</f>
        <v>0</v>
      </c>
    </row>
    <row r="740" spans="1:33" x14ac:dyDescent="0.2">
      <c r="A740">
        <f>+DB!C740</f>
        <v>0</v>
      </c>
      <c r="B740">
        <f>+DB!D740</f>
        <v>0</v>
      </c>
      <c r="C740">
        <f>+DB!E740</f>
        <v>0</v>
      </c>
      <c r="D740">
        <f t="shared" si="33"/>
        <v>0</v>
      </c>
      <c r="E740">
        <f>+DB!G740</f>
        <v>0</v>
      </c>
      <c r="F740">
        <f>+DB!H740</f>
        <v>0</v>
      </c>
      <c r="G740">
        <f>+DB!N740</f>
        <v>0</v>
      </c>
      <c r="H740">
        <f>+DB!O740</f>
        <v>0</v>
      </c>
      <c r="I740">
        <f>+DB!I740</f>
        <v>0</v>
      </c>
      <c r="J740">
        <f>+DB!J740</f>
        <v>0</v>
      </c>
      <c r="K740">
        <f>+DB!L740</f>
        <v>0</v>
      </c>
      <c r="L740" t="str">
        <f t="shared" si="34"/>
        <v/>
      </c>
      <c r="M740" t="str">
        <f>+IF(LEFT(DB!M740,3)="13/","CAC","MAD")</f>
        <v>MAD</v>
      </c>
      <c r="N740" t="str">
        <f>+RIGHT(DB!M740,6)</f>
        <v/>
      </c>
      <c r="O740">
        <v>95</v>
      </c>
      <c r="P740">
        <v>5</v>
      </c>
      <c r="Q740">
        <f>+DB!AB740</f>
        <v>0</v>
      </c>
      <c r="R740">
        <f>+DB!K740</f>
        <v>0</v>
      </c>
      <c r="S740">
        <f>+DB!F740</f>
        <v>0</v>
      </c>
      <c r="T740">
        <f>+IF(DB!F740="AAAC-35",1,3)</f>
        <v>3</v>
      </c>
      <c r="U740">
        <f>+DB!R740</f>
        <v>0</v>
      </c>
      <c r="V740">
        <f>+IF(DB!P740="1RI",1,0)+IF(DB!P740="2RI",2,0)</f>
        <v>0</v>
      </c>
      <c r="W740">
        <f>+IF(DB!P740="1RV",1,0)+IF(DB!P740="2RV",2,0)</f>
        <v>0</v>
      </c>
      <c r="X740">
        <f>+IF(DB!P740="RYI",1,0)</f>
        <v>0</v>
      </c>
      <c r="Y740">
        <f>+IF(DB!P740="RYV",1,0)</f>
        <v>0</v>
      </c>
      <c r="Z740">
        <f>+DB!U740</f>
        <v>0</v>
      </c>
      <c r="AA740">
        <f>+IF(DB!F740="AAAC-35",19.5,33)</f>
        <v>33</v>
      </c>
      <c r="AB740">
        <f>+DB!V740</f>
        <v>0</v>
      </c>
      <c r="AC740" t="str">
        <f t="shared" si="35"/>
        <v>56-4</v>
      </c>
      <c r="AD740" s="21" t="s">
        <v>72</v>
      </c>
      <c r="AE740">
        <f>+DB!X740</f>
        <v>0</v>
      </c>
      <c r="AF740" s="22">
        <f>+DB!Y740</f>
        <v>0</v>
      </c>
      <c r="AG740">
        <f>+DB!AK740</f>
        <v>0</v>
      </c>
    </row>
    <row r="741" spans="1:33" x14ac:dyDescent="0.2">
      <c r="A741">
        <f>+DB!C741</f>
        <v>0</v>
      </c>
      <c r="B741">
        <f>+DB!D741</f>
        <v>0</v>
      </c>
      <c r="C741">
        <f>+DB!E741</f>
        <v>0</v>
      </c>
      <c r="D741">
        <f t="shared" si="33"/>
        <v>0</v>
      </c>
      <c r="E741">
        <f>+DB!G741</f>
        <v>0</v>
      </c>
      <c r="F741">
        <f>+DB!H741</f>
        <v>0</v>
      </c>
      <c r="G741">
        <f>+DB!N741</f>
        <v>0</v>
      </c>
      <c r="H741">
        <f>+DB!O741</f>
        <v>0</v>
      </c>
      <c r="I741">
        <f>+DB!I741</f>
        <v>0</v>
      </c>
      <c r="J741">
        <f>+DB!J741</f>
        <v>0</v>
      </c>
      <c r="K741">
        <f>+DB!L741</f>
        <v>0</v>
      </c>
      <c r="L741" t="str">
        <f t="shared" si="34"/>
        <v/>
      </c>
      <c r="M741" t="str">
        <f>+IF(LEFT(DB!M741,3)="13/","CAC","MAD")</f>
        <v>MAD</v>
      </c>
      <c r="N741" t="str">
        <f>+RIGHT(DB!M741,6)</f>
        <v/>
      </c>
      <c r="O741">
        <v>95</v>
      </c>
      <c r="P741">
        <v>5</v>
      </c>
      <c r="Q741">
        <f>+DB!AB741</f>
        <v>0</v>
      </c>
      <c r="R741">
        <f>+DB!K741</f>
        <v>0</v>
      </c>
      <c r="S741">
        <f>+DB!F741</f>
        <v>0</v>
      </c>
      <c r="T741">
        <f>+IF(DB!F741="AAAC-35",1,3)</f>
        <v>3</v>
      </c>
      <c r="U741">
        <f>+DB!R741</f>
        <v>0</v>
      </c>
      <c r="V741">
        <f>+IF(DB!P741="1RI",1,0)+IF(DB!P741="2RI",2,0)</f>
        <v>0</v>
      </c>
      <c r="W741">
        <f>+IF(DB!P741="1RV",1,0)+IF(DB!P741="2RV",2,0)</f>
        <v>0</v>
      </c>
      <c r="X741">
        <f>+IF(DB!P741="RYI",1,0)</f>
        <v>0</v>
      </c>
      <c r="Y741">
        <f>+IF(DB!P741="RYV",1,0)</f>
        <v>0</v>
      </c>
      <c r="Z741">
        <f>+DB!U741</f>
        <v>0</v>
      </c>
      <c r="AA741">
        <f>+IF(DB!F741="AAAC-35",19.5,33)</f>
        <v>33</v>
      </c>
      <c r="AB741">
        <f>+DB!V741</f>
        <v>0</v>
      </c>
      <c r="AC741" t="str">
        <f t="shared" si="35"/>
        <v>56-4</v>
      </c>
      <c r="AD741" s="21" t="s">
        <v>72</v>
      </c>
      <c r="AE741">
        <f>+DB!X741</f>
        <v>0</v>
      </c>
      <c r="AF741" s="22">
        <f>+DB!Y741</f>
        <v>0</v>
      </c>
      <c r="AG741">
        <f>+DB!AK741</f>
        <v>0</v>
      </c>
    </row>
    <row r="742" spans="1:33" x14ac:dyDescent="0.2">
      <c r="A742">
        <f>+DB!C742</f>
        <v>0</v>
      </c>
      <c r="B742">
        <f>+DB!D742</f>
        <v>0</v>
      </c>
      <c r="C742">
        <f>+DB!E742</f>
        <v>0</v>
      </c>
      <c r="D742">
        <f t="shared" si="33"/>
        <v>0</v>
      </c>
      <c r="E742">
        <f>+DB!G742</f>
        <v>0</v>
      </c>
      <c r="F742">
        <f>+DB!H742</f>
        <v>0</v>
      </c>
      <c r="G742">
        <f>+DB!N742</f>
        <v>0</v>
      </c>
      <c r="H742">
        <f>+DB!O742</f>
        <v>0</v>
      </c>
      <c r="I742">
        <f>+DB!I742</f>
        <v>0</v>
      </c>
      <c r="J742">
        <f>+DB!J742</f>
        <v>0</v>
      </c>
      <c r="K742">
        <f>+DB!L742</f>
        <v>0</v>
      </c>
      <c r="L742" t="str">
        <f t="shared" si="34"/>
        <v/>
      </c>
      <c r="M742" t="str">
        <f>+IF(LEFT(DB!M742,3)="13/","CAC","MAD")</f>
        <v>MAD</v>
      </c>
      <c r="N742" t="str">
        <f>+RIGHT(DB!M742,6)</f>
        <v/>
      </c>
      <c r="O742">
        <v>95</v>
      </c>
      <c r="P742">
        <v>5</v>
      </c>
      <c r="Q742">
        <f>+DB!AB742</f>
        <v>0</v>
      </c>
      <c r="R742">
        <f>+DB!K742</f>
        <v>0</v>
      </c>
      <c r="S742">
        <f>+DB!F742</f>
        <v>0</v>
      </c>
      <c r="T742">
        <f>+IF(DB!F742="AAAC-35",1,3)</f>
        <v>3</v>
      </c>
      <c r="U742">
        <f>+DB!R742</f>
        <v>0</v>
      </c>
      <c r="V742">
        <f>+IF(DB!P742="1RI",1,0)+IF(DB!P742="2RI",2,0)</f>
        <v>0</v>
      </c>
      <c r="W742">
        <f>+IF(DB!P742="1RV",1,0)+IF(DB!P742="2RV",2,0)</f>
        <v>0</v>
      </c>
      <c r="X742">
        <f>+IF(DB!P742="RYI",1,0)</f>
        <v>0</v>
      </c>
      <c r="Y742">
        <f>+IF(DB!P742="RYV",1,0)</f>
        <v>0</v>
      </c>
      <c r="Z742">
        <f>+DB!U742</f>
        <v>0</v>
      </c>
      <c r="AA742">
        <f>+IF(DB!F742="AAAC-35",19.5,33)</f>
        <v>33</v>
      </c>
      <c r="AB742">
        <f>+DB!V742</f>
        <v>0</v>
      </c>
      <c r="AC742" t="str">
        <f t="shared" si="35"/>
        <v>56-4</v>
      </c>
      <c r="AD742" s="21" t="s">
        <v>72</v>
      </c>
      <c r="AE742">
        <f>+DB!X742</f>
        <v>0</v>
      </c>
      <c r="AF742" s="22">
        <f>+DB!Y742</f>
        <v>0</v>
      </c>
      <c r="AG742">
        <f>+DB!AK742</f>
        <v>0</v>
      </c>
    </row>
    <row r="743" spans="1:33" x14ac:dyDescent="0.2">
      <c r="A743">
        <f>+DB!C743</f>
        <v>0</v>
      </c>
      <c r="B743">
        <f>+DB!D743</f>
        <v>0</v>
      </c>
      <c r="C743">
        <f>+DB!E743</f>
        <v>0</v>
      </c>
      <c r="D743">
        <f t="shared" si="33"/>
        <v>0</v>
      </c>
      <c r="E743">
        <f>+DB!G743</f>
        <v>0</v>
      </c>
      <c r="F743">
        <f>+DB!H743</f>
        <v>0</v>
      </c>
      <c r="G743">
        <f>+DB!N743</f>
        <v>0</v>
      </c>
      <c r="H743">
        <f>+DB!O743</f>
        <v>0</v>
      </c>
      <c r="I743">
        <f>+DB!I743</f>
        <v>0</v>
      </c>
      <c r="J743">
        <f>+DB!J743</f>
        <v>0</v>
      </c>
      <c r="K743">
        <f>+DB!L743</f>
        <v>0</v>
      </c>
      <c r="L743" t="str">
        <f t="shared" si="34"/>
        <v/>
      </c>
      <c r="M743" t="str">
        <f>+IF(LEFT(DB!M743,3)="13/","CAC","MAD")</f>
        <v>MAD</v>
      </c>
      <c r="N743" t="str">
        <f>+RIGHT(DB!M743,6)</f>
        <v/>
      </c>
      <c r="O743">
        <v>95</v>
      </c>
      <c r="P743">
        <v>5</v>
      </c>
      <c r="Q743">
        <f>+DB!AB743</f>
        <v>0</v>
      </c>
      <c r="R743">
        <f>+DB!K743</f>
        <v>0</v>
      </c>
      <c r="S743">
        <f>+DB!F743</f>
        <v>0</v>
      </c>
      <c r="T743">
        <f>+IF(DB!F743="AAAC-35",1,3)</f>
        <v>3</v>
      </c>
      <c r="U743">
        <f>+DB!R743</f>
        <v>0</v>
      </c>
      <c r="V743">
        <f>+IF(DB!P743="1RI",1,0)+IF(DB!P743="2RI",2,0)</f>
        <v>0</v>
      </c>
      <c r="W743">
        <f>+IF(DB!P743="1RV",1,0)+IF(DB!P743="2RV",2,0)</f>
        <v>0</v>
      </c>
      <c r="X743">
        <f>+IF(DB!P743="RYI",1,0)</f>
        <v>0</v>
      </c>
      <c r="Y743">
        <f>+IF(DB!P743="RYV",1,0)</f>
        <v>0</v>
      </c>
      <c r="Z743">
        <f>+DB!U743</f>
        <v>0</v>
      </c>
      <c r="AA743">
        <f>+IF(DB!F743="AAAC-35",19.5,33)</f>
        <v>33</v>
      </c>
      <c r="AB743">
        <f>+DB!V743</f>
        <v>0</v>
      </c>
      <c r="AC743" t="str">
        <f t="shared" si="35"/>
        <v>56-4</v>
      </c>
      <c r="AD743" s="21" t="s">
        <v>72</v>
      </c>
      <c r="AE743">
        <f>+DB!X743</f>
        <v>0</v>
      </c>
      <c r="AF743" s="22">
        <f>+DB!Y743</f>
        <v>0</v>
      </c>
      <c r="AG743">
        <f>+DB!AK743</f>
        <v>0</v>
      </c>
    </row>
    <row r="744" spans="1:33" x14ac:dyDescent="0.2">
      <c r="A744">
        <f>+DB!C744</f>
        <v>0</v>
      </c>
      <c r="B744">
        <f>+DB!D744</f>
        <v>0</v>
      </c>
      <c r="C744">
        <f>+DB!E744</f>
        <v>0</v>
      </c>
      <c r="D744">
        <f t="shared" si="33"/>
        <v>0</v>
      </c>
      <c r="E744">
        <f>+DB!G744</f>
        <v>0</v>
      </c>
      <c r="F744">
        <f>+DB!H744</f>
        <v>0</v>
      </c>
      <c r="G744">
        <f>+DB!N744</f>
        <v>0</v>
      </c>
      <c r="H744">
        <f>+DB!O744</f>
        <v>0</v>
      </c>
      <c r="I744">
        <f>+DB!I744</f>
        <v>0</v>
      </c>
      <c r="J744">
        <f>+DB!J744</f>
        <v>0</v>
      </c>
      <c r="K744">
        <f>+DB!L744</f>
        <v>0</v>
      </c>
      <c r="L744" t="str">
        <f t="shared" si="34"/>
        <v/>
      </c>
      <c r="M744" t="str">
        <f>+IF(LEFT(DB!M744,3)="13/","CAC","MAD")</f>
        <v>MAD</v>
      </c>
      <c r="N744" t="str">
        <f>+RIGHT(DB!M744,6)</f>
        <v/>
      </c>
      <c r="O744">
        <v>95</v>
      </c>
      <c r="P744">
        <v>5</v>
      </c>
      <c r="Q744">
        <f>+DB!AB744</f>
        <v>0</v>
      </c>
      <c r="R744">
        <f>+DB!K744</f>
        <v>0</v>
      </c>
      <c r="S744">
        <f>+DB!F744</f>
        <v>0</v>
      </c>
      <c r="T744">
        <f>+IF(DB!F744="AAAC-35",1,3)</f>
        <v>3</v>
      </c>
      <c r="U744">
        <f>+DB!R744</f>
        <v>0</v>
      </c>
      <c r="V744">
        <f>+IF(DB!P744="1RI",1,0)+IF(DB!P744="2RI",2,0)</f>
        <v>0</v>
      </c>
      <c r="W744">
        <f>+IF(DB!P744="1RV",1,0)+IF(DB!P744="2RV",2,0)</f>
        <v>0</v>
      </c>
      <c r="X744">
        <f>+IF(DB!P744="RYI",1,0)</f>
        <v>0</v>
      </c>
      <c r="Y744">
        <f>+IF(DB!P744="RYV",1,0)</f>
        <v>0</v>
      </c>
      <c r="Z744">
        <f>+DB!U744</f>
        <v>0</v>
      </c>
      <c r="AA744">
        <f>+IF(DB!F744="AAAC-35",19.5,33)</f>
        <v>33</v>
      </c>
      <c r="AB744">
        <f>+DB!V744</f>
        <v>0</v>
      </c>
      <c r="AC744" t="str">
        <f t="shared" si="35"/>
        <v>56-4</v>
      </c>
      <c r="AD744" s="21" t="s">
        <v>72</v>
      </c>
      <c r="AE744">
        <f>+DB!X744</f>
        <v>0</v>
      </c>
      <c r="AF744" s="22">
        <f>+DB!Y744</f>
        <v>0</v>
      </c>
      <c r="AG744">
        <f>+DB!AK744</f>
        <v>0</v>
      </c>
    </row>
    <row r="745" spans="1:33" x14ac:dyDescent="0.2">
      <c r="A745">
        <f>+DB!C745</f>
        <v>0</v>
      </c>
      <c r="B745">
        <f>+DB!D745</f>
        <v>0</v>
      </c>
      <c r="C745">
        <f>+DB!E745</f>
        <v>0</v>
      </c>
      <c r="D745">
        <f t="shared" si="33"/>
        <v>0</v>
      </c>
      <c r="E745">
        <f>+DB!G745</f>
        <v>0</v>
      </c>
      <c r="F745">
        <f>+DB!H745</f>
        <v>0</v>
      </c>
      <c r="G745">
        <f>+DB!N745</f>
        <v>0</v>
      </c>
      <c r="H745">
        <f>+DB!O745</f>
        <v>0</v>
      </c>
      <c r="I745">
        <f>+DB!I745</f>
        <v>0</v>
      </c>
      <c r="J745">
        <f>+DB!J745</f>
        <v>0</v>
      </c>
      <c r="K745">
        <f>+DB!L745</f>
        <v>0</v>
      </c>
      <c r="L745" t="str">
        <f t="shared" si="34"/>
        <v/>
      </c>
      <c r="M745" t="str">
        <f>+IF(LEFT(DB!M745,3)="13/","CAC","MAD")</f>
        <v>MAD</v>
      </c>
      <c r="N745" t="str">
        <f>+RIGHT(DB!M745,6)</f>
        <v/>
      </c>
      <c r="O745">
        <v>95</v>
      </c>
      <c r="P745">
        <v>5</v>
      </c>
      <c r="Q745">
        <f>+DB!AB745</f>
        <v>0</v>
      </c>
      <c r="R745">
        <f>+DB!K745</f>
        <v>0</v>
      </c>
      <c r="S745">
        <f>+DB!F745</f>
        <v>0</v>
      </c>
      <c r="T745">
        <f>+IF(DB!F745="AAAC-35",1,3)</f>
        <v>3</v>
      </c>
      <c r="U745">
        <f>+DB!R745</f>
        <v>0</v>
      </c>
      <c r="V745">
        <f>+IF(DB!P745="1RI",1,0)+IF(DB!P745="2RI",2,0)</f>
        <v>0</v>
      </c>
      <c r="W745">
        <f>+IF(DB!P745="1RV",1,0)+IF(DB!P745="2RV",2,0)</f>
        <v>0</v>
      </c>
      <c r="X745">
        <f>+IF(DB!P745="RYI",1,0)</f>
        <v>0</v>
      </c>
      <c r="Y745">
        <f>+IF(DB!P745="RYV",1,0)</f>
        <v>0</v>
      </c>
      <c r="Z745">
        <f>+DB!U745</f>
        <v>0</v>
      </c>
      <c r="AA745">
        <f>+IF(DB!F745="AAAC-35",19.5,33)</f>
        <v>33</v>
      </c>
      <c r="AB745">
        <f>+DB!V745</f>
        <v>0</v>
      </c>
      <c r="AC745" t="str">
        <f t="shared" si="35"/>
        <v>56-4</v>
      </c>
      <c r="AD745" s="21" t="s">
        <v>72</v>
      </c>
      <c r="AE745">
        <f>+DB!X745</f>
        <v>0</v>
      </c>
      <c r="AF745" s="22">
        <f>+DB!Y745</f>
        <v>0</v>
      </c>
      <c r="AG745">
        <f>+DB!AK745</f>
        <v>0</v>
      </c>
    </row>
    <row r="746" spans="1:33" x14ac:dyDescent="0.2">
      <c r="A746">
        <f>+DB!C746</f>
        <v>0</v>
      </c>
      <c r="B746">
        <f>+DB!D746</f>
        <v>0</v>
      </c>
      <c r="C746">
        <f>+DB!E746</f>
        <v>0</v>
      </c>
      <c r="D746">
        <f t="shared" si="33"/>
        <v>0</v>
      </c>
      <c r="E746">
        <f>+DB!G746</f>
        <v>0</v>
      </c>
      <c r="F746">
        <f>+DB!H746</f>
        <v>0</v>
      </c>
      <c r="G746">
        <f>+DB!N746</f>
        <v>0</v>
      </c>
      <c r="H746">
        <f>+DB!O746</f>
        <v>0</v>
      </c>
      <c r="I746">
        <f>+DB!I746</f>
        <v>0</v>
      </c>
      <c r="J746">
        <f>+DB!J746</f>
        <v>0</v>
      </c>
      <c r="K746">
        <f>+DB!L746</f>
        <v>0</v>
      </c>
      <c r="L746" t="str">
        <f t="shared" si="34"/>
        <v/>
      </c>
      <c r="M746" t="str">
        <f>+IF(LEFT(DB!M746,3)="13/","CAC","MAD")</f>
        <v>MAD</v>
      </c>
      <c r="N746" t="str">
        <f>+RIGHT(DB!M746,6)</f>
        <v/>
      </c>
      <c r="O746">
        <v>95</v>
      </c>
      <c r="P746">
        <v>5</v>
      </c>
      <c r="Q746">
        <f>+DB!AB746</f>
        <v>0</v>
      </c>
      <c r="R746">
        <f>+DB!K746</f>
        <v>0</v>
      </c>
      <c r="S746">
        <f>+DB!F746</f>
        <v>0</v>
      </c>
      <c r="T746">
        <f>+IF(DB!F746="AAAC-35",1,3)</f>
        <v>3</v>
      </c>
      <c r="U746">
        <f>+DB!R746</f>
        <v>0</v>
      </c>
      <c r="V746">
        <f>+IF(DB!P746="1RI",1,0)+IF(DB!P746="2RI",2,0)</f>
        <v>0</v>
      </c>
      <c r="W746">
        <f>+IF(DB!P746="1RV",1,0)+IF(DB!P746="2RV",2,0)</f>
        <v>0</v>
      </c>
      <c r="X746">
        <f>+IF(DB!P746="RYI",1,0)</f>
        <v>0</v>
      </c>
      <c r="Y746">
        <f>+IF(DB!P746="RYV",1,0)</f>
        <v>0</v>
      </c>
      <c r="Z746">
        <f>+DB!U746</f>
        <v>0</v>
      </c>
      <c r="AA746">
        <f>+IF(DB!F746="AAAC-35",19.5,33)</f>
        <v>33</v>
      </c>
      <c r="AB746">
        <f>+DB!V746</f>
        <v>0</v>
      </c>
      <c r="AC746" t="str">
        <f t="shared" si="35"/>
        <v>56-4</v>
      </c>
      <c r="AD746" s="21" t="s">
        <v>72</v>
      </c>
      <c r="AE746">
        <f>+DB!X746</f>
        <v>0</v>
      </c>
      <c r="AF746" s="22">
        <f>+DB!Y746</f>
        <v>0</v>
      </c>
      <c r="AG746">
        <f>+DB!AK746</f>
        <v>0</v>
      </c>
    </row>
    <row r="747" spans="1:33" x14ac:dyDescent="0.2">
      <c r="A747">
        <f>+DB!C747</f>
        <v>0</v>
      </c>
      <c r="B747">
        <f>+DB!D747</f>
        <v>0</v>
      </c>
      <c r="C747">
        <f>+DB!E747</f>
        <v>0</v>
      </c>
      <c r="D747">
        <f t="shared" si="33"/>
        <v>0</v>
      </c>
      <c r="E747">
        <f>+DB!G747</f>
        <v>0</v>
      </c>
      <c r="F747">
        <f>+DB!H747</f>
        <v>0</v>
      </c>
      <c r="G747">
        <f>+DB!N747</f>
        <v>0</v>
      </c>
      <c r="H747">
        <f>+DB!O747</f>
        <v>0</v>
      </c>
      <c r="I747">
        <f>+DB!I747</f>
        <v>0</v>
      </c>
      <c r="J747">
        <f>+DB!J747</f>
        <v>0</v>
      </c>
      <c r="K747">
        <f>+DB!L747</f>
        <v>0</v>
      </c>
      <c r="L747" t="str">
        <f t="shared" si="34"/>
        <v/>
      </c>
      <c r="M747" t="str">
        <f>+IF(LEFT(DB!M747,3)="13/","CAC","MAD")</f>
        <v>MAD</v>
      </c>
      <c r="N747" t="str">
        <f>+RIGHT(DB!M747,6)</f>
        <v/>
      </c>
      <c r="O747">
        <v>95</v>
      </c>
      <c r="P747">
        <v>5</v>
      </c>
      <c r="Q747">
        <f>+DB!AB747</f>
        <v>0</v>
      </c>
      <c r="R747">
        <f>+DB!K747</f>
        <v>0</v>
      </c>
      <c r="S747">
        <f>+DB!F747</f>
        <v>0</v>
      </c>
      <c r="T747">
        <f>+IF(DB!F747="AAAC-35",1,3)</f>
        <v>3</v>
      </c>
      <c r="U747">
        <f>+DB!R747</f>
        <v>0</v>
      </c>
      <c r="V747">
        <f>+IF(DB!P747="1RI",1,0)+IF(DB!P747="2RI",2,0)</f>
        <v>0</v>
      </c>
      <c r="W747">
        <f>+IF(DB!P747="1RV",1,0)+IF(DB!P747="2RV",2,0)</f>
        <v>0</v>
      </c>
      <c r="X747">
        <f>+IF(DB!P747="RYI",1,0)</f>
        <v>0</v>
      </c>
      <c r="Y747">
        <f>+IF(DB!P747="RYV",1,0)</f>
        <v>0</v>
      </c>
      <c r="Z747">
        <f>+DB!U747</f>
        <v>0</v>
      </c>
      <c r="AA747">
        <f>+IF(DB!F747="AAAC-35",19.5,33)</f>
        <v>33</v>
      </c>
      <c r="AB747">
        <f>+DB!V747</f>
        <v>0</v>
      </c>
      <c r="AC747" t="str">
        <f t="shared" si="35"/>
        <v>56-4</v>
      </c>
      <c r="AD747" s="21" t="s">
        <v>72</v>
      </c>
      <c r="AE747">
        <f>+DB!X747</f>
        <v>0</v>
      </c>
      <c r="AF747" s="22">
        <f>+DB!Y747</f>
        <v>0</v>
      </c>
      <c r="AG747">
        <f>+DB!AK747</f>
        <v>0</v>
      </c>
    </row>
    <row r="748" spans="1:33" x14ac:dyDescent="0.2">
      <c r="A748">
        <f>+DB!C748</f>
        <v>0</v>
      </c>
      <c r="B748">
        <f>+DB!D748</f>
        <v>0</v>
      </c>
      <c r="C748">
        <f>+DB!E748</f>
        <v>0</v>
      </c>
      <c r="D748">
        <f t="shared" si="33"/>
        <v>0</v>
      </c>
      <c r="E748">
        <f>+DB!G748</f>
        <v>0</v>
      </c>
      <c r="F748">
        <f>+DB!H748</f>
        <v>0</v>
      </c>
      <c r="G748">
        <f>+DB!N748</f>
        <v>0</v>
      </c>
      <c r="H748">
        <f>+DB!O748</f>
        <v>0</v>
      </c>
      <c r="I748">
        <f>+DB!I748</f>
        <v>0</v>
      </c>
      <c r="J748">
        <f>+DB!J748</f>
        <v>0</v>
      </c>
      <c r="K748">
        <f>+DB!L748</f>
        <v>0</v>
      </c>
      <c r="L748" t="str">
        <f t="shared" si="34"/>
        <v/>
      </c>
      <c r="M748" t="str">
        <f>+IF(LEFT(DB!M748,3)="13/","CAC","MAD")</f>
        <v>MAD</v>
      </c>
      <c r="N748" t="str">
        <f>+RIGHT(DB!M748,6)</f>
        <v/>
      </c>
      <c r="O748">
        <v>95</v>
      </c>
      <c r="P748">
        <v>5</v>
      </c>
      <c r="Q748">
        <f>+DB!AB748</f>
        <v>0</v>
      </c>
      <c r="R748">
        <f>+DB!K748</f>
        <v>0</v>
      </c>
      <c r="S748">
        <f>+DB!F748</f>
        <v>0</v>
      </c>
      <c r="T748">
        <f>+IF(DB!F748="AAAC-35",1,3)</f>
        <v>3</v>
      </c>
      <c r="U748">
        <f>+DB!R748</f>
        <v>0</v>
      </c>
      <c r="V748">
        <f>+IF(DB!P748="1RI",1,0)+IF(DB!P748="2RI",2,0)</f>
        <v>0</v>
      </c>
      <c r="W748">
        <f>+IF(DB!P748="1RV",1,0)+IF(DB!P748="2RV",2,0)</f>
        <v>0</v>
      </c>
      <c r="X748">
        <f>+IF(DB!P748="RYI",1,0)</f>
        <v>0</v>
      </c>
      <c r="Y748">
        <f>+IF(DB!P748="RYV",1,0)</f>
        <v>0</v>
      </c>
      <c r="Z748">
        <f>+DB!U748</f>
        <v>0</v>
      </c>
      <c r="AA748">
        <f>+IF(DB!F748="AAAC-35",19.5,33)</f>
        <v>33</v>
      </c>
      <c r="AB748">
        <f>+DB!V748</f>
        <v>0</v>
      </c>
      <c r="AC748" t="str">
        <f t="shared" si="35"/>
        <v>56-4</v>
      </c>
      <c r="AD748" s="21" t="s">
        <v>72</v>
      </c>
      <c r="AE748">
        <f>+DB!X748</f>
        <v>0</v>
      </c>
      <c r="AF748" s="22">
        <f>+DB!Y748</f>
        <v>0</v>
      </c>
      <c r="AG748">
        <f>+DB!AK748</f>
        <v>0</v>
      </c>
    </row>
    <row r="749" spans="1:33" x14ac:dyDescent="0.2">
      <c r="A749">
        <f>+DB!C749</f>
        <v>0</v>
      </c>
      <c r="B749">
        <f>+DB!D749</f>
        <v>0</v>
      </c>
      <c r="C749">
        <f>+DB!E749</f>
        <v>0</v>
      </c>
      <c r="D749">
        <f t="shared" si="33"/>
        <v>0</v>
      </c>
      <c r="E749">
        <f>+DB!G749</f>
        <v>0</v>
      </c>
      <c r="F749">
        <f>+DB!H749</f>
        <v>0</v>
      </c>
      <c r="G749">
        <f>+DB!N749</f>
        <v>0</v>
      </c>
      <c r="H749">
        <f>+DB!O749</f>
        <v>0</v>
      </c>
      <c r="I749">
        <f>+DB!I749</f>
        <v>0</v>
      </c>
      <c r="J749">
        <f>+DB!J749</f>
        <v>0</v>
      </c>
      <c r="K749">
        <f>+DB!L749</f>
        <v>0</v>
      </c>
      <c r="L749" t="str">
        <f t="shared" si="34"/>
        <v/>
      </c>
      <c r="M749" t="str">
        <f>+IF(LEFT(DB!M749,3)="13/","CAC","MAD")</f>
        <v>MAD</v>
      </c>
      <c r="N749" t="str">
        <f>+RIGHT(DB!M749,6)</f>
        <v/>
      </c>
      <c r="O749">
        <v>95</v>
      </c>
      <c r="P749">
        <v>5</v>
      </c>
      <c r="Q749">
        <f>+DB!AB749</f>
        <v>0</v>
      </c>
      <c r="R749">
        <f>+DB!K749</f>
        <v>0</v>
      </c>
      <c r="S749">
        <f>+DB!F749</f>
        <v>0</v>
      </c>
      <c r="T749">
        <f>+IF(DB!F749="AAAC-35",1,3)</f>
        <v>3</v>
      </c>
      <c r="U749">
        <f>+DB!R749</f>
        <v>0</v>
      </c>
      <c r="V749">
        <f>+IF(DB!P749="1RI",1,0)+IF(DB!P749="2RI",2,0)</f>
        <v>0</v>
      </c>
      <c r="W749">
        <f>+IF(DB!P749="1RV",1,0)+IF(DB!P749="2RV",2,0)</f>
        <v>0</v>
      </c>
      <c r="X749">
        <f>+IF(DB!P749="RYI",1,0)</f>
        <v>0</v>
      </c>
      <c r="Y749">
        <f>+IF(DB!P749="RYV",1,0)</f>
        <v>0</v>
      </c>
      <c r="Z749">
        <f>+DB!U749</f>
        <v>0</v>
      </c>
      <c r="AA749">
        <f>+IF(DB!F749="AAAC-35",19.5,33)</f>
        <v>33</v>
      </c>
      <c r="AB749">
        <f>+DB!V749</f>
        <v>0</v>
      </c>
      <c r="AC749" t="str">
        <f t="shared" si="35"/>
        <v>56-4</v>
      </c>
      <c r="AD749" s="21" t="s">
        <v>72</v>
      </c>
      <c r="AE749">
        <f>+DB!X749</f>
        <v>0</v>
      </c>
      <c r="AF749" s="22">
        <f>+DB!Y749</f>
        <v>0</v>
      </c>
      <c r="AG749">
        <f>+DB!AK749</f>
        <v>0</v>
      </c>
    </row>
    <row r="750" spans="1:33" x14ac:dyDescent="0.2">
      <c r="A750">
        <f>+DB!C750</f>
        <v>0</v>
      </c>
      <c r="B750">
        <f>+DB!D750</f>
        <v>0</v>
      </c>
      <c r="C750">
        <f>+DB!E750</f>
        <v>0</v>
      </c>
      <c r="D750">
        <f t="shared" si="33"/>
        <v>0</v>
      </c>
      <c r="E750">
        <f>+DB!G750</f>
        <v>0</v>
      </c>
      <c r="F750">
        <f>+DB!H750</f>
        <v>0</v>
      </c>
      <c r="G750">
        <f>+DB!N750</f>
        <v>0</v>
      </c>
      <c r="H750">
        <f>+DB!O750</f>
        <v>0</v>
      </c>
      <c r="I750">
        <f>+DB!I750</f>
        <v>0</v>
      </c>
      <c r="J750">
        <f>+DB!J750</f>
        <v>0</v>
      </c>
      <c r="K750">
        <f>+DB!L750</f>
        <v>0</v>
      </c>
      <c r="L750" t="str">
        <f t="shared" si="34"/>
        <v/>
      </c>
      <c r="M750" t="str">
        <f>+IF(LEFT(DB!M750,3)="13/","CAC","MAD")</f>
        <v>MAD</v>
      </c>
      <c r="N750" t="str">
        <f>+RIGHT(DB!M750,6)</f>
        <v/>
      </c>
      <c r="O750">
        <v>95</v>
      </c>
      <c r="P750">
        <v>5</v>
      </c>
      <c r="Q750">
        <f>+DB!AB750</f>
        <v>0</v>
      </c>
      <c r="R750">
        <f>+DB!K750</f>
        <v>0</v>
      </c>
      <c r="S750">
        <f>+DB!F750</f>
        <v>0</v>
      </c>
      <c r="T750">
        <f>+IF(DB!F750="AAAC-35",1,3)</f>
        <v>3</v>
      </c>
      <c r="U750">
        <f>+DB!R750</f>
        <v>0</v>
      </c>
      <c r="V750">
        <f>+IF(DB!P750="1RI",1,0)+IF(DB!P750="2RI",2,0)</f>
        <v>0</v>
      </c>
      <c r="W750">
        <f>+IF(DB!P750="1RV",1,0)+IF(DB!P750="2RV",2,0)</f>
        <v>0</v>
      </c>
      <c r="X750">
        <f>+IF(DB!P750="RYI",1,0)</f>
        <v>0</v>
      </c>
      <c r="Y750">
        <f>+IF(DB!P750="RYV",1,0)</f>
        <v>0</v>
      </c>
      <c r="Z750">
        <f>+DB!U750</f>
        <v>0</v>
      </c>
      <c r="AA750">
        <f>+IF(DB!F750="AAAC-35",19.5,33)</f>
        <v>33</v>
      </c>
      <c r="AB750">
        <f>+DB!V750</f>
        <v>0</v>
      </c>
      <c r="AC750" t="str">
        <f t="shared" si="35"/>
        <v>56-4</v>
      </c>
      <c r="AD750" s="21" t="s">
        <v>72</v>
      </c>
      <c r="AE750">
        <f>+DB!X750</f>
        <v>0</v>
      </c>
      <c r="AF750" s="22">
        <f>+DB!Y750</f>
        <v>0</v>
      </c>
      <c r="AG750">
        <f>+DB!AK750</f>
        <v>0</v>
      </c>
    </row>
    <row r="751" spans="1:33" x14ac:dyDescent="0.2">
      <c r="A751">
        <f>+DB!C751</f>
        <v>0</v>
      </c>
      <c r="B751">
        <f>+DB!D751</f>
        <v>0</v>
      </c>
      <c r="C751">
        <f>+DB!E751</f>
        <v>0</v>
      </c>
      <c r="D751">
        <f t="shared" si="33"/>
        <v>0</v>
      </c>
      <c r="E751">
        <f>+DB!G751</f>
        <v>0</v>
      </c>
      <c r="F751">
        <f>+DB!H751</f>
        <v>0</v>
      </c>
      <c r="G751">
        <f>+DB!N751</f>
        <v>0</v>
      </c>
      <c r="H751">
        <f>+DB!O751</f>
        <v>0</v>
      </c>
      <c r="I751">
        <f>+DB!I751</f>
        <v>0</v>
      </c>
      <c r="J751">
        <f>+DB!J751</f>
        <v>0</v>
      </c>
      <c r="K751">
        <f>+DB!L751</f>
        <v>0</v>
      </c>
      <c r="L751" t="str">
        <f t="shared" si="34"/>
        <v/>
      </c>
      <c r="M751" t="str">
        <f>+IF(LEFT(DB!M751,3)="13/","CAC","MAD")</f>
        <v>MAD</v>
      </c>
      <c r="N751" t="str">
        <f>+RIGHT(DB!M751,6)</f>
        <v/>
      </c>
      <c r="O751">
        <v>95</v>
      </c>
      <c r="P751">
        <v>5</v>
      </c>
      <c r="Q751">
        <f>+DB!AB751</f>
        <v>0</v>
      </c>
      <c r="R751">
        <f>+DB!K751</f>
        <v>0</v>
      </c>
      <c r="S751">
        <f>+DB!F751</f>
        <v>0</v>
      </c>
      <c r="T751">
        <f>+IF(DB!F751="AAAC-35",1,3)</f>
        <v>3</v>
      </c>
      <c r="U751">
        <f>+DB!R751</f>
        <v>0</v>
      </c>
      <c r="V751">
        <f>+IF(DB!P751="1RI",1,0)+IF(DB!P751="2RI",2,0)</f>
        <v>0</v>
      </c>
      <c r="W751">
        <f>+IF(DB!P751="1RV",1,0)+IF(DB!P751="2RV",2,0)</f>
        <v>0</v>
      </c>
      <c r="X751">
        <f>+IF(DB!P751="RYI",1,0)</f>
        <v>0</v>
      </c>
      <c r="Y751">
        <f>+IF(DB!P751="RYV",1,0)</f>
        <v>0</v>
      </c>
      <c r="Z751">
        <f>+DB!U751</f>
        <v>0</v>
      </c>
      <c r="AA751">
        <f>+IF(DB!F751="AAAC-35",19.5,33)</f>
        <v>33</v>
      </c>
      <c r="AB751">
        <f>+DB!V751</f>
        <v>0</v>
      </c>
      <c r="AC751" t="str">
        <f t="shared" si="35"/>
        <v>56-4</v>
      </c>
      <c r="AD751" s="21" t="s">
        <v>72</v>
      </c>
      <c r="AE751">
        <f>+DB!X751</f>
        <v>0</v>
      </c>
      <c r="AF751" s="22">
        <f>+DB!Y751</f>
        <v>0</v>
      </c>
      <c r="AG751">
        <f>+DB!AK751</f>
        <v>0</v>
      </c>
    </row>
    <row r="752" spans="1:33" x14ac:dyDescent="0.2">
      <c r="A752">
        <f>+DB!C752</f>
        <v>0</v>
      </c>
      <c r="B752">
        <f>+DB!D752</f>
        <v>0</v>
      </c>
      <c r="C752">
        <f>+DB!E752</f>
        <v>0</v>
      </c>
      <c r="D752">
        <f t="shared" si="33"/>
        <v>0</v>
      </c>
      <c r="E752">
        <f>+DB!G752</f>
        <v>0</v>
      </c>
      <c r="F752">
        <f>+DB!H752</f>
        <v>0</v>
      </c>
      <c r="G752">
        <f>+DB!N752</f>
        <v>0</v>
      </c>
      <c r="H752">
        <f>+DB!O752</f>
        <v>0</v>
      </c>
      <c r="I752">
        <f>+DB!I752</f>
        <v>0</v>
      </c>
      <c r="J752">
        <f>+DB!J752</f>
        <v>0</v>
      </c>
      <c r="K752">
        <f>+DB!L752</f>
        <v>0</v>
      </c>
      <c r="L752" t="str">
        <f t="shared" si="34"/>
        <v/>
      </c>
      <c r="M752" t="str">
        <f>+IF(LEFT(DB!M752,3)="13/","CAC","MAD")</f>
        <v>MAD</v>
      </c>
      <c r="N752" t="str">
        <f>+RIGHT(DB!M752,6)</f>
        <v/>
      </c>
      <c r="O752">
        <v>95</v>
      </c>
      <c r="P752">
        <v>5</v>
      </c>
      <c r="Q752">
        <f>+DB!AB752</f>
        <v>0</v>
      </c>
      <c r="R752">
        <f>+DB!K752</f>
        <v>0</v>
      </c>
      <c r="S752">
        <f>+DB!F752</f>
        <v>0</v>
      </c>
      <c r="T752">
        <f>+IF(DB!F752="AAAC-35",1,3)</f>
        <v>3</v>
      </c>
      <c r="U752">
        <f>+DB!R752</f>
        <v>0</v>
      </c>
      <c r="V752">
        <f>+IF(DB!P752="1RI",1,0)+IF(DB!P752="2RI",2,0)</f>
        <v>0</v>
      </c>
      <c r="W752">
        <f>+IF(DB!P752="1RV",1,0)+IF(DB!P752="2RV",2,0)</f>
        <v>0</v>
      </c>
      <c r="X752">
        <f>+IF(DB!P752="RYI",1,0)</f>
        <v>0</v>
      </c>
      <c r="Y752">
        <f>+IF(DB!P752="RYV",1,0)</f>
        <v>0</v>
      </c>
      <c r="Z752">
        <f>+DB!U752</f>
        <v>0</v>
      </c>
      <c r="AA752">
        <f>+IF(DB!F752="AAAC-35",19.5,33)</f>
        <v>33</v>
      </c>
      <c r="AB752">
        <f>+DB!V752</f>
        <v>0</v>
      </c>
      <c r="AC752" t="str">
        <f t="shared" si="35"/>
        <v>56-4</v>
      </c>
      <c r="AD752" s="21" t="s">
        <v>72</v>
      </c>
      <c r="AE752">
        <f>+DB!X752</f>
        <v>0</v>
      </c>
      <c r="AF752" s="22">
        <f>+DB!Y752</f>
        <v>0</v>
      </c>
      <c r="AG752">
        <f>+DB!AK752</f>
        <v>0</v>
      </c>
    </row>
    <row r="753" spans="1:33" x14ac:dyDescent="0.2">
      <c r="A753">
        <f>+DB!C753</f>
        <v>0</v>
      </c>
      <c r="B753">
        <f>+DB!D753</f>
        <v>0</v>
      </c>
      <c r="C753">
        <f>+DB!E753</f>
        <v>0</v>
      </c>
      <c r="D753">
        <f t="shared" si="33"/>
        <v>0</v>
      </c>
      <c r="E753">
        <f>+DB!G753</f>
        <v>0</v>
      </c>
      <c r="F753">
        <f>+DB!H753</f>
        <v>0</v>
      </c>
      <c r="G753">
        <f>+DB!N753</f>
        <v>0</v>
      </c>
      <c r="H753">
        <f>+DB!O753</f>
        <v>0</v>
      </c>
      <c r="I753">
        <f>+DB!I753</f>
        <v>0</v>
      </c>
      <c r="J753">
        <f>+DB!J753</f>
        <v>0</v>
      </c>
      <c r="K753">
        <f>+DB!L753</f>
        <v>0</v>
      </c>
      <c r="L753" t="str">
        <f t="shared" si="34"/>
        <v/>
      </c>
      <c r="M753" t="str">
        <f>+IF(LEFT(DB!M753,3)="13/","CAC","MAD")</f>
        <v>MAD</v>
      </c>
      <c r="N753" t="str">
        <f>+RIGHT(DB!M753,6)</f>
        <v/>
      </c>
      <c r="O753">
        <v>95</v>
      </c>
      <c r="P753">
        <v>5</v>
      </c>
      <c r="Q753">
        <f>+DB!AB753</f>
        <v>0</v>
      </c>
      <c r="R753">
        <f>+DB!K753</f>
        <v>0</v>
      </c>
      <c r="S753">
        <f>+DB!F753</f>
        <v>0</v>
      </c>
      <c r="T753">
        <f>+IF(DB!F753="AAAC-35",1,3)</f>
        <v>3</v>
      </c>
      <c r="U753">
        <f>+DB!R753</f>
        <v>0</v>
      </c>
      <c r="V753">
        <f>+IF(DB!P753="1RI",1,0)+IF(DB!P753="2RI",2,0)</f>
        <v>0</v>
      </c>
      <c r="W753">
        <f>+IF(DB!P753="1RV",1,0)+IF(DB!P753="2RV",2,0)</f>
        <v>0</v>
      </c>
      <c r="X753">
        <f>+IF(DB!P753="RYI",1,0)</f>
        <v>0</v>
      </c>
      <c r="Y753">
        <f>+IF(DB!P753="RYV",1,0)</f>
        <v>0</v>
      </c>
      <c r="Z753">
        <f>+DB!U753</f>
        <v>0</v>
      </c>
      <c r="AA753">
        <f>+IF(DB!F753="AAAC-35",19.5,33)</f>
        <v>33</v>
      </c>
      <c r="AB753">
        <f>+DB!V753</f>
        <v>0</v>
      </c>
      <c r="AC753" t="str">
        <f t="shared" si="35"/>
        <v>56-4</v>
      </c>
      <c r="AD753" s="21" t="s">
        <v>72</v>
      </c>
      <c r="AE753">
        <f>+DB!X753</f>
        <v>0</v>
      </c>
      <c r="AF753" s="22">
        <f>+DB!Y753</f>
        <v>0</v>
      </c>
      <c r="AG753">
        <f>+DB!AK753</f>
        <v>0</v>
      </c>
    </row>
    <row r="754" spans="1:33" x14ac:dyDescent="0.2">
      <c r="A754">
        <f>+DB!C754</f>
        <v>0</v>
      </c>
      <c r="B754">
        <f>+DB!D754</f>
        <v>0</v>
      </c>
      <c r="C754">
        <f>+DB!E754</f>
        <v>0</v>
      </c>
      <c r="D754">
        <f t="shared" si="33"/>
        <v>0</v>
      </c>
      <c r="E754">
        <f>+DB!G754</f>
        <v>0</v>
      </c>
      <c r="F754">
        <f>+DB!H754</f>
        <v>0</v>
      </c>
      <c r="G754">
        <f>+DB!N754</f>
        <v>0</v>
      </c>
      <c r="H754">
        <f>+DB!O754</f>
        <v>0</v>
      </c>
      <c r="I754">
        <f>+DB!I754</f>
        <v>0</v>
      </c>
      <c r="J754">
        <f>+DB!J754</f>
        <v>0</v>
      </c>
      <c r="K754">
        <f>+DB!L754</f>
        <v>0</v>
      </c>
      <c r="L754" t="str">
        <f t="shared" si="34"/>
        <v/>
      </c>
      <c r="M754" t="str">
        <f>+IF(LEFT(DB!M754,3)="13/","CAC","MAD")</f>
        <v>MAD</v>
      </c>
      <c r="N754" t="str">
        <f>+RIGHT(DB!M754,6)</f>
        <v/>
      </c>
      <c r="O754">
        <v>95</v>
      </c>
      <c r="P754">
        <v>5</v>
      </c>
      <c r="Q754">
        <f>+DB!AB754</f>
        <v>0</v>
      </c>
      <c r="R754">
        <f>+DB!K754</f>
        <v>0</v>
      </c>
      <c r="S754">
        <f>+DB!F754</f>
        <v>0</v>
      </c>
      <c r="T754">
        <f>+IF(DB!F754="AAAC-35",1,3)</f>
        <v>3</v>
      </c>
      <c r="U754">
        <f>+DB!R754</f>
        <v>0</v>
      </c>
      <c r="V754">
        <f>+IF(DB!P754="1RI",1,0)+IF(DB!P754="2RI",2,0)</f>
        <v>0</v>
      </c>
      <c r="W754">
        <f>+IF(DB!P754="1RV",1,0)+IF(DB!P754="2RV",2,0)</f>
        <v>0</v>
      </c>
      <c r="X754">
        <f>+IF(DB!P754="RYI",1,0)</f>
        <v>0</v>
      </c>
      <c r="Y754">
        <f>+IF(DB!P754="RYV",1,0)</f>
        <v>0</v>
      </c>
      <c r="Z754">
        <f>+DB!U754</f>
        <v>0</v>
      </c>
      <c r="AA754">
        <f>+IF(DB!F754="AAAC-35",19.5,33)</f>
        <v>33</v>
      </c>
      <c r="AB754">
        <f>+DB!V754</f>
        <v>0</v>
      </c>
      <c r="AC754" t="str">
        <f t="shared" si="35"/>
        <v>56-4</v>
      </c>
      <c r="AD754" s="21" t="s">
        <v>72</v>
      </c>
      <c r="AE754">
        <f>+DB!X754</f>
        <v>0</v>
      </c>
      <c r="AF754" s="22">
        <f>+DB!Y754</f>
        <v>0</v>
      </c>
      <c r="AG754">
        <f>+DB!AK754</f>
        <v>0</v>
      </c>
    </row>
    <row r="755" spans="1:33" x14ac:dyDescent="0.2">
      <c r="A755">
        <f>+DB!C755</f>
        <v>0</v>
      </c>
      <c r="B755">
        <f>+DB!D755</f>
        <v>0</v>
      </c>
      <c r="C755">
        <f>+DB!E755</f>
        <v>0</v>
      </c>
      <c r="D755">
        <f t="shared" si="33"/>
        <v>0</v>
      </c>
      <c r="E755">
        <f>+DB!G755</f>
        <v>0</v>
      </c>
      <c r="F755">
        <f>+DB!H755</f>
        <v>0</v>
      </c>
      <c r="G755">
        <f>+DB!N755</f>
        <v>0</v>
      </c>
      <c r="H755">
        <f>+DB!O755</f>
        <v>0</v>
      </c>
      <c r="I755">
        <f>+DB!I755</f>
        <v>0</v>
      </c>
      <c r="J755">
        <f>+DB!J755</f>
        <v>0</v>
      </c>
      <c r="K755">
        <f>+DB!L755</f>
        <v>0</v>
      </c>
      <c r="L755" t="str">
        <f t="shared" si="34"/>
        <v/>
      </c>
      <c r="M755" t="str">
        <f>+IF(LEFT(DB!M755,3)="13/","CAC","MAD")</f>
        <v>MAD</v>
      </c>
      <c r="N755" t="str">
        <f>+RIGHT(DB!M755,6)</f>
        <v/>
      </c>
      <c r="O755">
        <v>95</v>
      </c>
      <c r="P755">
        <v>5</v>
      </c>
      <c r="Q755">
        <f>+DB!AB755</f>
        <v>0</v>
      </c>
      <c r="R755">
        <f>+DB!K755</f>
        <v>0</v>
      </c>
      <c r="S755">
        <f>+DB!F755</f>
        <v>0</v>
      </c>
      <c r="T755">
        <f>+IF(DB!F755="AAAC-35",1,3)</f>
        <v>3</v>
      </c>
      <c r="U755">
        <f>+DB!R755</f>
        <v>0</v>
      </c>
      <c r="V755">
        <f>+IF(DB!P755="1RI",1,0)+IF(DB!P755="2RI",2,0)</f>
        <v>0</v>
      </c>
      <c r="W755">
        <f>+IF(DB!P755="1RV",1,0)+IF(DB!P755="2RV",2,0)</f>
        <v>0</v>
      </c>
      <c r="X755">
        <f>+IF(DB!P755="RYI",1,0)</f>
        <v>0</v>
      </c>
      <c r="Y755">
        <f>+IF(DB!P755="RYV",1,0)</f>
        <v>0</v>
      </c>
      <c r="Z755">
        <f>+DB!U755</f>
        <v>0</v>
      </c>
      <c r="AA755">
        <f>+IF(DB!F755="AAAC-35",19.5,33)</f>
        <v>33</v>
      </c>
      <c r="AB755">
        <f>+DB!V755</f>
        <v>0</v>
      </c>
      <c r="AC755" t="str">
        <f t="shared" si="35"/>
        <v>56-4</v>
      </c>
      <c r="AD755" s="21" t="s">
        <v>72</v>
      </c>
      <c r="AE755">
        <f>+DB!X755</f>
        <v>0</v>
      </c>
      <c r="AF755" s="22">
        <f>+DB!Y755</f>
        <v>0</v>
      </c>
      <c r="AG755">
        <f>+DB!AK755</f>
        <v>0</v>
      </c>
    </row>
    <row r="756" spans="1:33" x14ac:dyDescent="0.2">
      <c r="A756">
        <f>+DB!C756</f>
        <v>0</v>
      </c>
      <c r="B756">
        <f>+DB!D756</f>
        <v>0</v>
      </c>
      <c r="C756">
        <f>+DB!E756</f>
        <v>0</v>
      </c>
      <c r="D756">
        <f t="shared" si="33"/>
        <v>0</v>
      </c>
      <c r="E756">
        <f>+DB!G756</f>
        <v>0</v>
      </c>
      <c r="F756">
        <f>+DB!H756</f>
        <v>0</v>
      </c>
      <c r="G756">
        <f>+DB!N756</f>
        <v>0</v>
      </c>
      <c r="H756">
        <f>+DB!O756</f>
        <v>0</v>
      </c>
      <c r="I756">
        <f>+DB!I756</f>
        <v>0</v>
      </c>
      <c r="J756">
        <f>+DB!J756</f>
        <v>0</v>
      </c>
      <c r="K756">
        <f>+DB!L756</f>
        <v>0</v>
      </c>
      <c r="L756" t="str">
        <f t="shared" si="34"/>
        <v/>
      </c>
      <c r="M756" t="str">
        <f>+IF(LEFT(DB!M756,3)="13/","CAC","MAD")</f>
        <v>MAD</v>
      </c>
      <c r="N756" t="str">
        <f>+RIGHT(DB!M756,6)</f>
        <v/>
      </c>
      <c r="O756">
        <v>95</v>
      </c>
      <c r="P756">
        <v>5</v>
      </c>
      <c r="Q756">
        <f>+DB!AB756</f>
        <v>0</v>
      </c>
      <c r="R756">
        <f>+DB!K756</f>
        <v>0</v>
      </c>
      <c r="S756">
        <f>+DB!F756</f>
        <v>0</v>
      </c>
      <c r="T756">
        <f>+IF(DB!F756="AAAC-35",1,3)</f>
        <v>3</v>
      </c>
      <c r="U756">
        <f>+DB!R756</f>
        <v>0</v>
      </c>
      <c r="V756">
        <f>+IF(DB!P756="1RI",1,0)+IF(DB!P756="2RI",2,0)</f>
        <v>0</v>
      </c>
      <c r="W756">
        <f>+IF(DB!P756="1RV",1,0)+IF(DB!P756="2RV",2,0)</f>
        <v>0</v>
      </c>
      <c r="X756">
        <f>+IF(DB!P756="RYI",1,0)</f>
        <v>0</v>
      </c>
      <c r="Y756">
        <f>+IF(DB!P756="RYV",1,0)</f>
        <v>0</v>
      </c>
      <c r="Z756">
        <f>+DB!U756</f>
        <v>0</v>
      </c>
      <c r="AA756">
        <f>+IF(DB!F756="AAAC-35",19.5,33)</f>
        <v>33</v>
      </c>
      <c r="AB756">
        <f>+DB!V756</f>
        <v>0</v>
      </c>
      <c r="AC756" t="str">
        <f t="shared" si="35"/>
        <v>56-4</v>
      </c>
      <c r="AD756" s="21" t="s">
        <v>72</v>
      </c>
      <c r="AE756">
        <f>+DB!X756</f>
        <v>0</v>
      </c>
      <c r="AF756" s="22">
        <f>+DB!Y756</f>
        <v>0</v>
      </c>
      <c r="AG756">
        <f>+DB!AK756</f>
        <v>0</v>
      </c>
    </row>
    <row r="757" spans="1:33" x14ac:dyDescent="0.2">
      <c r="A757">
        <f>+DB!C757</f>
        <v>0</v>
      </c>
      <c r="B757">
        <f>+DB!D757</f>
        <v>0</v>
      </c>
      <c r="C757">
        <f>+DB!E757</f>
        <v>0</v>
      </c>
      <c r="D757">
        <f t="shared" si="33"/>
        <v>0</v>
      </c>
      <c r="E757">
        <f>+DB!G757</f>
        <v>0</v>
      </c>
      <c r="F757">
        <f>+DB!H757</f>
        <v>0</v>
      </c>
      <c r="G757">
        <f>+DB!N757</f>
        <v>0</v>
      </c>
      <c r="H757">
        <f>+DB!O757</f>
        <v>0</v>
      </c>
      <c r="I757">
        <f>+DB!I757</f>
        <v>0</v>
      </c>
      <c r="J757">
        <f>+DB!J757</f>
        <v>0</v>
      </c>
      <c r="K757">
        <f>+DB!L757</f>
        <v>0</v>
      </c>
      <c r="L757" t="str">
        <f t="shared" si="34"/>
        <v/>
      </c>
      <c r="M757" t="str">
        <f>+IF(LEFT(DB!M757,3)="13/","CAC","MAD")</f>
        <v>MAD</v>
      </c>
      <c r="N757" t="str">
        <f>+RIGHT(DB!M757,6)</f>
        <v/>
      </c>
      <c r="O757">
        <v>95</v>
      </c>
      <c r="P757">
        <v>5</v>
      </c>
      <c r="Q757">
        <f>+DB!AB757</f>
        <v>0</v>
      </c>
      <c r="R757">
        <f>+DB!K757</f>
        <v>0</v>
      </c>
      <c r="S757">
        <f>+DB!F757</f>
        <v>0</v>
      </c>
      <c r="T757">
        <f>+IF(DB!F757="AAAC-35",1,3)</f>
        <v>3</v>
      </c>
      <c r="U757">
        <f>+DB!R757</f>
        <v>0</v>
      </c>
      <c r="V757">
        <f>+IF(DB!P757="1RI",1,0)+IF(DB!P757="2RI",2,0)</f>
        <v>0</v>
      </c>
      <c r="W757">
        <f>+IF(DB!P757="1RV",1,0)+IF(DB!P757="2RV",2,0)</f>
        <v>0</v>
      </c>
      <c r="X757">
        <f>+IF(DB!P757="RYI",1,0)</f>
        <v>0</v>
      </c>
      <c r="Y757">
        <f>+IF(DB!P757="RYV",1,0)</f>
        <v>0</v>
      </c>
      <c r="Z757">
        <f>+DB!U757</f>
        <v>0</v>
      </c>
      <c r="AA757">
        <f>+IF(DB!F757="AAAC-35",19.5,33)</f>
        <v>33</v>
      </c>
      <c r="AB757">
        <f>+DB!V757</f>
        <v>0</v>
      </c>
      <c r="AC757" t="str">
        <f t="shared" si="35"/>
        <v>56-4</v>
      </c>
      <c r="AD757" s="21" t="s">
        <v>72</v>
      </c>
      <c r="AE757">
        <f>+DB!X757</f>
        <v>0</v>
      </c>
      <c r="AF757" s="22">
        <f>+DB!Y757</f>
        <v>0</v>
      </c>
      <c r="AG757">
        <f>+DB!AK757</f>
        <v>0</v>
      </c>
    </row>
    <row r="758" spans="1:33" x14ac:dyDescent="0.2">
      <c r="A758">
        <f>+DB!C758</f>
        <v>0</v>
      </c>
      <c r="B758">
        <f>+DB!D758</f>
        <v>0</v>
      </c>
      <c r="C758">
        <f>+DB!E758</f>
        <v>0</v>
      </c>
      <c r="D758">
        <f t="shared" si="33"/>
        <v>0</v>
      </c>
      <c r="E758">
        <f>+DB!G758</f>
        <v>0</v>
      </c>
      <c r="F758">
        <f>+DB!H758</f>
        <v>0</v>
      </c>
      <c r="G758">
        <f>+DB!N758</f>
        <v>0</v>
      </c>
      <c r="H758">
        <f>+DB!O758</f>
        <v>0</v>
      </c>
      <c r="I758">
        <f>+DB!I758</f>
        <v>0</v>
      </c>
      <c r="J758">
        <f>+DB!J758</f>
        <v>0</v>
      </c>
      <c r="K758">
        <f>+DB!L758</f>
        <v>0</v>
      </c>
      <c r="L758" t="str">
        <f t="shared" si="34"/>
        <v/>
      </c>
      <c r="M758" t="str">
        <f>+IF(LEFT(DB!M758,3)="13/","CAC","MAD")</f>
        <v>MAD</v>
      </c>
      <c r="N758" t="str">
        <f>+RIGHT(DB!M758,6)</f>
        <v/>
      </c>
      <c r="O758">
        <v>95</v>
      </c>
      <c r="P758">
        <v>5</v>
      </c>
      <c r="Q758">
        <f>+DB!AB758</f>
        <v>0</v>
      </c>
      <c r="R758">
        <f>+DB!K758</f>
        <v>0</v>
      </c>
      <c r="S758">
        <f>+DB!F758</f>
        <v>0</v>
      </c>
      <c r="T758">
        <f>+IF(DB!F758="AAAC-35",1,3)</f>
        <v>3</v>
      </c>
      <c r="U758">
        <f>+DB!R758</f>
        <v>0</v>
      </c>
      <c r="V758">
        <f>+IF(DB!P758="1RI",1,0)+IF(DB!P758="2RI",2,0)</f>
        <v>0</v>
      </c>
      <c r="W758">
        <f>+IF(DB!P758="1RV",1,0)+IF(DB!P758="2RV",2,0)</f>
        <v>0</v>
      </c>
      <c r="X758">
        <f>+IF(DB!P758="RYI",1,0)</f>
        <v>0</v>
      </c>
      <c r="Y758">
        <f>+IF(DB!P758="RYV",1,0)</f>
        <v>0</v>
      </c>
      <c r="Z758">
        <f>+DB!U758</f>
        <v>0</v>
      </c>
      <c r="AA758">
        <f>+IF(DB!F758="AAAC-35",19.5,33)</f>
        <v>33</v>
      </c>
      <c r="AB758">
        <f>+DB!V758</f>
        <v>0</v>
      </c>
      <c r="AC758" t="str">
        <f t="shared" si="35"/>
        <v>56-4</v>
      </c>
      <c r="AD758" s="21" t="s">
        <v>72</v>
      </c>
      <c r="AE758">
        <f>+DB!X758</f>
        <v>0</v>
      </c>
      <c r="AF758" s="22">
        <f>+DB!Y758</f>
        <v>0</v>
      </c>
      <c r="AG758">
        <f>+DB!AK758</f>
        <v>0</v>
      </c>
    </row>
    <row r="759" spans="1:33" x14ac:dyDescent="0.2">
      <c r="A759">
        <f>+DB!C759</f>
        <v>0</v>
      </c>
      <c r="B759">
        <f>+DB!D759</f>
        <v>0</v>
      </c>
      <c r="C759">
        <f>+DB!E759</f>
        <v>0</v>
      </c>
      <c r="D759">
        <f t="shared" si="33"/>
        <v>0</v>
      </c>
      <c r="E759">
        <f>+DB!G759</f>
        <v>0</v>
      </c>
      <c r="F759">
        <f>+DB!H759</f>
        <v>0</v>
      </c>
      <c r="G759">
        <f>+DB!N759</f>
        <v>0</v>
      </c>
      <c r="H759">
        <f>+DB!O759</f>
        <v>0</v>
      </c>
      <c r="I759">
        <f>+DB!I759</f>
        <v>0</v>
      </c>
      <c r="J759">
        <f>+DB!J759</f>
        <v>0</v>
      </c>
      <c r="K759">
        <f>+DB!L759</f>
        <v>0</v>
      </c>
      <c r="L759" t="str">
        <f t="shared" si="34"/>
        <v/>
      </c>
      <c r="M759" t="str">
        <f>+IF(LEFT(DB!M759,3)="13/","CAC","MAD")</f>
        <v>MAD</v>
      </c>
      <c r="N759" t="str">
        <f>+RIGHT(DB!M759,6)</f>
        <v/>
      </c>
      <c r="O759">
        <v>95</v>
      </c>
      <c r="P759">
        <v>5</v>
      </c>
      <c r="Q759">
        <f>+DB!AB759</f>
        <v>0</v>
      </c>
      <c r="R759">
        <f>+DB!K759</f>
        <v>0</v>
      </c>
      <c r="S759">
        <f>+DB!F759</f>
        <v>0</v>
      </c>
      <c r="T759">
        <f>+IF(DB!F759="AAAC-35",1,3)</f>
        <v>3</v>
      </c>
      <c r="U759">
        <f>+DB!R759</f>
        <v>0</v>
      </c>
      <c r="V759">
        <f>+IF(DB!P759="1RI",1,0)+IF(DB!P759="2RI",2,0)</f>
        <v>0</v>
      </c>
      <c r="W759">
        <f>+IF(DB!P759="1RV",1,0)+IF(DB!P759="2RV",2,0)</f>
        <v>0</v>
      </c>
      <c r="X759">
        <f>+IF(DB!P759="RYI",1,0)</f>
        <v>0</v>
      </c>
      <c r="Y759">
        <f>+IF(DB!P759="RYV",1,0)</f>
        <v>0</v>
      </c>
      <c r="Z759">
        <f>+DB!U759</f>
        <v>0</v>
      </c>
      <c r="AA759">
        <f>+IF(DB!F759="AAAC-35",19.5,33)</f>
        <v>33</v>
      </c>
      <c r="AB759">
        <f>+DB!V759</f>
        <v>0</v>
      </c>
      <c r="AC759" t="str">
        <f t="shared" si="35"/>
        <v>56-4</v>
      </c>
      <c r="AD759" s="21" t="s">
        <v>72</v>
      </c>
      <c r="AE759">
        <f>+DB!X759</f>
        <v>0</v>
      </c>
      <c r="AF759" s="22">
        <f>+DB!Y759</f>
        <v>0</v>
      </c>
      <c r="AG759">
        <f>+DB!AK759</f>
        <v>0</v>
      </c>
    </row>
    <row r="760" spans="1:33" x14ac:dyDescent="0.2">
      <c r="A760">
        <f>+DB!C760</f>
        <v>0</v>
      </c>
      <c r="B760">
        <f>+DB!D760</f>
        <v>0</v>
      </c>
      <c r="C760">
        <f>+DB!E760</f>
        <v>0</v>
      </c>
      <c r="D760">
        <f t="shared" si="33"/>
        <v>0</v>
      </c>
      <c r="E760">
        <f>+DB!G760</f>
        <v>0</v>
      </c>
      <c r="F760">
        <f>+DB!H760</f>
        <v>0</v>
      </c>
      <c r="G760">
        <f>+DB!N760</f>
        <v>0</v>
      </c>
      <c r="H760">
        <f>+DB!O760</f>
        <v>0</v>
      </c>
      <c r="I760">
        <f>+DB!I760</f>
        <v>0</v>
      </c>
      <c r="J760">
        <f>+DB!J760</f>
        <v>0</v>
      </c>
      <c r="K760">
        <f>+DB!L760</f>
        <v>0</v>
      </c>
      <c r="L760" t="str">
        <f t="shared" si="34"/>
        <v/>
      </c>
      <c r="M760" t="str">
        <f>+IF(LEFT(DB!M760,3)="13/","CAC","MAD")</f>
        <v>MAD</v>
      </c>
      <c r="N760" t="str">
        <f>+RIGHT(DB!M760,6)</f>
        <v/>
      </c>
      <c r="O760">
        <v>95</v>
      </c>
      <c r="P760">
        <v>5</v>
      </c>
      <c r="Q760">
        <f>+DB!AB760</f>
        <v>0</v>
      </c>
      <c r="R760">
        <f>+DB!K760</f>
        <v>0</v>
      </c>
      <c r="S760">
        <f>+DB!F760</f>
        <v>0</v>
      </c>
      <c r="T760">
        <f>+IF(DB!F760="AAAC-35",1,3)</f>
        <v>3</v>
      </c>
      <c r="U760">
        <f>+DB!R760</f>
        <v>0</v>
      </c>
      <c r="V760">
        <f>+IF(DB!P760="1RI",1,0)+IF(DB!P760="2RI",2,0)</f>
        <v>0</v>
      </c>
      <c r="W760">
        <f>+IF(DB!P760="1RV",1,0)+IF(DB!P760="2RV",2,0)</f>
        <v>0</v>
      </c>
      <c r="X760">
        <f>+IF(DB!P760="RYI",1,0)</f>
        <v>0</v>
      </c>
      <c r="Y760">
        <f>+IF(DB!P760="RYV",1,0)</f>
        <v>0</v>
      </c>
      <c r="Z760">
        <f>+DB!U760</f>
        <v>0</v>
      </c>
      <c r="AA760">
        <f>+IF(DB!F760="AAAC-35",19.5,33)</f>
        <v>33</v>
      </c>
      <c r="AB760">
        <f>+DB!V760</f>
        <v>0</v>
      </c>
      <c r="AC760" t="str">
        <f t="shared" si="35"/>
        <v>56-4</v>
      </c>
      <c r="AD760" s="21" t="s">
        <v>72</v>
      </c>
      <c r="AE760">
        <f>+DB!X760</f>
        <v>0</v>
      </c>
      <c r="AF760" s="22">
        <f>+DB!Y760</f>
        <v>0</v>
      </c>
      <c r="AG760">
        <f>+DB!AK760</f>
        <v>0</v>
      </c>
    </row>
    <row r="761" spans="1:33" x14ac:dyDescent="0.2">
      <c r="A761">
        <f>+DB!C761</f>
        <v>0</v>
      </c>
      <c r="B761">
        <f>+DB!D761</f>
        <v>0</v>
      </c>
      <c r="C761">
        <f>+DB!E761</f>
        <v>0</v>
      </c>
      <c r="D761">
        <f t="shared" si="33"/>
        <v>0</v>
      </c>
      <c r="E761">
        <f>+DB!G761</f>
        <v>0</v>
      </c>
      <c r="F761">
        <f>+DB!H761</f>
        <v>0</v>
      </c>
      <c r="G761">
        <f>+DB!N761</f>
        <v>0</v>
      </c>
      <c r="H761">
        <f>+DB!O761</f>
        <v>0</v>
      </c>
      <c r="I761">
        <f>+DB!I761</f>
        <v>0</v>
      </c>
      <c r="J761">
        <f>+DB!J761</f>
        <v>0</v>
      </c>
      <c r="K761">
        <f>+DB!L761</f>
        <v>0</v>
      </c>
      <c r="L761" t="str">
        <f t="shared" si="34"/>
        <v/>
      </c>
      <c r="M761" t="str">
        <f>+IF(LEFT(DB!M761,3)="13/","CAC","MAD")</f>
        <v>MAD</v>
      </c>
      <c r="N761" t="str">
        <f>+RIGHT(DB!M761,6)</f>
        <v/>
      </c>
      <c r="O761">
        <v>95</v>
      </c>
      <c r="P761">
        <v>5</v>
      </c>
      <c r="Q761">
        <f>+DB!AB761</f>
        <v>0</v>
      </c>
      <c r="R761">
        <f>+DB!K761</f>
        <v>0</v>
      </c>
      <c r="S761">
        <f>+DB!F761</f>
        <v>0</v>
      </c>
      <c r="T761">
        <f>+IF(DB!F761="AAAC-35",1,3)</f>
        <v>3</v>
      </c>
      <c r="U761">
        <f>+DB!R761</f>
        <v>0</v>
      </c>
      <c r="V761">
        <f>+IF(DB!P761="1RI",1,0)+IF(DB!P761="2RI",2,0)</f>
        <v>0</v>
      </c>
      <c r="W761">
        <f>+IF(DB!P761="1RV",1,0)+IF(DB!P761="2RV",2,0)</f>
        <v>0</v>
      </c>
      <c r="X761">
        <f>+IF(DB!P761="RYI",1,0)</f>
        <v>0</v>
      </c>
      <c r="Y761">
        <f>+IF(DB!P761="RYV",1,0)</f>
        <v>0</v>
      </c>
      <c r="Z761">
        <f>+DB!U761</f>
        <v>0</v>
      </c>
      <c r="AA761">
        <f>+IF(DB!F761="AAAC-35",19.5,33)</f>
        <v>33</v>
      </c>
      <c r="AB761">
        <f>+DB!V761</f>
        <v>0</v>
      </c>
      <c r="AC761" t="str">
        <f t="shared" si="35"/>
        <v>56-4</v>
      </c>
      <c r="AD761" s="21" t="s">
        <v>72</v>
      </c>
      <c r="AE761">
        <f>+DB!X761</f>
        <v>0</v>
      </c>
      <c r="AF761" s="22">
        <f>+DB!Y761</f>
        <v>0</v>
      </c>
      <c r="AG761">
        <f>+DB!AK761</f>
        <v>0</v>
      </c>
    </row>
    <row r="762" spans="1:33" x14ac:dyDescent="0.2">
      <c r="A762">
        <f>+DB!C762</f>
        <v>0</v>
      </c>
      <c r="B762">
        <f>+DB!D762</f>
        <v>0</v>
      </c>
      <c r="C762">
        <f>+DB!E762</f>
        <v>0</v>
      </c>
      <c r="D762">
        <f t="shared" si="33"/>
        <v>0</v>
      </c>
      <c r="E762">
        <f>+DB!G762</f>
        <v>0</v>
      </c>
      <c r="F762">
        <f>+DB!H762</f>
        <v>0</v>
      </c>
      <c r="G762">
        <f>+DB!N762</f>
        <v>0</v>
      </c>
      <c r="H762">
        <f>+DB!O762</f>
        <v>0</v>
      </c>
      <c r="I762">
        <f>+DB!I762</f>
        <v>0</v>
      </c>
      <c r="J762">
        <f>+DB!J762</f>
        <v>0</v>
      </c>
      <c r="K762">
        <f>+DB!L762</f>
        <v>0</v>
      </c>
      <c r="L762" t="str">
        <f t="shared" si="34"/>
        <v/>
      </c>
      <c r="M762" t="str">
        <f>+IF(LEFT(DB!M762,3)="13/","CAC","MAD")</f>
        <v>MAD</v>
      </c>
      <c r="N762" t="str">
        <f>+RIGHT(DB!M762,6)</f>
        <v/>
      </c>
      <c r="O762">
        <v>95</v>
      </c>
      <c r="P762">
        <v>5</v>
      </c>
      <c r="Q762">
        <f>+DB!AB762</f>
        <v>0</v>
      </c>
      <c r="R762">
        <f>+DB!K762</f>
        <v>0</v>
      </c>
      <c r="S762">
        <f>+DB!F762</f>
        <v>0</v>
      </c>
      <c r="T762">
        <f>+IF(DB!F762="AAAC-35",1,3)</f>
        <v>3</v>
      </c>
      <c r="U762">
        <f>+DB!R762</f>
        <v>0</v>
      </c>
      <c r="V762">
        <f>+IF(DB!P762="1RI",1,0)+IF(DB!P762="2RI",2,0)</f>
        <v>0</v>
      </c>
      <c r="W762">
        <f>+IF(DB!P762="1RV",1,0)+IF(DB!P762="2RV",2,0)</f>
        <v>0</v>
      </c>
      <c r="X762">
        <f>+IF(DB!P762="RYI",1,0)</f>
        <v>0</v>
      </c>
      <c r="Y762">
        <f>+IF(DB!P762="RYV",1,0)</f>
        <v>0</v>
      </c>
      <c r="Z762">
        <f>+DB!U762</f>
        <v>0</v>
      </c>
      <c r="AA762">
        <f>+IF(DB!F762="AAAC-35",19.5,33)</f>
        <v>33</v>
      </c>
      <c r="AB762">
        <f>+DB!V762</f>
        <v>0</v>
      </c>
      <c r="AC762" t="str">
        <f t="shared" si="35"/>
        <v>56-4</v>
      </c>
      <c r="AD762" s="21" t="s">
        <v>72</v>
      </c>
      <c r="AE762">
        <f>+DB!X762</f>
        <v>0</v>
      </c>
      <c r="AF762" s="22">
        <f>+DB!Y762</f>
        <v>0</v>
      </c>
      <c r="AG762">
        <f>+DB!AK762</f>
        <v>0</v>
      </c>
    </row>
    <row r="763" spans="1:33" x14ac:dyDescent="0.2">
      <c r="A763">
        <f>+DB!C763</f>
        <v>0</v>
      </c>
      <c r="B763">
        <f>+DB!D763</f>
        <v>0</v>
      </c>
      <c r="C763">
        <f>+DB!E763</f>
        <v>0</v>
      </c>
      <c r="D763">
        <f t="shared" si="33"/>
        <v>0</v>
      </c>
      <c r="E763">
        <f>+DB!G763</f>
        <v>0</v>
      </c>
      <c r="F763">
        <f>+DB!H763</f>
        <v>0</v>
      </c>
      <c r="G763">
        <f>+DB!N763</f>
        <v>0</v>
      </c>
      <c r="H763">
        <f>+DB!O763</f>
        <v>0</v>
      </c>
      <c r="I763">
        <f>+DB!I763</f>
        <v>0</v>
      </c>
      <c r="J763">
        <f>+DB!J763</f>
        <v>0</v>
      </c>
      <c r="K763">
        <f>+DB!L763</f>
        <v>0</v>
      </c>
      <c r="L763" t="str">
        <f t="shared" si="34"/>
        <v/>
      </c>
      <c r="M763" t="str">
        <f>+IF(LEFT(DB!M763,3)="13/","CAC","MAD")</f>
        <v>MAD</v>
      </c>
      <c r="N763" t="str">
        <f>+RIGHT(DB!M763,6)</f>
        <v/>
      </c>
      <c r="O763">
        <v>95</v>
      </c>
      <c r="P763">
        <v>5</v>
      </c>
      <c r="Q763">
        <f>+DB!AB763</f>
        <v>0</v>
      </c>
      <c r="R763">
        <f>+DB!K763</f>
        <v>0</v>
      </c>
      <c r="S763">
        <f>+DB!F763</f>
        <v>0</v>
      </c>
      <c r="T763">
        <f>+IF(DB!F763="AAAC-35",1,3)</f>
        <v>3</v>
      </c>
      <c r="U763">
        <f>+DB!R763</f>
        <v>0</v>
      </c>
      <c r="V763">
        <f>+IF(DB!P763="1RI",1,0)+IF(DB!P763="2RI",2,0)</f>
        <v>0</v>
      </c>
      <c r="W763">
        <f>+IF(DB!P763="1RV",1,0)+IF(DB!P763="2RV",2,0)</f>
        <v>0</v>
      </c>
      <c r="X763">
        <f>+IF(DB!P763="RYI",1,0)</f>
        <v>0</v>
      </c>
      <c r="Y763">
        <f>+IF(DB!P763="RYV",1,0)</f>
        <v>0</v>
      </c>
      <c r="Z763">
        <f>+DB!U763</f>
        <v>0</v>
      </c>
      <c r="AA763">
        <f>+IF(DB!F763="AAAC-35",19.5,33)</f>
        <v>33</v>
      </c>
      <c r="AB763">
        <f>+DB!V763</f>
        <v>0</v>
      </c>
      <c r="AC763" t="str">
        <f t="shared" si="35"/>
        <v>56-4</v>
      </c>
      <c r="AD763" s="21" t="s">
        <v>72</v>
      </c>
      <c r="AE763">
        <f>+DB!X763</f>
        <v>0</v>
      </c>
      <c r="AF763" s="22">
        <f>+DB!Y763</f>
        <v>0</v>
      </c>
      <c r="AG763">
        <f>+DB!AK763</f>
        <v>0</v>
      </c>
    </row>
    <row r="764" spans="1:33" x14ac:dyDescent="0.2">
      <c r="A764">
        <f>+DB!C764</f>
        <v>0</v>
      </c>
      <c r="B764">
        <f>+DB!D764</f>
        <v>0</v>
      </c>
      <c r="C764">
        <f>+DB!E764</f>
        <v>0</v>
      </c>
      <c r="D764">
        <f t="shared" si="33"/>
        <v>0</v>
      </c>
      <c r="E764">
        <f>+DB!G764</f>
        <v>0</v>
      </c>
      <c r="F764">
        <f>+DB!H764</f>
        <v>0</v>
      </c>
      <c r="G764">
        <f>+DB!N764</f>
        <v>0</v>
      </c>
      <c r="H764">
        <f>+DB!O764</f>
        <v>0</v>
      </c>
      <c r="I764">
        <f>+DB!I764</f>
        <v>0</v>
      </c>
      <c r="J764">
        <f>+DB!J764</f>
        <v>0</v>
      </c>
      <c r="K764">
        <f>+DB!L764</f>
        <v>0</v>
      </c>
      <c r="L764" t="str">
        <f t="shared" si="34"/>
        <v/>
      </c>
      <c r="M764" t="str">
        <f>+IF(LEFT(DB!M764,3)="13/","CAC","MAD")</f>
        <v>MAD</v>
      </c>
      <c r="N764" t="str">
        <f>+RIGHT(DB!M764,6)</f>
        <v/>
      </c>
      <c r="O764">
        <v>95</v>
      </c>
      <c r="P764">
        <v>5</v>
      </c>
      <c r="Q764">
        <f>+DB!AB764</f>
        <v>0</v>
      </c>
      <c r="R764">
        <f>+DB!K764</f>
        <v>0</v>
      </c>
      <c r="S764">
        <f>+DB!F764</f>
        <v>0</v>
      </c>
      <c r="T764">
        <f>+IF(DB!F764="AAAC-35",1,3)</f>
        <v>3</v>
      </c>
      <c r="U764">
        <f>+DB!R764</f>
        <v>0</v>
      </c>
      <c r="V764">
        <f>+IF(DB!P764="1RI",1,0)+IF(DB!P764="2RI",2,0)</f>
        <v>0</v>
      </c>
      <c r="W764">
        <f>+IF(DB!P764="1RV",1,0)+IF(DB!P764="2RV",2,0)</f>
        <v>0</v>
      </c>
      <c r="X764">
        <f>+IF(DB!P764="RYI",1,0)</f>
        <v>0</v>
      </c>
      <c r="Y764">
        <f>+IF(DB!P764="RYV",1,0)</f>
        <v>0</v>
      </c>
      <c r="Z764">
        <f>+DB!U764</f>
        <v>0</v>
      </c>
      <c r="AA764">
        <f>+IF(DB!F764="AAAC-35",19.5,33)</f>
        <v>33</v>
      </c>
      <c r="AB764">
        <f>+DB!V764</f>
        <v>0</v>
      </c>
      <c r="AC764" t="str">
        <f t="shared" si="35"/>
        <v>56-4</v>
      </c>
      <c r="AD764" s="21" t="s">
        <v>72</v>
      </c>
      <c r="AE764">
        <f>+DB!X764</f>
        <v>0</v>
      </c>
      <c r="AF764" s="22">
        <f>+DB!Y764</f>
        <v>0</v>
      </c>
      <c r="AG764">
        <f>+DB!AK764</f>
        <v>0</v>
      </c>
    </row>
    <row r="765" spans="1:33" x14ac:dyDescent="0.2">
      <c r="A765">
        <f>+DB!C765</f>
        <v>0</v>
      </c>
      <c r="B765">
        <f>+DB!D765</f>
        <v>0</v>
      </c>
      <c r="C765">
        <f>+DB!E765</f>
        <v>0</v>
      </c>
      <c r="D765">
        <f t="shared" si="33"/>
        <v>0</v>
      </c>
      <c r="E765">
        <f>+DB!G765</f>
        <v>0</v>
      </c>
      <c r="F765">
        <f>+DB!H765</f>
        <v>0</v>
      </c>
      <c r="G765">
        <f>+DB!N765</f>
        <v>0</v>
      </c>
      <c r="H765">
        <f>+DB!O765</f>
        <v>0</v>
      </c>
      <c r="I765">
        <f>+DB!I765</f>
        <v>0</v>
      </c>
      <c r="J765">
        <f>+DB!J765</f>
        <v>0</v>
      </c>
      <c r="K765">
        <f>+DB!L765</f>
        <v>0</v>
      </c>
      <c r="L765" t="str">
        <f t="shared" si="34"/>
        <v/>
      </c>
      <c r="M765" t="str">
        <f>+IF(LEFT(DB!M765,3)="13/","CAC","MAD")</f>
        <v>MAD</v>
      </c>
      <c r="N765" t="str">
        <f>+RIGHT(DB!M765,6)</f>
        <v/>
      </c>
      <c r="O765">
        <v>95</v>
      </c>
      <c r="P765">
        <v>5</v>
      </c>
      <c r="Q765">
        <f>+DB!AB765</f>
        <v>0</v>
      </c>
      <c r="R765">
        <f>+DB!K765</f>
        <v>0</v>
      </c>
      <c r="S765">
        <f>+DB!F765</f>
        <v>0</v>
      </c>
      <c r="T765">
        <f>+IF(DB!F765="AAAC-35",1,3)</f>
        <v>3</v>
      </c>
      <c r="U765">
        <f>+DB!R765</f>
        <v>0</v>
      </c>
      <c r="V765">
        <f>+IF(DB!P765="1RI",1,0)+IF(DB!P765="2RI",2,0)</f>
        <v>0</v>
      </c>
      <c r="W765">
        <f>+IF(DB!P765="1RV",1,0)+IF(DB!P765="2RV",2,0)</f>
        <v>0</v>
      </c>
      <c r="X765">
        <f>+IF(DB!P765="RYI",1,0)</f>
        <v>0</v>
      </c>
      <c r="Y765">
        <f>+IF(DB!P765="RYV",1,0)</f>
        <v>0</v>
      </c>
      <c r="Z765">
        <f>+DB!U765</f>
        <v>0</v>
      </c>
      <c r="AA765">
        <f>+IF(DB!F765="AAAC-35",19.5,33)</f>
        <v>33</v>
      </c>
      <c r="AB765">
        <f>+DB!V765</f>
        <v>0</v>
      </c>
      <c r="AC765" t="str">
        <f t="shared" si="35"/>
        <v>56-4</v>
      </c>
      <c r="AD765" s="21" t="s">
        <v>72</v>
      </c>
      <c r="AE765">
        <f>+DB!X765</f>
        <v>0</v>
      </c>
      <c r="AF765" s="22">
        <f>+DB!Y765</f>
        <v>0</v>
      </c>
      <c r="AG765">
        <f>+DB!AK765</f>
        <v>0</v>
      </c>
    </row>
    <row r="766" spans="1:33" x14ac:dyDescent="0.2">
      <c r="A766">
        <f>+DB!C766</f>
        <v>0</v>
      </c>
      <c r="B766">
        <f>+DB!D766</f>
        <v>0</v>
      </c>
      <c r="C766">
        <f>+DB!E766</f>
        <v>0</v>
      </c>
      <c r="D766">
        <f t="shared" si="33"/>
        <v>0</v>
      </c>
      <c r="E766">
        <f>+DB!G766</f>
        <v>0</v>
      </c>
      <c r="F766">
        <f>+DB!H766</f>
        <v>0</v>
      </c>
      <c r="G766">
        <f>+DB!N766</f>
        <v>0</v>
      </c>
      <c r="H766">
        <f>+DB!O766</f>
        <v>0</v>
      </c>
      <c r="I766">
        <f>+DB!I766</f>
        <v>0</v>
      </c>
      <c r="J766">
        <f>+DB!J766</f>
        <v>0</v>
      </c>
      <c r="K766">
        <f>+DB!L766</f>
        <v>0</v>
      </c>
      <c r="L766" t="str">
        <f t="shared" si="34"/>
        <v/>
      </c>
      <c r="M766" t="str">
        <f>+IF(LEFT(DB!M766,3)="13/","CAC","MAD")</f>
        <v>MAD</v>
      </c>
      <c r="N766" t="str">
        <f>+RIGHT(DB!M766,6)</f>
        <v/>
      </c>
      <c r="O766">
        <v>95</v>
      </c>
      <c r="P766">
        <v>5</v>
      </c>
      <c r="Q766">
        <f>+DB!AB766</f>
        <v>0</v>
      </c>
      <c r="R766">
        <f>+DB!K766</f>
        <v>0</v>
      </c>
      <c r="S766">
        <f>+DB!F766</f>
        <v>0</v>
      </c>
      <c r="T766">
        <f>+IF(DB!F766="AAAC-35",1,3)</f>
        <v>3</v>
      </c>
      <c r="U766">
        <f>+DB!R766</f>
        <v>0</v>
      </c>
      <c r="V766">
        <f>+IF(DB!P766="1RI",1,0)+IF(DB!P766="2RI",2,0)</f>
        <v>0</v>
      </c>
      <c r="W766">
        <f>+IF(DB!P766="1RV",1,0)+IF(DB!P766="2RV",2,0)</f>
        <v>0</v>
      </c>
      <c r="X766">
        <f>+IF(DB!P766="RYI",1,0)</f>
        <v>0</v>
      </c>
      <c r="Y766">
        <f>+IF(DB!P766="RYV",1,0)</f>
        <v>0</v>
      </c>
      <c r="Z766">
        <f>+DB!U766</f>
        <v>0</v>
      </c>
      <c r="AA766">
        <f>+IF(DB!F766="AAAC-35",19.5,33)</f>
        <v>33</v>
      </c>
      <c r="AB766">
        <f>+DB!V766</f>
        <v>0</v>
      </c>
      <c r="AC766" t="str">
        <f t="shared" si="35"/>
        <v>56-4</v>
      </c>
      <c r="AD766" s="21" t="s">
        <v>72</v>
      </c>
      <c r="AE766">
        <f>+DB!X766</f>
        <v>0</v>
      </c>
      <c r="AF766" s="22">
        <f>+DB!Y766</f>
        <v>0</v>
      </c>
      <c r="AG766">
        <f>+DB!AK766</f>
        <v>0</v>
      </c>
    </row>
    <row r="767" spans="1:33" x14ac:dyDescent="0.2">
      <c r="A767">
        <f>+DB!C767</f>
        <v>0</v>
      </c>
      <c r="B767">
        <f>+DB!D767</f>
        <v>0</v>
      </c>
      <c r="C767">
        <f>+DB!E767</f>
        <v>0</v>
      </c>
      <c r="D767">
        <f t="shared" si="33"/>
        <v>0</v>
      </c>
      <c r="E767">
        <f>+DB!G767</f>
        <v>0</v>
      </c>
      <c r="F767">
        <f>+DB!H767</f>
        <v>0</v>
      </c>
      <c r="G767">
        <f>+DB!N767</f>
        <v>0</v>
      </c>
      <c r="H767">
        <f>+DB!O767</f>
        <v>0</v>
      </c>
      <c r="I767">
        <f>+DB!I767</f>
        <v>0</v>
      </c>
      <c r="J767">
        <f>+DB!J767</f>
        <v>0</v>
      </c>
      <c r="K767">
        <f>+DB!L767</f>
        <v>0</v>
      </c>
      <c r="L767" t="str">
        <f t="shared" si="34"/>
        <v/>
      </c>
      <c r="M767" t="str">
        <f>+IF(LEFT(DB!M767,3)="13/","CAC","MAD")</f>
        <v>MAD</v>
      </c>
      <c r="N767" t="str">
        <f>+RIGHT(DB!M767,6)</f>
        <v/>
      </c>
      <c r="O767">
        <v>95</v>
      </c>
      <c r="P767">
        <v>5</v>
      </c>
      <c r="Q767">
        <f>+DB!AB767</f>
        <v>0</v>
      </c>
      <c r="R767">
        <f>+DB!K767</f>
        <v>0</v>
      </c>
      <c r="S767">
        <f>+DB!F767</f>
        <v>0</v>
      </c>
      <c r="T767">
        <f>+IF(DB!F767="AAAC-35",1,3)</f>
        <v>3</v>
      </c>
      <c r="U767">
        <f>+DB!R767</f>
        <v>0</v>
      </c>
      <c r="V767">
        <f>+IF(DB!P767="1RI",1,0)+IF(DB!P767="2RI",2,0)</f>
        <v>0</v>
      </c>
      <c r="W767">
        <f>+IF(DB!P767="1RV",1,0)+IF(DB!P767="2RV",2,0)</f>
        <v>0</v>
      </c>
      <c r="X767">
        <f>+IF(DB!P767="RYI",1,0)</f>
        <v>0</v>
      </c>
      <c r="Y767">
        <f>+IF(DB!P767="RYV",1,0)</f>
        <v>0</v>
      </c>
      <c r="Z767">
        <f>+DB!U767</f>
        <v>0</v>
      </c>
      <c r="AA767">
        <f>+IF(DB!F767="AAAC-35",19.5,33)</f>
        <v>33</v>
      </c>
      <c r="AB767">
        <f>+DB!V767</f>
        <v>0</v>
      </c>
      <c r="AC767" t="str">
        <f t="shared" si="35"/>
        <v>56-4</v>
      </c>
      <c r="AD767" s="21" t="s">
        <v>72</v>
      </c>
      <c r="AE767">
        <f>+DB!X767</f>
        <v>0</v>
      </c>
      <c r="AF767" s="22">
        <f>+DB!Y767</f>
        <v>0</v>
      </c>
      <c r="AG767">
        <f>+DB!AK767</f>
        <v>0</v>
      </c>
    </row>
    <row r="768" spans="1:33" x14ac:dyDescent="0.2">
      <c r="A768">
        <f>+DB!C768</f>
        <v>0</v>
      </c>
      <c r="B768">
        <f>+DB!D768</f>
        <v>0</v>
      </c>
      <c r="C768">
        <f>+DB!E768</f>
        <v>0</v>
      </c>
      <c r="D768">
        <f t="shared" si="33"/>
        <v>0</v>
      </c>
      <c r="E768">
        <f>+DB!G768</f>
        <v>0</v>
      </c>
      <c r="F768">
        <f>+DB!H768</f>
        <v>0</v>
      </c>
      <c r="G768">
        <f>+DB!N768</f>
        <v>0</v>
      </c>
      <c r="H768">
        <f>+DB!O768</f>
        <v>0</v>
      </c>
      <c r="I768">
        <f>+DB!I768</f>
        <v>0</v>
      </c>
      <c r="J768">
        <f>+DB!J768</f>
        <v>0</v>
      </c>
      <c r="K768">
        <f>+DB!L768</f>
        <v>0</v>
      </c>
      <c r="L768" t="str">
        <f t="shared" si="34"/>
        <v/>
      </c>
      <c r="M768" t="str">
        <f>+IF(LEFT(DB!M768,3)="13/","CAC","MAD")</f>
        <v>MAD</v>
      </c>
      <c r="N768" t="str">
        <f>+RIGHT(DB!M768,6)</f>
        <v/>
      </c>
      <c r="O768">
        <v>95</v>
      </c>
      <c r="P768">
        <v>5</v>
      </c>
      <c r="Q768">
        <f>+DB!AB768</f>
        <v>0</v>
      </c>
      <c r="R768">
        <f>+DB!K768</f>
        <v>0</v>
      </c>
      <c r="S768">
        <f>+DB!F768</f>
        <v>0</v>
      </c>
      <c r="T768">
        <f>+IF(DB!F768="AAAC-35",1,3)</f>
        <v>3</v>
      </c>
      <c r="U768">
        <f>+DB!R768</f>
        <v>0</v>
      </c>
      <c r="V768">
        <f>+IF(DB!P768="1RI",1,0)+IF(DB!P768="2RI",2,0)</f>
        <v>0</v>
      </c>
      <c r="W768">
        <f>+IF(DB!P768="1RV",1,0)+IF(DB!P768="2RV",2,0)</f>
        <v>0</v>
      </c>
      <c r="X768">
        <f>+IF(DB!P768="RYI",1,0)</f>
        <v>0</v>
      </c>
      <c r="Y768">
        <f>+IF(DB!P768="RYV",1,0)</f>
        <v>0</v>
      </c>
      <c r="Z768">
        <f>+DB!U768</f>
        <v>0</v>
      </c>
      <c r="AA768">
        <f>+IF(DB!F768="AAAC-35",19.5,33)</f>
        <v>33</v>
      </c>
      <c r="AB768">
        <f>+DB!V768</f>
        <v>0</v>
      </c>
      <c r="AC768" t="str">
        <f t="shared" si="35"/>
        <v>56-4</v>
      </c>
      <c r="AD768" s="21" t="s">
        <v>72</v>
      </c>
      <c r="AE768">
        <f>+DB!X768</f>
        <v>0</v>
      </c>
      <c r="AF768" s="22">
        <f>+DB!Y768</f>
        <v>0</v>
      </c>
      <c r="AG768">
        <f>+DB!AK768</f>
        <v>0</v>
      </c>
    </row>
    <row r="769" spans="1:33" x14ac:dyDescent="0.2">
      <c r="A769">
        <f>+DB!C769</f>
        <v>0</v>
      </c>
      <c r="B769">
        <f>+DB!D769</f>
        <v>0</v>
      </c>
      <c r="C769">
        <f>+DB!E769</f>
        <v>0</v>
      </c>
      <c r="D769">
        <f t="shared" si="33"/>
        <v>0</v>
      </c>
      <c r="E769">
        <f>+DB!G769</f>
        <v>0</v>
      </c>
      <c r="F769">
        <f>+DB!H769</f>
        <v>0</v>
      </c>
      <c r="G769">
        <f>+DB!N769</f>
        <v>0</v>
      </c>
      <c r="H769">
        <f>+DB!O769</f>
        <v>0</v>
      </c>
      <c r="I769">
        <f>+DB!I769</f>
        <v>0</v>
      </c>
      <c r="J769">
        <f>+DB!J769</f>
        <v>0</v>
      </c>
      <c r="K769">
        <f>+DB!L769</f>
        <v>0</v>
      </c>
      <c r="L769" t="str">
        <f t="shared" si="34"/>
        <v/>
      </c>
      <c r="M769" t="str">
        <f>+IF(LEFT(DB!M769,3)="13/","CAC","MAD")</f>
        <v>MAD</v>
      </c>
      <c r="N769" t="str">
        <f>+RIGHT(DB!M769,6)</f>
        <v/>
      </c>
      <c r="O769">
        <v>95</v>
      </c>
      <c r="P769">
        <v>5</v>
      </c>
      <c r="Q769">
        <f>+DB!AB769</f>
        <v>0</v>
      </c>
      <c r="R769">
        <f>+DB!K769</f>
        <v>0</v>
      </c>
      <c r="S769">
        <f>+DB!F769</f>
        <v>0</v>
      </c>
      <c r="T769">
        <f>+IF(DB!F769="AAAC-35",1,3)</f>
        <v>3</v>
      </c>
      <c r="U769">
        <f>+DB!R769</f>
        <v>0</v>
      </c>
      <c r="V769">
        <f>+IF(DB!P769="1RI",1,0)+IF(DB!P769="2RI",2,0)</f>
        <v>0</v>
      </c>
      <c r="W769">
        <f>+IF(DB!P769="1RV",1,0)+IF(DB!P769="2RV",2,0)</f>
        <v>0</v>
      </c>
      <c r="X769">
        <f>+IF(DB!P769="RYI",1,0)</f>
        <v>0</v>
      </c>
      <c r="Y769">
        <f>+IF(DB!P769="RYV",1,0)</f>
        <v>0</v>
      </c>
      <c r="Z769">
        <f>+DB!U769</f>
        <v>0</v>
      </c>
      <c r="AA769">
        <f>+IF(DB!F769="AAAC-35",19.5,33)</f>
        <v>33</v>
      </c>
      <c r="AB769">
        <f>+DB!V769</f>
        <v>0</v>
      </c>
      <c r="AC769" t="str">
        <f t="shared" si="35"/>
        <v>56-4</v>
      </c>
      <c r="AD769" s="21" t="s">
        <v>72</v>
      </c>
      <c r="AE769">
        <f>+DB!X769</f>
        <v>0</v>
      </c>
      <c r="AF769" s="22">
        <f>+DB!Y769</f>
        <v>0</v>
      </c>
      <c r="AG769">
        <f>+DB!AK769</f>
        <v>0</v>
      </c>
    </row>
    <row r="770" spans="1:33" x14ac:dyDescent="0.2">
      <c r="A770">
        <f>+DB!C770</f>
        <v>0</v>
      </c>
      <c r="B770">
        <f>+DB!D770</f>
        <v>0</v>
      </c>
      <c r="C770">
        <f>+DB!E770</f>
        <v>0</v>
      </c>
      <c r="D770">
        <f t="shared" si="33"/>
        <v>0</v>
      </c>
      <c r="E770">
        <f>+DB!G770</f>
        <v>0</v>
      </c>
      <c r="F770">
        <f>+DB!H770</f>
        <v>0</v>
      </c>
      <c r="G770">
        <f>+DB!N770</f>
        <v>0</v>
      </c>
      <c r="H770">
        <f>+DB!O770</f>
        <v>0</v>
      </c>
      <c r="I770">
        <f>+DB!I770</f>
        <v>0</v>
      </c>
      <c r="J770">
        <f>+DB!J770</f>
        <v>0</v>
      </c>
      <c r="K770">
        <f>+DB!L770</f>
        <v>0</v>
      </c>
      <c r="L770" t="str">
        <f t="shared" si="34"/>
        <v/>
      </c>
      <c r="M770" t="str">
        <f>+IF(LEFT(DB!M770,3)="13/","CAC","MAD")</f>
        <v>MAD</v>
      </c>
      <c r="N770" t="str">
        <f>+RIGHT(DB!M770,6)</f>
        <v/>
      </c>
      <c r="O770">
        <v>95</v>
      </c>
      <c r="P770">
        <v>5</v>
      </c>
      <c r="Q770">
        <f>+DB!AB770</f>
        <v>0</v>
      </c>
      <c r="R770">
        <f>+DB!K770</f>
        <v>0</v>
      </c>
      <c r="S770">
        <f>+DB!F770</f>
        <v>0</v>
      </c>
      <c r="T770">
        <f>+IF(DB!F770="AAAC-35",1,3)</f>
        <v>3</v>
      </c>
      <c r="U770">
        <f>+DB!R770</f>
        <v>0</v>
      </c>
      <c r="V770">
        <f>+IF(DB!P770="1RI",1,0)+IF(DB!P770="2RI",2,0)</f>
        <v>0</v>
      </c>
      <c r="W770">
        <f>+IF(DB!P770="1RV",1,0)+IF(DB!P770="2RV",2,0)</f>
        <v>0</v>
      </c>
      <c r="X770">
        <f>+IF(DB!P770="RYI",1,0)</f>
        <v>0</v>
      </c>
      <c r="Y770">
        <f>+IF(DB!P770="RYV",1,0)</f>
        <v>0</v>
      </c>
      <c r="Z770">
        <f>+DB!U770</f>
        <v>0</v>
      </c>
      <c r="AA770">
        <f>+IF(DB!F770="AAAC-35",19.5,33)</f>
        <v>33</v>
      </c>
      <c r="AB770">
        <f>+DB!V770</f>
        <v>0</v>
      </c>
      <c r="AC770" t="str">
        <f t="shared" si="35"/>
        <v>56-4</v>
      </c>
      <c r="AD770" s="21" t="s">
        <v>72</v>
      </c>
      <c r="AE770">
        <f>+DB!X770</f>
        <v>0</v>
      </c>
      <c r="AF770" s="22">
        <f>+DB!Y770</f>
        <v>0</v>
      </c>
      <c r="AG770">
        <f>+DB!AK770</f>
        <v>0</v>
      </c>
    </row>
    <row r="771" spans="1:33" x14ac:dyDescent="0.2">
      <c r="A771">
        <f>+DB!C771</f>
        <v>0</v>
      </c>
      <c r="B771">
        <f>+DB!D771</f>
        <v>0</v>
      </c>
      <c r="C771">
        <f>+DB!E771</f>
        <v>0</v>
      </c>
      <c r="D771">
        <f t="shared" ref="D771:D834" si="36">+IF(B771="PSEC-0PA","K",0)</f>
        <v>0</v>
      </c>
      <c r="E771">
        <f>+DB!G771</f>
        <v>0</v>
      </c>
      <c r="F771">
        <f>+DB!H771</f>
        <v>0</v>
      </c>
      <c r="G771">
        <f>+DB!N771</f>
        <v>0</v>
      </c>
      <c r="H771">
        <f>+DB!O771</f>
        <v>0</v>
      </c>
      <c r="I771">
        <f>+DB!I771</f>
        <v>0</v>
      </c>
      <c r="J771">
        <f>+DB!J771</f>
        <v>0</v>
      </c>
      <c r="K771">
        <f>+DB!L771</f>
        <v>0</v>
      </c>
      <c r="L771" t="str">
        <f t="shared" ref="L771:L834" si="37">+LEFT(N771,2)</f>
        <v/>
      </c>
      <c r="M771" t="str">
        <f>+IF(LEFT(DB!M771,3)="13/","CAC","MAD")</f>
        <v>MAD</v>
      </c>
      <c r="N771" t="str">
        <f>+RIGHT(DB!M771,6)</f>
        <v/>
      </c>
      <c r="O771">
        <v>95</v>
      </c>
      <c r="P771">
        <v>5</v>
      </c>
      <c r="Q771">
        <f>+DB!AB771</f>
        <v>0</v>
      </c>
      <c r="R771">
        <f>+DB!K771</f>
        <v>0</v>
      </c>
      <c r="S771">
        <f>+DB!F771</f>
        <v>0</v>
      </c>
      <c r="T771">
        <f>+IF(DB!F771="AAAC-35",1,3)</f>
        <v>3</v>
      </c>
      <c r="U771">
        <f>+DB!R771</f>
        <v>0</v>
      </c>
      <c r="V771">
        <f>+IF(DB!P771="1RI",1,0)+IF(DB!P771="2RI",2,0)</f>
        <v>0</v>
      </c>
      <c r="W771">
        <f>+IF(DB!P771="1RV",1,0)+IF(DB!P771="2RV",2,0)</f>
        <v>0</v>
      </c>
      <c r="X771">
        <f>+IF(DB!P771="RYI",1,0)</f>
        <v>0</v>
      </c>
      <c r="Y771">
        <f>+IF(DB!P771="RYV",1,0)</f>
        <v>0</v>
      </c>
      <c r="Z771">
        <f>+DB!U771</f>
        <v>0</v>
      </c>
      <c r="AA771">
        <f>+IF(DB!F771="AAAC-35",19.5,33)</f>
        <v>33</v>
      </c>
      <c r="AB771">
        <f>+DB!V771</f>
        <v>0</v>
      </c>
      <c r="AC771" t="str">
        <f t="shared" ref="AC771:AC834" si="38">+IF(F771&gt;1675,"56-5","56-4")</f>
        <v>56-4</v>
      </c>
      <c r="AD771" s="21" t="s">
        <v>72</v>
      </c>
      <c r="AE771">
        <f>+DB!X771</f>
        <v>0</v>
      </c>
      <c r="AF771" s="22">
        <f>+DB!Y771</f>
        <v>0</v>
      </c>
      <c r="AG771">
        <f>+DB!AK771</f>
        <v>0</v>
      </c>
    </row>
    <row r="772" spans="1:33" x14ac:dyDescent="0.2">
      <c r="A772">
        <f>+DB!C772</f>
        <v>0</v>
      </c>
      <c r="B772">
        <f>+DB!D772</f>
        <v>0</v>
      </c>
      <c r="C772">
        <f>+DB!E772</f>
        <v>0</v>
      </c>
      <c r="D772">
        <f t="shared" si="36"/>
        <v>0</v>
      </c>
      <c r="E772">
        <f>+DB!G772</f>
        <v>0</v>
      </c>
      <c r="F772">
        <f>+DB!H772</f>
        <v>0</v>
      </c>
      <c r="G772">
        <f>+DB!N772</f>
        <v>0</v>
      </c>
      <c r="H772">
        <f>+DB!O772</f>
        <v>0</v>
      </c>
      <c r="I772">
        <f>+DB!I772</f>
        <v>0</v>
      </c>
      <c r="J772">
        <f>+DB!J772</f>
        <v>0</v>
      </c>
      <c r="K772">
        <f>+DB!L772</f>
        <v>0</v>
      </c>
      <c r="L772" t="str">
        <f t="shared" si="37"/>
        <v/>
      </c>
      <c r="M772" t="str">
        <f>+IF(LEFT(DB!M772,3)="13/","CAC","MAD")</f>
        <v>MAD</v>
      </c>
      <c r="N772" t="str">
        <f>+RIGHT(DB!M772,6)</f>
        <v/>
      </c>
      <c r="O772">
        <v>95</v>
      </c>
      <c r="P772">
        <v>5</v>
      </c>
      <c r="Q772">
        <f>+DB!AB772</f>
        <v>0</v>
      </c>
      <c r="R772">
        <f>+DB!K772</f>
        <v>0</v>
      </c>
      <c r="S772">
        <f>+DB!F772</f>
        <v>0</v>
      </c>
      <c r="T772">
        <f>+IF(DB!F772="AAAC-35",1,3)</f>
        <v>3</v>
      </c>
      <c r="U772">
        <f>+DB!R772</f>
        <v>0</v>
      </c>
      <c r="V772">
        <f>+IF(DB!P772="1RI",1,0)+IF(DB!P772="2RI",2,0)</f>
        <v>0</v>
      </c>
      <c r="W772">
        <f>+IF(DB!P772="1RV",1,0)+IF(DB!P772="2RV",2,0)</f>
        <v>0</v>
      </c>
      <c r="X772">
        <f>+IF(DB!P772="RYI",1,0)</f>
        <v>0</v>
      </c>
      <c r="Y772">
        <f>+IF(DB!P772="RYV",1,0)</f>
        <v>0</v>
      </c>
      <c r="Z772">
        <f>+DB!U772</f>
        <v>0</v>
      </c>
      <c r="AA772">
        <f>+IF(DB!F772="AAAC-35",19.5,33)</f>
        <v>33</v>
      </c>
      <c r="AB772">
        <f>+DB!V772</f>
        <v>0</v>
      </c>
      <c r="AC772" t="str">
        <f t="shared" si="38"/>
        <v>56-4</v>
      </c>
      <c r="AD772" s="21" t="s">
        <v>72</v>
      </c>
      <c r="AE772">
        <f>+DB!X772</f>
        <v>0</v>
      </c>
      <c r="AF772" s="22">
        <f>+DB!Y772</f>
        <v>0</v>
      </c>
      <c r="AG772">
        <f>+DB!AK772</f>
        <v>0</v>
      </c>
    </row>
    <row r="773" spans="1:33" x14ac:dyDescent="0.2">
      <c r="A773">
        <f>+DB!C773</f>
        <v>0</v>
      </c>
      <c r="B773">
        <f>+DB!D773</f>
        <v>0</v>
      </c>
      <c r="C773">
        <f>+DB!E773</f>
        <v>0</v>
      </c>
      <c r="D773">
        <f t="shared" si="36"/>
        <v>0</v>
      </c>
      <c r="E773">
        <f>+DB!G773</f>
        <v>0</v>
      </c>
      <c r="F773">
        <f>+DB!H773</f>
        <v>0</v>
      </c>
      <c r="G773">
        <f>+DB!N773</f>
        <v>0</v>
      </c>
      <c r="H773">
        <f>+DB!O773</f>
        <v>0</v>
      </c>
      <c r="I773">
        <f>+DB!I773</f>
        <v>0</v>
      </c>
      <c r="J773">
        <f>+DB!J773</f>
        <v>0</v>
      </c>
      <c r="K773">
        <f>+DB!L773</f>
        <v>0</v>
      </c>
      <c r="L773" t="str">
        <f t="shared" si="37"/>
        <v/>
      </c>
      <c r="M773" t="str">
        <f>+IF(LEFT(DB!M773,3)="13/","CAC","MAD")</f>
        <v>MAD</v>
      </c>
      <c r="N773" t="str">
        <f>+RIGHT(DB!M773,6)</f>
        <v/>
      </c>
      <c r="O773">
        <v>95</v>
      </c>
      <c r="P773">
        <v>5</v>
      </c>
      <c r="Q773">
        <f>+DB!AB773</f>
        <v>0</v>
      </c>
      <c r="R773">
        <f>+DB!K773</f>
        <v>0</v>
      </c>
      <c r="S773">
        <f>+DB!F773</f>
        <v>0</v>
      </c>
      <c r="T773">
        <f>+IF(DB!F773="AAAC-35",1,3)</f>
        <v>3</v>
      </c>
      <c r="U773">
        <f>+DB!R773</f>
        <v>0</v>
      </c>
      <c r="V773">
        <f>+IF(DB!P773="1RI",1,0)+IF(DB!P773="2RI",2,0)</f>
        <v>0</v>
      </c>
      <c r="W773">
        <f>+IF(DB!P773="1RV",1,0)+IF(DB!P773="2RV",2,0)</f>
        <v>0</v>
      </c>
      <c r="X773">
        <f>+IF(DB!P773="RYI",1,0)</f>
        <v>0</v>
      </c>
      <c r="Y773">
        <f>+IF(DB!P773="RYV",1,0)</f>
        <v>0</v>
      </c>
      <c r="Z773">
        <f>+DB!U773</f>
        <v>0</v>
      </c>
      <c r="AA773">
        <f>+IF(DB!F773="AAAC-35",19.5,33)</f>
        <v>33</v>
      </c>
      <c r="AB773">
        <f>+DB!V773</f>
        <v>0</v>
      </c>
      <c r="AC773" t="str">
        <f t="shared" si="38"/>
        <v>56-4</v>
      </c>
      <c r="AD773" s="21" t="s">
        <v>72</v>
      </c>
      <c r="AE773">
        <f>+DB!X773</f>
        <v>0</v>
      </c>
      <c r="AF773" s="22">
        <f>+DB!Y773</f>
        <v>0</v>
      </c>
      <c r="AG773">
        <f>+DB!AK773</f>
        <v>0</v>
      </c>
    </row>
    <row r="774" spans="1:33" x14ac:dyDescent="0.2">
      <c r="A774">
        <f>+DB!C774</f>
        <v>0</v>
      </c>
      <c r="B774">
        <f>+DB!D774</f>
        <v>0</v>
      </c>
      <c r="C774">
        <f>+DB!E774</f>
        <v>0</v>
      </c>
      <c r="D774">
        <f t="shared" si="36"/>
        <v>0</v>
      </c>
      <c r="E774">
        <f>+DB!G774</f>
        <v>0</v>
      </c>
      <c r="F774">
        <f>+DB!H774</f>
        <v>0</v>
      </c>
      <c r="G774">
        <f>+DB!N774</f>
        <v>0</v>
      </c>
      <c r="H774">
        <f>+DB!O774</f>
        <v>0</v>
      </c>
      <c r="I774">
        <f>+DB!I774</f>
        <v>0</v>
      </c>
      <c r="J774">
        <f>+DB!J774</f>
        <v>0</v>
      </c>
      <c r="K774">
        <f>+DB!L774</f>
        <v>0</v>
      </c>
      <c r="L774" t="str">
        <f t="shared" si="37"/>
        <v/>
      </c>
      <c r="M774" t="str">
        <f>+IF(LEFT(DB!M774,3)="13/","CAC","MAD")</f>
        <v>MAD</v>
      </c>
      <c r="N774" t="str">
        <f>+RIGHT(DB!M774,6)</f>
        <v/>
      </c>
      <c r="O774">
        <v>95</v>
      </c>
      <c r="P774">
        <v>5</v>
      </c>
      <c r="Q774">
        <f>+DB!AB774</f>
        <v>0</v>
      </c>
      <c r="R774">
        <f>+DB!K774</f>
        <v>0</v>
      </c>
      <c r="S774">
        <f>+DB!F774</f>
        <v>0</v>
      </c>
      <c r="T774">
        <f>+IF(DB!F774="AAAC-35",1,3)</f>
        <v>3</v>
      </c>
      <c r="U774">
        <f>+DB!R774</f>
        <v>0</v>
      </c>
      <c r="V774">
        <f>+IF(DB!P774="1RI",1,0)+IF(DB!P774="2RI",2,0)</f>
        <v>0</v>
      </c>
      <c r="W774">
        <f>+IF(DB!P774="1RV",1,0)+IF(DB!P774="2RV",2,0)</f>
        <v>0</v>
      </c>
      <c r="X774">
        <f>+IF(DB!P774="RYI",1,0)</f>
        <v>0</v>
      </c>
      <c r="Y774">
        <f>+IF(DB!P774="RYV",1,0)</f>
        <v>0</v>
      </c>
      <c r="Z774">
        <f>+DB!U774</f>
        <v>0</v>
      </c>
      <c r="AA774">
        <f>+IF(DB!F774="AAAC-35",19.5,33)</f>
        <v>33</v>
      </c>
      <c r="AB774">
        <f>+DB!V774</f>
        <v>0</v>
      </c>
      <c r="AC774" t="str">
        <f t="shared" si="38"/>
        <v>56-4</v>
      </c>
      <c r="AD774" s="21" t="s">
        <v>72</v>
      </c>
      <c r="AE774">
        <f>+DB!X774</f>
        <v>0</v>
      </c>
      <c r="AF774" s="22">
        <f>+DB!Y774</f>
        <v>0</v>
      </c>
      <c r="AG774">
        <f>+DB!AK774</f>
        <v>0</v>
      </c>
    </row>
    <row r="775" spans="1:33" x14ac:dyDescent="0.2">
      <c r="A775">
        <f>+DB!C775</f>
        <v>0</v>
      </c>
      <c r="B775">
        <f>+DB!D775</f>
        <v>0</v>
      </c>
      <c r="C775">
        <f>+DB!E775</f>
        <v>0</v>
      </c>
      <c r="D775">
        <f t="shared" si="36"/>
        <v>0</v>
      </c>
      <c r="E775">
        <f>+DB!G775</f>
        <v>0</v>
      </c>
      <c r="F775">
        <f>+DB!H775</f>
        <v>0</v>
      </c>
      <c r="G775">
        <f>+DB!N775</f>
        <v>0</v>
      </c>
      <c r="H775">
        <f>+DB!O775</f>
        <v>0</v>
      </c>
      <c r="I775">
        <f>+DB!I775</f>
        <v>0</v>
      </c>
      <c r="J775">
        <f>+DB!J775</f>
        <v>0</v>
      </c>
      <c r="K775">
        <f>+DB!L775</f>
        <v>0</v>
      </c>
      <c r="L775" t="str">
        <f t="shared" si="37"/>
        <v/>
      </c>
      <c r="M775" t="str">
        <f>+IF(LEFT(DB!M775,3)="13/","CAC","MAD")</f>
        <v>MAD</v>
      </c>
      <c r="N775" t="str">
        <f>+RIGHT(DB!M775,6)</f>
        <v/>
      </c>
      <c r="O775">
        <v>95</v>
      </c>
      <c r="P775">
        <v>5</v>
      </c>
      <c r="Q775">
        <f>+DB!AB775</f>
        <v>0</v>
      </c>
      <c r="R775">
        <f>+DB!K775</f>
        <v>0</v>
      </c>
      <c r="S775">
        <f>+DB!F775</f>
        <v>0</v>
      </c>
      <c r="T775">
        <f>+IF(DB!F775="AAAC-35",1,3)</f>
        <v>3</v>
      </c>
      <c r="U775">
        <f>+DB!R775</f>
        <v>0</v>
      </c>
      <c r="V775">
        <f>+IF(DB!P775="1RI",1,0)+IF(DB!P775="2RI",2,0)</f>
        <v>0</v>
      </c>
      <c r="W775">
        <f>+IF(DB!P775="1RV",1,0)+IF(DB!P775="2RV",2,0)</f>
        <v>0</v>
      </c>
      <c r="X775">
        <f>+IF(DB!P775="RYI",1,0)</f>
        <v>0</v>
      </c>
      <c r="Y775">
        <f>+IF(DB!P775="RYV",1,0)</f>
        <v>0</v>
      </c>
      <c r="Z775">
        <f>+DB!U775</f>
        <v>0</v>
      </c>
      <c r="AA775">
        <f>+IF(DB!F775="AAAC-35",19.5,33)</f>
        <v>33</v>
      </c>
      <c r="AB775">
        <f>+DB!V775</f>
        <v>0</v>
      </c>
      <c r="AC775" t="str">
        <f t="shared" si="38"/>
        <v>56-4</v>
      </c>
      <c r="AD775" s="21" t="s">
        <v>72</v>
      </c>
      <c r="AE775">
        <f>+DB!X775</f>
        <v>0</v>
      </c>
      <c r="AF775" s="22">
        <f>+DB!Y775</f>
        <v>0</v>
      </c>
      <c r="AG775">
        <f>+DB!AK775</f>
        <v>0</v>
      </c>
    </row>
    <row r="776" spans="1:33" x14ac:dyDescent="0.2">
      <c r="A776">
        <f>+DB!C776</f>
        <v>0</v>
      </c>
      <c r="B776">
        <f>+DB!D776</f>
        <v>0</v>
      </c>
      <c r="C776">
        <f>+DB!E776</f>
        <v>0</v>
      </c>
      <c r="D776">
        <f t="shared" si="36"/>
        <v>0</v>
      </c>
      <c r="E776">
        <f>+DB!G776</f>
        <v>0</v>
      </c>
      <c r="F776">
        <f>+DB!H776</f>
        <v>0</v>
      </c>
      <c r="G776">
        <f>+DB!N776</f>
        <v>0</v>
      </c>
      <c r="H776">
        <f>+DB!O776</f>
        <v>0</v>
      </c>
      <c r="I776">
        <f>+DB!I776</f>
        <v>0</v>
      </c>
      <c r="J776">
        <f>+DB!J776</f>
        <v>0</v>
      </c>
      <c r="K776">
        <f>+DB!L776</f>
        <v>0</v>
      </c>
      <c r="L776" t="str">
        <f t="shared" si="37"/>
        <v/>
      </c>
      <c r="M776" t="str">
        <f>+IF(LEFT(DB!M776,3)="13/","CAC","MAD")</f>
        <v>MAD</v>
      </c>
      <c r="N776" t="str">
        <f>+RIGHT(DB!M776,6)</f>
        <v/>
      </c>
      <c r="O776">
        <v>95</v>
      </c>
      <c r="P776">
        <v>5</v>
      </c>
      <c r="Q776">
        <f>+DB!AB776</f>
        <v>0</v>
      </c>
      <c r="R776">
        <f>+DB!K776</f>
        <v>0</v>
      </c>
      <c r="S776">
        <f>+DB!F776</f>
        <v>0</v>
      </c>
      <c r="T776">
        <f>+IF(DB!F776="AAAC-35",1,3)</f>
        <v>3</v>
      </c>
      <c r="U776">
        <f>+DB!R776</f>
        <v>0</v>
      </c>
      <c r="V776">
        <f>+IF(DB!P776="1RI",1,0)+IF(DB!P776="2RI",2,0)</f>
        <v>0</v>
      </c>
      <c r="W776">
        <f>+IF(DB!P776="1RV",1,0)+IF(DB!P776="2RV",2,0)</f>
        <v>0</v>
      </c>
      <c r="X776">
        <f>+IF(DB!P776="RYI",1,0)</f>
        <v>0</v>
      </c>
      <c r="Y776">
        <f>+IF(DB!P776="RYV",1,0)</f>
        <v>0</v>
      </c>
      <c r="Z776">
        <f>+DB!U776</f>
        <v>0</v>
      </c>
      <c r="AA776">
        <f>+IF(DB!F776="AAAC-35",19.5,33)</f>
        <v>33</v>
      </c>
      <c r="AB776">
        <f>+DB!V776</f>
        <v>0</v>
      </c>
      <c r="AC776" t="str">
        <f t="shared" si="38"/>
        <v>56-4</v>
      </c>
      <c r="AD776" s="21" t="s">
        <v>72</v>
      </c>
      <c r="AE776">
        <f>+DB!X776</f>
        <v>0</v>
      </c>
      <c r="AF776" s="22">
        <f>+DB!Y776</f>
        <v>0</v>
      </c>
      <c r="AG776">
        <f>+DB!AK776</f>
        <v>0</v>
      </c>
    </row>
    <row r="777" spans="1:33" x14ac:dyDescent="0.2">
      <c r="A777">
        <f>+DB!C777</f>
        <v>0</v>
      </c>
      <c r="B777">
        <f>+DB!D777</f>
        <v>0</v>
      </c>
      <c r="C777">
        <f>+DB!E777</f>
        <v>0</v>
      </c>
      <c r="D777">
        <f t="shared" si="36"/>
        <v>0</v>
      </c>
      <c r="E777">
        <f>+DB!G777</f>
        <v>0</v>
      </c>
      <c r="F777">
        <f>+DB!H777</f>
        <v>0</v>
      </c>
      <c r="G777">
        <f>+DB!N777</f>
        <v>0</v>
      </c>
      <c r="H777">
        <f>+DB!O777</f>
        <v>0</v>
      </c>
      <c r="I777">
        <f>+DB!I777</f>
        <v>0</v>
      </c>
      <c r="J777">
        <f>+DB!J777</f>
        <v>0</v>
      </c>
      <c r="K777">
        <f>+DB!L777</f>
        <v>0</v>
      </c>
      <c r="L777" t="str">
        <f t="shared" si="37"/>
        <v/>
      </c>
      <c r="M777" t="str">
        <f>+IF(LEFT(DB!M777,3)="13/","CAC","MAD")</f>
        <v>MAD</v>
      </c>
      <c r="N777" t="str">
        <f>+RIGHT(DB!M777,6)</f>
        <v/>
      </c>
      <c r="O777">
        <v>95</v>
      </c>
      <c r="P777">
        <v>5</v>
      </c>
      <c r="Q777">
        <f>+DB!AB777</f>
        <v>0</v>
      </c>
      <c r="R777">
        <f>+DB!K777</f>
        <v>0</v>
      </c>
      <c r="S777">
        <f>+DB!F777</f>
        <v>0</v>
      </c>
      <c r="T777">
        <f>+IF(DB!F777="AAAC-35",1,3)</f>
        <v>3</v>
      </c>
      <c r="U777">
        <f>+DB!R777</f>
        <v>0</v>
      </c>
      <c r="V777">
        <f>+IF(DB!P777="1RI",1,0)+IF(DB!P777="2RI",2,0)</f>
        <v>0</v>
      </c>
      <c r="W777">
        <f>+IF(DB!P777="1RV",1,0)+IF(DB!P777="2RV",2,0)</f>
        <v>0</v>
      </c>
      <c r="X777">
        <f>+IF(DB!P777="RYI",1,0)</f>
        <v>0</v>
      </c>
      <c r="Y777">
        <f>+IF(DB!P777="RYV",1,0)</f>
        <v>0</v>
      </c>
      <c r="Z777">
        <f>+DB!U777</f>
        <v>0</v>
      </c>
      <c r="AA777">
        <f>+IF(DB!F777="AAAC-35",19.5,33)</f>
        <v>33</v>
      </c>
      <c r="AB777">
        <f>+DB!V777</f>
        <v>0</v>
      </c>
      <c r="AC777" t="str">
        <f t="shared" si="38"/>
        <v>56-4</v>
      </c>
      <c r="AD777" s="21" t="s">
        <v>72</v>
      </c>
      <c r="AE777">
        <f>+DB!X777</f>
        <v>0</v>
      </c>
      <c r="AF777" s="22">
        <f>+DB!Y777</f>
        <v>0</v>
      </c>
      <c r="AG777">
        <f>+DB!AK777</f>
        <v>0</v>
      </c>
    </row>
    <row r="778" spans="1:33" x14ac:dyDescent="0.2">
      <c r="A778">
        <f>+DB!C778</f>
        <v>0</v>
      </c>
      <c r="B778">
        <f>+DB!D778</f>
        <v>0</v>
      </c>
      <c r="C778">
        <f>+DB!E778</f>
        <v>0</v>
      </c>
      <c r="D778">
        <f t="shared" si="36"/>
        <v>0</v>
      </c>
      <c r="E778">
        <f>+DB!G778</f>
        <v>0</v>
      </c>
      <c r="F778">
        <f>+DB!H778</f>
        <v>0</v>
      </c>
      <c r="G778">
        <f>+DB!N778</f>
        <v>0</v>
      </c>
      <c r="H778">
        <f>+DB!O778</f>
        <v>0</v>
      </c>
      <c r="I778">
        <f>+DB!I778</f>
        <v>0</v>
      </c>
      <c r="J778">
        <f>+DB!J778</f>
        <v>0</v>
      </c>
      <c r="K778">
        <f>+DB!L778</f>
        <v>0</v>
      </c>
      <c r="L778" t="str">
        <f t="shared" si="37"/>
        <v/>
      </c>
      <c r="M778" t="str">
        <f>+IF(LEFT(DB!M778,3)="13/","CAC","MAD")</f>
        <v>MAD</v>
      </c>
      <c r="N778" t="str">
        <f>+RIGHT(DB!M778,6)</f>
        <v/>
      </c>
      <c r="O778">
        <v>95</v>
      </c>
      <c r="P778">
        <v>5</v>
      </c>
      <c r="Q778">
        <f>+DB!AB778</f>
        <v>0</v>
      </c>
      <c r="R778">
        <f>+DB!K778</f>
        <v>0</v>
      </c>
      <c r="S778">
        <f>+DB!F778</f>
        <v>0</v>
      </c>
      <c r="T778">
        <f>+IF(DB!F778="AAAC-35",1,3)</f>
        <v>3</v>
      </c>
      <c r="U778">
        <f>+DB!R778</f>
        <v>0</v>
      </c>
      <c r="V778">
        <f>+IF(DB!P778="1RI",1,0)+IF(DB!P778="2RI",2,0)</f>
        <v>0</v>
      </c>
      <c r="W778">
        <f>+IF(DB!P778="1RV",1,0)+IF(DB!P778="2RV",2,0)</f>
        <v>0</v>
      </c>
      <c r="X778">
        <f>+IF(DB!P778="RYI",1,0)</f>
        <v>0</v>
      </c>
      <c r="Y778">
        <f>+IF(DB!P778="RYV",1,0)</f>
        <v>0</v>
      </c>
      <c r="Z778">
        <f>+DB!U778</f>
        <v>0</v>
      </c>
      <c r="AA778">
        <f>+IF(DB!F778="AAAC-35",19.5,33)</f>
        <v>33</v>
      </c>
      <c r="AB778">
        <f>+DB!V778</f>
        <v>0</v>
      </c>
      <c r="AC778" t="str">
        <f t="shared" si="38"/>
        <v>56-4</v>
      </c>
      <c r="AD778" s="21" t="s">
        <v>72</v>
      </c>
      <c r="AE778">
        <f>+DB!X778</f>
        <v>0</v>
      </c>
      <c r="AF778" s="22">
        <f>+DB!Y778</f>
        <v>0</v>
      </c>
      <c r="AG778">
        <f>+DB!AK778</f>
        <v>0</v>
      </c>
    </row>
    <row r="779" spans="1:33" x14ac:dyDescent="0.2">
      <c r="A779">
        <f>+DB!C779</f>
        <v>0</v>
      </c>
      <c r="B779">
        <f>+DB!D779</f>
        <v>0</v>
      </c>
      <c r="C779">
        <f>+DB!E779</f>
        <v>0</v>
      </c>
      <c r="D779">
        <f t="shared" si="36"/>
        <v>0</v>
      </c>
      <c r="E779">
        <f>+DB!G779</f>
        <v>0</v>
      </c>
      <c r="F779">
        <f>+DB!H779</f>
        <v>0</v>
      </c>
      <c r="G779">
        <f>+DB!N779</f>
        <v>0</v>
      </c>
      <c r="H779">
        <f>+DB!O779</f>
        <v>0</v>
      </c>
      <c r="I779">
        <f>+DB!I779</f>
        <v>0</v>
      </c>
      <c r="J779">
        <f>+DB!J779</f>
        <v>0</v>
      </c>
      <c r="K779">
        <f>+DB!L779</f>
        <v>0</v>
      </c>
      <c r="L779" t="str">
        <f t="shared" si="37"/>
        <v/>
      </c>
      <c r="M779" t="str">
        <f>+IF(LEFT(DB!M779,3)="13/","CAC","MAD")</f>
        <v>MAD</v>
      </c>
      <c r="N779" t="str">
        <f>+RIGHT(DB!M779,6)</f>
        <v/>
      </c>
      <c r="O779">
        <v>95</v>
      </c>
      <c r="P779">
        <v>5</v>
      </c>
      <c r="Q779">
        <f>+DB!AB779</f>
        <v>0</v>
      </c>
      <c r="R779">
        <f>+DB!K779</f>
        <v>0</v>
      </c>
      <c r="S779">
        <f>+DB!F779</f>
        <v>0</v>
      </c>
      <c r="T779">
        <f>+IF(DB!F779="AAAC-35",1,3)</f>
        <v>3</v>
      </c>
      <c r="U779">
        <f>+DB!R779</f>
        <v>0</v>
      </c>
      <c r="V779">
        <f>+IF(DB!P779="1RI",1,0)+IF(DB!P779="2RI",2,0)</f>
        <v>0</v>
      </c>
      <c r="W779">
        <f>+IF(DB!P779="1RV",1,0)+IF(DB!P779="2RV",2,0)</f>
        <v>0</v>
      </c>
      <c r="X779">
        <f>+IF(DB!P779="RYI",1,0)</f>
        <v>0</v>
      </c>
      <c r="Y779">
        <f>+IF(DB!P779="RYV",1,0)</f>
        <v>0</v>
      </c>
      <c r="Z779">
        <f>+DB!U779</f>
        <v>0</v>
      </c>
      <c r="AA779">
        <f>+IF(DB!F779="AAAC-35",19.5,33)</f>
        <v>33</v>
      </c>
      <c r="AB779">
        <f>+DB!V779</f>
        <v>0</v>
      </c>
      <c r="AC779" t="str">
        <f t="shared" si="38"/>
        <v>56-4</v>
      </c>
      <c r="AD779" s="21" t="s">
        <v>72</v>
      </c>
      <c r="AE779">
        <f>+DB!X779</f>
        <v>0</v>
      </c>
      <c r="AF779" s="22">
        <f>+DB!Y779</f>
        <v>0</v>
      </c>
      <c r="AG779">
        <f>+DB!AK779</f>
        <v>0</v>
      </c>
    </row>
    <row r="780" spans="1:33" x14ac:dyDescent="0.2">
      <c r="A780">
        <f>+DB!C780</f>
        <v>0</v>
      </c>
      <c r="B780">
        <f>+DB!D780</f>
        <v>0</v>
      </c>
      <c r="C780">
        <f>+DB!E780</f>
        <v>0</v>
      </c>
      <c r="D780">
        <f t="shared" si="36"/>
        <v>0</v>
      </c>
      <c r="E780">
        <f>+DB!G780</f>
        <v>0</v>
      </c>
      <c r="F780">
        <f>+DB!H780</f>
        <v>0</v>
      </c>
      <c r="G780">
        <f>+DB!N780</f>
        <v>0</v>
      </c>
      <c r="H780">
        <f>+DB!O780</f>
        <v>0</v>
      </c>
      <c r="I780">
        <f>+DB!I780</f>
        <v>0</v>
      </c>
      <c r="J780">
        <f>+DB!J780</f>
        <v>0</v>
      </c>
      <c r="K780">
        <f>+DB!L780</f>
        <v>0</v>
      </c>
      <c r="L780" t="str">
        <f t="shared" si="37"/>
        <v/>
      </c>
      <c r="M780" t="str">
        <f>+IF(LEFT(DB!M780,3)="13/","CAC","MAD")</f>
        <v>MAD</v>
      </c>
      <c r="N780" t="str">
        <f>+RIGHT(DB!M780,6)</f>
        <v/>
      </c>
      <c r="O780">
        <v>95</v>
      </c>
      <c r="P780">
        <v>5</v>
      </c>
      <c r="Q780">
        <f>+DB!AB780</f>
        <v>0</v>
      </c>
      <c r="R780">
        <f>+DB!K780</f>
        <v>0</v>
      </c>
      <c r="S780">
        <f>+DB!F780</f>
        <v>0</v>
      </c>
      <c r="T780">
        <f>+IF(DB!F780="AAAC-35",1,3)</f>
        <v>3</v>
      </c>
      <c r="U780">
        <f>+DB!R780</f>
        <v>0</v>
      </c>
      <c r="V780">
        <f>+IF(DB!P780="1RI",1,0)+IF(DB!P780="2RI",2,0)</f>
        <v>0</v>
      </c>
      <c r="W780">
        <f>+IF(DB!P780="1RV",1,0)+IF(DB!P780="2RV",2,0)</f>
        <v>0</v>
      </c>
      <c r="X780">
        <f>+IF(DB!P780="RYI",1,0)</f>
        <v>0</v>
      </c>
      <c r="Y780">
        <f>+IF(DB!P780="RYV",1,0)</f>
        <v>0</v>
      </c>
      <c r="Z780">
        <f>+DB!U780</f>
        <v>0</v>
      </c>
      <c r="AA780">
        <f>+IF(DB!F780="AAAC-35",19.5,33)</f>
        <v>33</v>
      </c>
      <c r="AB780">
        <f>+DB!V780</f>
        <v>0</v>
      </c>
      <c r="AC780" t="str">
        <f t="shared" si="38"/>
        <v>56-4</v>
      </c>
      <c r="AD780" s="21" t="s">
        <v>72</v>
      </c>
      <c r="AE780">
        <f>+DB!X780</f>
        <v>0</v>
      </c>
      <c r="AF780" s="22">
        <f>+DB!Y780</f>
        <v>0</v>
      </c>
      <c r="AG780">
        <f>+DB!AK780</f>
        <v>0</v>
      </c>
    </row>
    <row r="781" spans="1:33" x14ac:dyDescent="0.2">
      <c r="A781">
        <f>+DB!C781</f>
        <v>0</v>
      </c>
      <c r="B781">
        <f>+DB!D781</f>
        <v>0</v>
      </c>
      <c r="C781">
        <f>+DB!E781</f>
        <v>0</v>
      </c>
      <c r="D781">
        <f t="shared" si="36"/>
        <v>0</v>
      </c>
      <c r="E781">
        <f>+DB!G781</f>
        <v>0</v>
      </c>
      <c r="F781">
        <f>+DB!H781</f>
        <v>0</v>
      </c>
      <c r="G781">
        <f>+DB!N781</f>
        <v>0</v>
      </c>
      <c r="H781">
        <f>+DB!O781</f>
        <v>0</v>
      </c>
      <c r="I781">
        <f>+DB!I781</f>
        <v>0</v>
      </c>
      <c r="J781">
        <f>+DB!J781</f>
        <v>0</v>
      </c>
      <c r="K781">
        <f>+DB!L781</f>
        <v>0</v>
      </c>
      <c r="L781" t="str">
        <f t="shared" si="37"/>
        <v/>
      </c>
      <c r="M781" t="str">
        <f>+IF(LEFT(DB!M781,3)="13/","CAC","MAD")</f>
        <v>MAD</v>
      </c>
      <c r="N781" t="str">
        <f>+RIGHT(DB!M781,6)</f>
        <v/>
      </c>
      <c r="O781">
        <v>95</v>
      </c>
      <c r="P781">
        <v>5</v>
      </c>
      <c r="Q781">
        <f>+DB!AB781</f>
        <v>0</v>
      </c>
      <c r="R781">
        <f>+DB!K781</f>
        <v>0</v>
      </c>
      <c r="S781">
        <f>+DB!F781</f>
        <v>0</v>
      </c>
      <c r="T781">
        <f>+IF(DB!F781="AAAC-35",1,3)</f>
        <v>3</v>
      </c>
      <c r="U781">
        <f>+DB!R781</f>
        <v>0</v>
      </c>
      <c r="V781">
        <f>+IF(DB!P781="1RI",1,0)+IF(DB!P781="2RI",2,0)</f>
        <v>0</v>
      </c>
      <c r="W781">
        <f>+IF(DB!P781="1RV",1,0)+IF(DB!P781="2RV",2,0)</f>
        <v>0</v>
      </c>
      <c r="X781">
        <f>+IF(DB!P781="RYI",1,0)</f>
        <v>0</v>
      </c>
      <c r="Y781">
        <f>+IF(DB!P781="RYV",1,0)</f>
        <v>0</v>
      </c>
      <c r="Z781">
        <f>+DB!U781</f>
        <v>0</v>
      </c>
      <c r="AA781">
        <f>+IF(DB!F781="AAAC-35",19.5,33)</f>
        <v>33</v>
      </c>
      <c r="AB781">
        <f>+DB!V781</f>
        <v>0</v>
      </c>
      <c r="AC781" t="str">
        <f t="shared" si="38"/>
        <v>56-4</v>
      </c>
      <c r="AD781" s="21" t="s">
        <v>72</v>
      </c>
      <c r="AE781">
        <f>+DB!X781</f>
        <v>0</v>
      </c>
      <c r="AF781" s="22">
        <f>+DB!Y781</f>
        <v>0</v>
      </c>
      <c r="AG781">
        <f>+DB!AK781</f>
        <v>0</v>
      </c>
    </row>
    <row r="782" spans="1:33" x14ac:dyDescent="0.2">
      <c r="A782">
        <f>+DB!C782</f>
        <v>0</v>
      </c>
      <c r="B782">
        <f>+DB!D782</f>
        <v>0</v>
      </c>
      <c r="C782">
        <f>+DB!E782</f>
        <v>0</v>
      </c>
      <c r="D782">
        <f t="shared" si="36"/>
        <v>0</v>
      </c>
      <c r="E782">
        <f>+DB!G782</f>
        <v>0</v>
      </c>
      <c r="F782">
        <f>+DB!H782</f>
        <v>0</v>
      </c>
      <c r="G782">
        <f>+DB!N782</f>
        <v>0</v>
      </c>
      <c r="H782">
        <f>+DB!O782</f>
        <v>0</v>
      </c>
      <c r="I782">
        <f>+DB!I782</f>
        <v>0</v>
      </c>
      <c r="J782">
        <f>+DB!J782</f>
        <v>0</v>
      </c>
      <c r="K782">
        <f>+DB!L782</f>
        <v>0</v>
      </c>
      <c r="L782" t="str">
        <f t="shared" si="37"/>
        <v/>
      </c>
      <c r="M782" t="str">
        <f>+IF(LEFT(DB!M782,3)="13/","CAC","MAD")</f>
        <v>MAD</v>
      </c>
      <c r="N782" t="str">
        <f>+RIGHT(DB!M782,6)</f>
        <v/>
      </c>
      <c r="O782">
        <v>95</v>
      </c>
      <c r="P782">
        <v>5</v>
      </c>
      <c r="Q782">
        <f>+DB!AB782</f>
        <v>0</v>
      </c>
      <c r="R782">
        <f>+DB!K782</f>
        <v>0</v>
      </c>
      <c r="S782">
        <f>+DB!F782</f>
        <v>0</v>
      </c>
      <c r="T782">
        <f>+IF(DB!F782="AAAC-35",1,3)</f>
        <v>3</v>
      </c>
      <c r="U782">
        <f>+DB!R782</f>
        <v>0</v>
      </c>
      <c r="V782">
        <f>+IF(DB!P782="1RI",1,0)+IF(DB!P782="2RI",2,0)</f>
        <v>0</v>
      </c>
      <c r="W782">
        <f>+IF(DB!P782="1RV",1,0)+IF(DB!P782="2RV",2,0)</f>
        <v>0</v>
      </c>
      <c r="X782">
        <f>+IF(DB!P782="RYI",1,0)</f>
        <v>0</v>
      </c>
      <c r="Y782">
        <f>+IF(DB!P782="RYV",1,0)</f>
        <v>0</v>
      </c>
      <c r="Z782">
        <f>+DB!U782</f>
        <v>0</v>
      </c>
      <c r="AA782">
        <f>+IF(DB!F782="AAAC-35",19.5,33)</f>
        <v>33</v>
      </c>
      <c r="AB782">
        <f>+DB!V782</f>
        <v>0</v>
      </c>
      <c r="AC782" t="str">
        <f t="shared" si="38"/>
        <v>56-4</v>
      </c>
      <c r="AD782" s="21" t="s">
        <v>72</v>
      </c>
      <c r="AE782">
        <f>+DB!X782</f>
        <v>0</v>
      </c>
      <c r="AF782" s="22">
        <f>+DB!Y782</f>
        <v>0</v>
      </c>
      <c r="AG782">
        <f>+DB!AK782</f>
        <v>0</v>
      </c>
    </row>
    <row r="783" spans="1:33" x14ac:dyDescent="0.2">
      <c r="A783">
        <f>+DB!C783</f>
        <v>0</v>
      </c>
      <c r="B783">
        <f>+DB!D783</f>
        <v>0</v>
      </c>
      <c r="C783">
        <f>+DB!E783</f>
        <v>0</v>
      </c>
      <c r="D783">
        <f t="shared" si="36"/>
        <v>0</v>
      </c>
      <c r="E783">
        <f>+DB!G783</f>
        <v>0</v>
      </c>
      <c r="F783">
        <f>+DB!H783</f>
        <v>0</v>
      </c>
      <c r="G783">
        <f>+DB!N783</f>
        <v>0</v>
      </c>
      <c r="H783">
        <f>+DB!O783</f>
        <v>0</v>
      </c>
      <c r="I783">
        <f>+DB!I783</f>
        <v>0</v>
      </c>
      <c r="J783">
        <f>+DB!J783</f>
        <v>0</v>
      </c>
      <c r="K783">
        <f>+DB!L783</f>
        <v>0</v>
      </c>
      <c r="L783" t="str">
        <f t="shared" si="37"/>
        <v/>
      </c>
      <c r="M783" t="str">
        <f>+IF(LEFT(DB!M783,3)="13/","CAC","MAD")</f>
        <v>MAD</v>
      </c>
      <c r="N783" t="str">
        <f>+RIGHT(DB!M783,6)</f>
        <v/>
      </c>
      <c r="O783">
        <v>95</v>
      </c>
      <c r="P783">
        <v>5</v>
      </c>
      <c r="Q783">
        <f>+DB!AB783</f>
        <v>0</v>
      </c>
      <c r="R783">
        <f>+DB!K783</f>
        <v>0</v>
      </c>
      <c r="S783">
        <f>+DB!F783</f>
        <v>0</v>
      </c>
      <c r="T783">
        <f>+IF(DB!F783="AAAC-35",1,3)</f>
        <v>3</v>
      </c>
      <c r="U783">
        <f>+DB!R783</f>
        <v>0</v>
      </c>
      <c r="V783">
        <f>+IF(DB!P783="1RI",1,0)+IF(DB!P783="2RI",2,0)</f>
        <v>0</v>
      </c>
      <c r="W783">
        <f>+IF(DB!P783="1RV",1,0)+IF(DB!P783="2RV",2,0)</f>
        <v>0</v>
      </c>
      <c r="X783">
        <f>+IF(DB!P783="RYI",1,0)</f>
        <v>0</v>
      </c>
      <c r="Y783">
        <f>+IF(DB!P783="RYV",1,0)</f>
        <v>0</v>
      </c>
      <c r="Z783">
        <f>+DB!U783</f>
        <v>0</v>
      </c>
      <c r="AA783">
        <f>+IF(DB!F783="AAAC-35",19.5,33)</f>
        <v>33</v>
      </c>
      <c r="AB783">
        <f>+DB!V783</f>
        <v>0</v>
      </c>
      <c r="AC783" t="str">
        <f t="shared" si="38"/>
        <v>56-4</v>
      </c>
      <c r="AD783" s="21" t="s">
        <v>72</v>
      </c>
      <c r="AE783">
        <f>+DB!X783</f>
        <v>0</v>
      </c>
      <c r="AF783" s="22">
        <f>+DB!Y783</f>
        <v>0</v>
      </c>
      <c r="AG783">
        <f>+DB!AK783</f>
        <v>0</v>
      </c>
    </row>
    <row r="784" spans="1:33" x14ac:dyDescent="0.2">
      <c r="A784">
        <f>+DB!C784</f>
        <v>0</v>
      </c>
      <c r="B784">
        <f>+DB!D784</f>
        <v>0</v>
      </c>
      <c r="C784">
        <f>+DB!E784</f>
        <v>0</v>
      </c>
      <c r="D784">
        <f t="shared" si="36"/>
        <v>0</v>
      </c>
      <c r="E784">
        <f>+DB!G784</f>
        <v>0</v>
      </c>
      <c r="F784">
        <f>+DB!H784</f>
        <v>0</v>
      </c>
      <c r="G784">
        <f>+DB!N784</f>
        <v>0</v>
      </c>
      <c r="H784">
        <f>+DB!O784</f>
        <v>0</v>
      </c>
      <c r="I784">
        <f>+DB!I784</f>
        <v>0</v>
      </c>
      <c r="J784">
        <f>+DB!J784</f>
        <v>0</v>
      </c>
      <c r="K784">
        <f>+DB!L784</f>
        <v>0</v>
      </c>
      <c r="L784" t="str">
        <f t="shared" si="37"/>
        <v/>
      </c>
      <c r="M784" t="str">
        <f>+IF(LEFT(DB!M784,3)="13/","CAC","MAD")</f>
        <v>MAD</v>
      </c>
      <c r="N784" t="str">
        <f>+RIGHT(DB!M784,6)</f>
        <v/>
      </c>
      <c r="O784">
        <v>95</v>
      </c>
      <c r="P784">
        <v>5</v>
      </c>
      <c r="Q784">
        <f>+DB!AB784</f>
        <v>0</v>
      </c>
      <c r="R784">
        <f>+DB!K784</f>
        <v>0</v>
      </c>
      <c r="S784">
        <f>+DB!F784</f>
        <v>0</v>
      </c>
      <c r="T784">
        <f>+IF(DB!F784="AAAC-35",1,3)</f>
        <v>3</v>
      </c>
      <c r="U784">
        <f>+DB!R784</f>
        <v>0</v>
      </c>
      <c r="V784">
        <f>+IF(DB!P784="1RI",1,0)+IF(DB!P784="2RI",2,0)</f>
        <v>0</v>
      </c>
      <c r="W784">
        <f>+IF(DB!P784="1RV",1,0)+IF(DB!P784="2RV",2,0)</f>
        <v>0</v>
      </c>
      <c r="X784">
        <f>+IF(DB!P784="RYI",1,0)</f>
        <v>0</v>
      </c>
      <c r="Y784">
        <f>+IF(DB!P784="RYV",1,0)</f>
        <v>0</v>
      </c>
      <c r="Z784">
        <f>+DB!U784</f>
        <v>0</v>
      </c>
      <c r="AA784">
        <f>+IF(DB!F784="AAAC-35",19.5,33)</f>
        <v>33</v>
      </c>
      <c r="AB784">
        <f>+DB!V784</f>
        <v>0</v>
      </c>
      <c r="AC784" t="str">
        <f t="shared" si="38"/>
        <v>56-4</v>
      </c>
      <c r="AD784" s="21" t="s">
        <v>72</v>
      </c>
      <c r="AE784">
        <f>+DB!X784</f>
        <v>0</v>
      </c>
      <c r="AF784" s="22">
        <f>+DB!Y784</f>
        <v>0</v>
      </c>
      <c r="AG784">
        <f>+DB!AK784</f>
        <v>0</v>
      </c>
    </row>
    <row r="785" spans="1:33" x14ac:dyDescent="0.2">
      <c r="A785">
        <f>+DB!C785</f>
        <v>0</v>
      </c>
      <c r="B785">
        <f>+DB!D785</f>
        <v>0</v>
      </c>
      <c r="C785">
        <f>+DB!E785</f>
        <v>0</v>
      </c>
      <c r="D785">
        <f t="shared" si="36"/>
        <v>0</v>
      </c>
      <c r="E785">
        <f>+DB!G785</f>
        <v>0</v>
      </c>
      <c r="F785">
        <f>+DB!H785</f>
        <v>0</v>
      </c>
      <c r="G785">
        <f>+DB!N785</f>
        <v>0</v>
      </c>
      <c r="H785">
        <f>+DB!O785</f>
        <v>0</v>
      </c>
      <c r="I785">
        <f>+DB!I785</f>
        <v>0</v>
      </c>
      <c r="J785">
        <f>+DB!J785</f>
        <v>0</v>
      </c>
      <c r="K785">
        <f>+DB!L785</f>
        <v>0</v>
      </c>
      <c r="L785" t="str">
        <f t="shared" si="37"/>
        <v/>
      </c>
      <c r="M785" t="str">
        <f>+IF(LEFT(DB!M785,3)="13/","CAC","MAD")</f>
        <v>MAD</v>
      </c>
      <c r="N785" t="str">
        <f>+RIGHT(DB!M785,6)</f>
        <v/>
      </c>
      <c r="O785">
        <v>95</v>
      </c>
      <c r="P785">
        <v>5</v>
      </c>
      <c r="Q785">
        <f>+DB!AB785</f>
        <v>0</v>
      </c>
      <c r="R785">
        <f>+DB!K785</f>
        <v>0</v>
      </c>
      <c r="S785">
        <f>+DB!F785</f>
        <v>0</v>
      </c>
      <c r="T785">
        <f>+IF(DB!F785="AAAC-35",1,3)</f>
        <v>3</v>
      </c>
      <c r="U785">
        <f>+DB!R785</f>
        <v>0</v>
      </c>
      <c r="V785">
        <f>+IF(DB!P785="1RI",1,0)+IF(DB!P785="2RI",2,0)</f>
        <v>0</v>
      </c>
      <c r="W785">
        <f>+IF(DB!P785="1RV",1,0)+IF(DB!P785="2RV",2,0)</f>
        <v>0</v>
      </c>
      <c r="X785">
        <f>+IF(DB!P785="RYI",1,0)</f>
        <v>0</v>
      </c>
      <c r="Y785">
        <f>+IF(DB!P785="RYV",1,0)</f>
        <v>0</v>
      </c>
      <c r="Z785">
        <f>+DB!U785</f>
        <v>0</v>
      </c>
      <c r="AA785">
        <f>+IF(DB!F785="AAAC-35",19.5,33)</f>
        <v>33</v>
      </c>
      <c r="AB785">
        <f>+DB!V785</f>
        <v>0</v>
      </c>
      <c r="AC785" t="str">
        <f t="shared" si="38"/>
        <v>56-4</v>
      </c>
      <c r="AD785" s="21" t="s">
        <v>72</v>
      </c>
      <c r="AE785">
        <f>+DB!X785</f>
        <v>0</v>
      </c>
      <c r="AF785" s="22">
        <f>+DB!Y785</f>
        <v>0</v>
      </c>
      <c r="AG785">
        <f>+DB!AK785</f>
        <v>0</v>
      </c>
    </row>
    <row r="786" spans="1:33" x14ac:dyDescent="0.2">
      <c r="A786">
        <f>+DB!C786</f>
        <v>0</v>
      </c>
      <c r="B786">
        <f>+DB!D786</f>
        <v>0</v>
      </c>
      <c r="C786">
        <f>+DB!E786</f>
        <v>0</v>
      </c>
      <c r="D786">
        <f t="shared" si="36"/>
        <v>0</v>
      </c>
      <c r="E786">
        <f>+DB!G786</f>
        <v>0</v>
      </c>
      <c r="F786">
        <f>+DB!H786</f>
        <v>0</v>
      </c>
      <c r="G786">
        <f>+DB!N786</f>
        <v>0</v>
      </c>
      <c r="H786">
        <f>+DB!O786</f>
        <v>0</v>
      </c>
      <c r="I786">
        <f>+DB!I786</f>
        <v>0</v>
      </c>
      <c r="J786">
        <f>+DB!J786</f>
        <v>0</v>
      </c>
      <c r="K786">
        <f>+DB!L786</f>
        <v>0</v>
      </c>
      <c r="L786" t="str">
        <f t="shared" si="37"/>
        <v/>
      </c>
      <c r="M786" t="str">
        <f>+IF(LEFT(DB!M786,3)="13/","CAC","MAD")</f>
        <v>MAD</v>
      </c>
      <c r="N786" t="str">
        <f>+RIGHT(DB!M786,6)</f>
        <v/>
      </c>
      <c r="O786">
        <v>95</v>
      </c>
      <c r="P786">
        <v>5</v>
      </c>
      <c r="Q786">
        <f>+DB!AB786</f>
        <v>0</v>
      </c>
      <c r="R786">
        <f>+DB!K786</f>
        <v>0</v>
      </c>
      <c r="S786">
        <f>+DB!F786</f>
        <v>0</v>
      </c>
      <c r="T786">
        <f>+IF(DB!F786="AAAC-35",1,3)</f>
        <v>3</v>
      </c>
      <c r="U786">
        <f>+DB!R786</f>
        <v>0</v>
      </c>
      <c r="V786">
        <f>+IF(DB!P786="1RI",1,0)+IF(DB!P786="2RI",2,0)</f>
        <v>0</v>
      </c>
      <c r="W786">
        <f>+IF(DB!P786="1RV",1,0)+IF(DB!P786="2RV",2,0)</f>
        <v>0</v>
      </c>
      <c r="X786">
        <f>+IF(DB!P786="RYI",1,0)</f>
        <v>0</v>
      </c>
      <c r="Y786">
        <f>+IF(DB!P786="RYV",1,0)</f>
        <v>0</v>
      </c>
      <c r="Z786">
        <f>+DB!U786</f>
        <v>0</v>
      </c>
      <c r="AA786">
        <f>+IF(DB!F786="AAAC-35",19.5,33)</f>
        <v>33</v>
      </c>
      <c r="AB786">
        <f>+DB!V786</f>
        <v>0</v>
      </c>
      <c r="AC786" t="str">
        <f t="shared" si="38"/>
        <v>56-4</v>
      </c>
      <c r="AD786" s="21" t="s">
        <v>72</v>
      </c>
      <c r="AE786">
        <f>+DB!X786</f>
        <v>0</v>
      </c>
      <c r="AF786" s="22">
        <f>+DB!Y786</f>
        <v>0</v>
      </c>
      <c r="AG786">
        <f>+DB!AK786</f>
        <v>0</v>
      </c>
    </row>
    <row r="787" spans="1:33" x14ac:dyDescent="0.2">
      <c r="A787">
        <f>+DB!C787</f>
        <v>0</v>
      </c>
      <c r="B787">
        <f>+DB!D787</f>
        <v>0</v>
      </c>
      <c r="C787">
        <f>+DB!E787</f>
        <v>0</v>
      </c>
      <c r="D787">
        <f t="shared" si="36"/>
        <v>0</v>
      </c>
      <c r="E787">
        <f>+DB!G787</f>
        <v>0</v>
      </c>
      <c r="F787">
        <f>+DB!H787</f>
        <v>0</v>
      </c>
      <c r="G787">
        <f>+DB!N787</f>
        <v>0</v>
      </c>
      <c r="H787">
        <f>+DB!O787</f>
        <v>0</v>
      </c>
      <c r="I787">
        <f>+DB!I787</f>
        <v>0</v>
      </c>
      <c r="J787">
        <f>+DB!J787</f>
        <v>0</v>
      </c>
      <c r="K787">
        <f>+DB!L787</f>
        <v>0</v>
      </c>
      <c r="L787" t="str">
        <f t="shared" si="37"/>
        <v/>
      </c>
      <c r="M787" t="str">
        <f>+IF(LEFT(DB!M787,3)="13/","CAC","MAD")</f>
        <v>MAD</v>
      </c>
      <c r="N787" t="str">
        <f>+RIGHT(DB!M787,6)</f>
        <v/>
      </c>
      <c r="O787">
        <v>95</v>
      </c>
      <c r="P787">
        <v>5</v>
      </c>
      <c r="Q787">
        <f>+DB!AB787</f>
        <v>0</v>
      </c>
      <c r="R787">
        <f>+DB!K787</f>
        <v>0</v>
      </c>
      <c r="S787">
        <f>+DB!F787</f>
        <v>0</v>
      </c>
      <c r="T787">
        <f>+IF(DB!F787="AAAC-35",1,3)</f>
        <v>3</v>
      </c>
      <c r="U787">
        <f>+DB!R787</f>
        <v>0</v>
      </c>
      <c r="V787">
        <f>+IF(DB!P787="1RI",1,0)+IF(DB!P787="2RI",2,0)</f>
        <v>0</v>
      </c>
      <c r="W787">
        <f>+IF(DB!P787="1RV",1,0)+IF(DB!P787="2RV",2,0)</f>
        <v>0</v>
      </c>
      <c r="X787">
        <f>+IF(DB!P787="RYI",1,0)</f>
        <v>0</v>
      </c>
      <c r="Y787">
        <f>+IF(DB!P787="RYV",1,0)</f>
        <v>0</v>
      </c>
      <c r="Z787">
        <f>+DB!U787</f>
        <v>0</v>
      </c>
      <c r="AA787">
        <f>+IF(DB!F787="AAAC-35",19.5,33)</f>
        <v>33</v>
      </c>
      <c r="AB787">
        <f>+DB!V787</f>
        <v>0</v>
      </c>
      <c r="AC787" t="str">
        <f t="shared" si="38"/>
        <v>56-4</v>
      </c>
      <c r="AD787" s="21" t="s">
        <v>72</v>
      </c>
      <c r="AE787">
        <f>+DB!X787</f>
        <v>0</v>
      </c>
      <c r="AF787" s="22">
        <f>+DB!Y787</f>
        <v>0</v>
      </c>
      <c r="AG787">
        <f>+DB!AK787</f>
        <v>0</v>
      </c>
    </row>
    <row r="788" spans="1:33" x14ac:dyDescent="0.2">
      <c r="A788">
        <f>+DB!C788</f>
        <v>0</v>
      </c>
      <c r="B788">
        <f>+DB!D788</f>
        <v>0</v>
      </c>
      <c r="C788">
        <f>+DB!E788</f>
        <v>0</v>
      </c>
      <c r="D788">
        <f t="shared" si="36"/>
        <v>0</v>
      </c>
      <c r="E788">
        <f>+DB!G788</f>
        <v>0</v>
      </c>
      <c r="F788">
        <f>+DB!H788</f>
        <v>0</v>
      </c>
      <c r="G788">
        <f>+DB!N788</f>
        <v>0</v>
      </c>
      <c r="H788">
        <f>+DB!O788</f>
        <v>0</v>
      </c>
      <c r="I788">
        <f>+DB!I788</f>
        <v>0</v>
      </c>
      <c r="J788">
        <f>+DB!J788</f>
        <v>0</v>
      </c>
      <c r="K788">
        <f>+DB!L788</f>
        <v>0</v>
      </c>
      <c r="L788" t="str">
        <f t="shared" si="37"/>
        <v/>
      </c>
      <c r="M788" t="str">
        <f>+IF(LEFT(DB!M788,3)="13/","CAC","MAD")</f>
        <v>MAD</v>
      </c>
      <c r="N788" t="str">
        <f>+RIGHT(DB!M788,6)</f>
        <v/>
      </c>
      <c r="O788">
        <v>95</v>
      </c>
      <c r="P788">
        <v>5</v>
      </c>
      <c r="Q788">
        <f>+DB!AB788</f>
        <v>0</v>
      </c>
      <c r="R788">
        <f>+DB!K788</f>
        <v>0</v>
      </c>
      <c r="S788">
        <f>+DB!F788</f>
        <v>0</v>
      </c>
      <c r="T788">
        <f>+IF(DB!F788="AAAC-35",1,3)</f>
        <v>3</v>
      </c>
      <c r="U788">
        <f>+DB!R788</f>
        <v>0</v>
      </c>
      <c r="V788">
        <f>+IF(DB!P788="1RI",1,0)+IF(DB!P788="2RI",2,0)</f>
        <v>0</v>
      </c>
      <c r="W788">
        <f>+IF(DB!P788="1RV",1,0)+IF(DB!P788="2RV",2,0)</f>
        <v>0</v>
      </c>
      <c r="X788">
        <f>+IF(DB!P788="RYI",1,0)</f>
        <v>0</v>
      </c>
      <c r="Y788">
        <f>+IF(DB!P788="RYV",1,0)</f>
        <v>0</v>
      </c>
      <c r="Z788">
        <f>+DB!U788</f>
        <v>0</v>
      </c>
      <c r="AA788">
        <f>+IF(DB!F788="AAAC-35",19.5,33)</f>
        <v>33</v>
      </c>
      <c r="AB788">
        <f>+DB!V788</f>
        <v>0</v>
      </c>
      <c r="AC788" t="str">
        <f t="shared" si="38"/>
        <v>56-4</v>
      </c>
      <c r="AD788" s="21" t="s">
        <v>72</v>
      </c>
      <c r="AE788">
        <f>+DB!X788</f>
        <v>0</v>
      </c>
      <c r="AF788" s="22">
        <f>+DB!Y788</f>
        <v>0</v>
      </c>
      <c r="AG788">
        <f>+DB!AK788</f>
        <v>0</v>
      </c>
    </row>
    <row r="789" spans="1:33" x14ac:dyDescent="0.2">
      <c r="A789">
        <f>+DB!C789</f>
        <v>0</v>
      </c>
      <c r="B789">
        <f>+DB!D789</f>
        <v>0</v>
      </c>
      <c r="C789">
        <f>+DB!E789</f>
        <v>0</v>
      </c>
      <c r="D789">
        <f t="shared" si="36"/>
        <v>0</v>
      </c>
      <c r="E789">
        <f>+DB!G789</f>
        <v>0</v>
      </c>
      <c r="F789">
        <f>+DB!H789</f>
        <v>0</v>
      </c>
      <c r="G789">
        <f>+DB!N789</f>
        <v>0</v>
      </c>
      <c r="H789">
        <f>+DB!O789</f>
        <v>0</v>
      </c>
      <c r="I789">
        <f>+DB!I789</f>
        <v>0</v>
      </c>
      <c r="J789">
        <f>+DB!J789</f>
        <v>0</v>
      </c>
      <c r="K789">
        <f>+DB!L789</f>
        <v>0</v>
      </c>
      <c r="L789" t="str">
        <f t="shared" si="37"/>
        <v/>
      </c>
      <c r="M789" t="str">
        <f>+IF(LEFT(DB!M789,3)="13/","CAC","MAD")</f>
        <v>MAD</v>
      </c>
      <c r="N789" t="str">
        <f>+RIGHT(DB!M789,6)</f>
        <v/>
      </c>
      <c r="O789">
        <v>95</v>
      </c>
      <c r="P789">
        <v>5</v>
      </c>
      <c r="Q789">
        <f>+DB!AB789</f>
        <v>0</v>
      </c>
      <c r="R789">
        <f>+DB!K789</f>
        <v>0</v>
      </c>
      <c r="S789">
        <f>+DB!F789</f>
        <v>0</v>
      </c>
      <c r="T789">
        <f>+IF(DB!F789="AAAC-35",1,3)</f>
        <v>3</v>
      </c>
      <c r="U789">
        <f>+DB!R789</f>
        <v>0</v>
      </c>
      <c r="V789">
        <f>+IF(DB!P789="1RI",1,0)+IF(DB!P789="2RI",2,0)</f>
        <v>0</v>
      </c>
      <c r="W789">
        <f>+IF(DB!P789="1RV",1,0)+IF(DB!P789="2RV",2,0)</f>
        <v>0</v>
      </c>
      <c r="X789">
        <f>+IF(DB!P789="RYI",1,0)</f>
        <v>0</v>
      </c>
      <c r="Y789">
        <f>+IF(DB!P789="RYV",1,0)</f>
        <v>0</v>
      </c>
      <c r="Z789">
        <f>+DB!U789</f>
        <v>0</v>
      </c>
      <c r="AA789">
        <f>+IF(DB!F789="AAAC-35",19.5,33)</f>
        <v>33</v>
      </c>
      <c r="AB789">
        <f>+DB!V789</f>
        <v>0</v>
      </c>
      <c r="AC789" t="str">
        <f t="shared" si="38"/>
        <v>56-4</v>
      </c>
      <c r="AD789" s="21" t="s">
        <v>72</v>
      </c>
      <c r="AE789">
        <f>+DB!X789</f>
        <v>0</v>
      </c>
      <c r="AF789" s="22">
        <f>+DB!Y789</f>
        <v>0</v>
      </c>
      <c r="AG789">
        <f>+DB!AK789</f>
        <v>0</v>
      </c>
    </row>
    <row r="790" spans="1:33" x14ac:dyDescent="0.2">
      <c r="A790">
        <f>+DB!C790</f>
        <v>0</v>
      </c>
      <c r="B790">
        <f>+DB!D790</f>
        <v>0</v>
      </c>
      <c r="C790">
        <f>+DB!E790</f>
        <v>0</v>
      </c>
      <c r="D790">
        <f t="shared" si="36"/>
        <v>0</v>
      </c>
      <c r="E790">
        <f>+DB!G790</f>
        <v>0</v>
      </c>
      <c r="F790">
        <f>+DB!H790</f>
        <v>0</v>
      </c>
      <c r="G790">
        <f>+DB!N790</f>
        <v>0</v>
      </c>
      <c r="H790">
        <f>+DB!O790</f>
        <v>0</v>
      </c>
      <c r="I790">
        <f>+DB!I790</f>
        <v>0</v>
      </c>
      <c r="J790">
        <f>+DB!J790</f>
        <v>0</v>
      </c>
      <c r="K790">
        <f>+DB!L790</f>
        <v>0</v>
      </c>
      <c r="L790" t="str">
        <f t="shared" si="37"/>
        <v/>
      </c>
      <c r="M790" t="str">
        <f>+IF(LEFT(DB!M790,3)="13/","CAC","MAD")</f>
        <v>MAD</v>
      </c>
      <c r="N790" t="str">
        <f>+RIGHT(DB!M790,6)</f>
        <v/>
      </c>
      <c r="O790">
        <v>95</v>
      </c>
      <c r="P790">
        <v>5</v>
      </c>
      <c r="Q790">
        <f>+DB!AB790</f>
        <v>0</v>
      </c>
      <c r="R790">
        <f>+DB!K790</f>
        <v>0</v>
      </c>
      <c r="S790">
        <f>+DB!F790</f>
        <v>0</v>
      </c>
      <c r="T790">
        <f>+IF(DB!F790="AAAC-35",1,3)</f>
        <v>3</v>
      </c>
      <c r="U790">
        <f>+DB!R790</f>
        <v>0</v>
      </c>
      <c r="V790">
        <f>+IF(DB!P790="1RI",1,0)+IF(DB!P790="2RI",2,0)</f>
        <v>0</v>
      </c>
      <c r="W790">
        <f>+IF(DB!P790="1RV",1,0)+IF(DB!P790="2RV",2,0)</f>
        <v>0</v>
      </c>
      <c r="X790">
        <f>+IF(DB!P790="RYI",1,0)</f>
        <v>0</v>
      </c>
      <c r="Y790">
        <f>+IF(DB!P790="RYV",1,0)</f>
        <v>0</v>
      </c>
      <c r="Z790">
        <f>+DB!U790</f>
        <v>0</v>
      </c>
      <c r="AA790">
        <f>+IF(DB!F790="AAAC-35",19.5,33)</f>
        <v>33</v>
      </c>
      <c r="AB790">
        <f>+DB!V790</f>
        <v>0</v>
      </c>
      <c r="AC790" t="str">
        <f t="shared" si="38"/>
        <v>56-4</v>
      </c>
      <c r="AD790" s="21" t="s">
        <v>72</v>
      </c>
      <c r="AE790">
        <f>+DB!X790</f>
        <v>0</v>
      </c>
      <c r="AF790" s="22">
        <f>+DB!Y790</f>
        <v>0</v>
      </c>
      <c r="AG790">
        <f>+DB!AK790</f>
        <v>0</v>
      </c>
    </row>
    <row r="791" spans="1:33" x14ac:dyDescent="0.2">
      <c r="A791">
        <f>+DB!C791</f>
        <v>0</v>
      </c>
      <c r="B791">
        <f>+DB!D791</f>
        <v>0</v>
      </c>
      <c r="C791">
        <f>+DB!E791</f>
        <v>0</v>
      </c>
      <c r="D791">
        <f t="shared" si="36"/>
        <v>0</v>
      </c>
      <c r="E791">
        <f>+DB!G791</f>
        <v>0</v>
      </c>
      <c r="F791">
        <f>+DB!H791</f>
        <v>0</v>
      </c>
      <c r="G791">
        <f>+DB!N791</f>
        <v>0</v>
      </c>
      <c r="H791">
        <f>+DB!O791</f>
        <v>0</v>
      </c>
      <c r="I791">
        <f>+DB!I791</f>
        <v>0</v>
      </c>
      <c r="J791">
        <f>+DB!J791</f>
        <v>0</v>
      </c>
      <c r="K791">
        <f>+DB!L791</f>
        <v>0</v>
      </c>
      <c r="L791" t="str">
        <f t="shared" si="37"/>
        <v/>
      </c>
      <c r="M791" t="str">
        <f>+IF(LEFT(DB!M791,3)="13/","CAC","MAD")</f>
        <v>MAD</v>
      </c>
      <c r="N791" t="str">
        <f>+RIGHT(DB!M791,6)</f>
        <v/>
      </c>
      <c r="O791">
        <v>95</v>
      </c>
      <c r="P791">
        <v>5</v>
      </c>
      <c r="Q791">
        <f>+DB!AB791</f>
        <v>0</v>
      </c>
      <c r="R791">
        <f>+DB!K791</f>
        <v>0</v>
      </c>
      <c r="S791">
        <f>+DB!F791</f>
        <v>0</v>
      </c>
      <c r="T791">
        <f>+IF(DB!F791="AAAC-35",1,3)</f>
        <v>3</v>
      </c>
      <c r="U791">
        <f>+DB!R791</f>
        <v>0</v>
      </c>
      <c r="V791">
        <f>+IF(DB!P791="1RI",1,0)+IF(DB!P791="2RI",2,0)</f>
        <v>0</v>
      </c>
      <c r="W791">
        <f>+IF(DB!P791="1RV",1,0)+IF(DB!P791="2RV",2,0)</f>
        <v>0</v>
      </c>
      <c r="X791">
        <f>+IF(DB!P791="RYI",1,0)</f>
        <v>0</v>
      </c>
      <c r="Y791">
        <f>+IF(DB!P791="RYV",1,0)</f>
        <v>0</v>
      </c>
      <c r="Z791">
        <f>+DB!U791</f>
        <v>0</v>
      </c>
      <c r="AA791">
        <f>+IF(DB!F791="AAAC-35",19.5,33)</f>
        <v>33</v>
      </c>
      <c r="AB791">
        <f>+DB!V791</f>
        <v>0</v>
      </c>
      <c r="AC791" t="str">
        <f t="shared" si="38"/>
        <v>56-4</v>
      </c>
      <c r="AD791" s="21" t="s">
        <v>72</v>
      </c>
      <c r="AE791">
        <f>+DB!X791</f>
        <v>0</v>
      </c>
      <c r="AF791" s="22">
        <f>+DB!Y791</f>
        <v>0</v>
      </c>
      <c r="AG791">
        <f>+DB!AK791</f>
        <v>0</v>
      </c>
    </row>
    <row r="792" spans="1:33" x14ac:dyDescent="0.2">
      <c r="A792">
        <f>+DB!C792</f>
        <v>0</v>
      </c>
      <c r="B792">
        <f>+DB!D792</f>
        <v>0</v>
      </c>
      <c r="C792">
        <f>+DB!E792</f>
        <v>0</v>
      </c>
      <c r="D792">
        <f t="shared" si="36"/>
        <v>0</v>
      </c>
      <c r="E792">
        <f>+DB!G792</f>
        <v>0</v>
      </c>
      <c r="F792">
        <f>+DB!H792</f>
        <v>0</v>
      </c>
      <c r="G792">
        <f>+DB!N792</f>
        <v>0</v>
      </c>
      <c r="H792">
        <f>+DB!O792</f>
        <v>0</v>
      </c>
      <c r="I792">
        <f>+DB!I792</f>
        <v>0</v>
      </c>
      <c r="J792">
        <f>+DB!J792</f>
        <v>0</v>
      </c>
      <c r="K792">
        <f>+DB!L792</f>
        <v>0</v>
      </c>
      <c r="L792" t="str">
        <f t="shared" si="37"/>
        <v/>
      </c>
      <c r="M792" t="str">
        <f>+IF(LEFT(DB!M792,3)="13/","CAC","MAD")</f>
        <v>MAD</v>
      </c>
      <c r="N792" t="str">
        <f>+RIGHT(DB!M792,6)</f>
        <v/>
      </c>
      <c r="O792">
        <v>95</v>
      </c>
      <c r="P792">
        <v>5</v>
      </c>
      <c r="Q792">
        <f>+DB!AB792</f>
        <v>0</v>
      </c>
      <c r="R792">
        <f>+DB!K792</f>
        <v>0</v>
      </c>
      <c r="S792">
        <f>+DB!F792</f>
        <v>0</v>
      </c>
      <c r="T792">
        <f>+IF(DB!F792="AAAC-35",1,3)</f>
        <v>3</v>
      </c>
      <c r="U792">
        <f>+DB!R792</f>
        <v>0</v>
      </c>
      <c r="V792">
        <f>+IF(DB!P792="1RI",1,0)+IF(DB!P792="2RI",2,0)</f>
        <v>0</v>
      </c>
      <c r="W792">
        <f>+IF(DB!P792="1RV",1,0)+IF(DB!P792="2RV",2,0)</f>
        <v>0</v>
      </c>
      <c r="X792">
        <f>+IF(DB!P792="RYI",1,0)</f>
        <v>0</v>
      </c>
      <c r="Y792">
        <f>+IF(DB!P792="RYV",1,0)</f>
        <v>0</v>
      </c>
      <c r="Z792">
        <f>+DB!U792</f>
        <v>0</v>
      </c>
      <c r="AA792">
        <f>+IF(DB!F792="AAAC-35",19.5,33)</f>
        <v>33</v>
      </c>
      <c r="AB792">
        <f>+DB!V792</f>
        <v>0</v>
      </c>
      <c r="AC792" t="str">
        <f t="shared" si="38"/>
        <v>56-4</v>
      </c>
      <c r="AD792" s="21" t="s">
        <v>72</v>
      </c>
      <c r="AE792">
        <f>+DB!X792</f>
        <v>0</v>
      </c>
      <c r="AF792" s="22">
        <f>+DB!Y792</f>
        <v>0</v>
      </c>
      <c r="AG792">
        <f>+DB!AK792</f>
        <v>0</v>
      </c>
    </row>
    <row r="793" spans="1:33" x14ac:dyDescent="0.2">
      <c r="A793">
        <f>+DB!C793</f>
        <v>0</v>
      </c>
      <c r="B793">
        <f>+DB!D793</f>
        <v>0</v>
      </c>
      <c r="C793">
        <f>+DB!E793</f>
        <v>0</v>
      </c>
      <c r="D793">
        <f t="shared" si="36"/>
        <v>0</v>
      </c>
      <c r="E793">
        <f>+DB!G793</f>
        <v>0</v>
      </c>
      <c r="F793">
        <f>+DB!H793</f>
        <v>0</v>
      </c>
      <c r="G793">
        <f>+DB!N793</f>
        <v>0</v>
      </c>
      <c r="H793">
        <f>+DB!O793</f>
        <v>0</v>
      </c>
      <c r="I793">
        <f>+DB!I793</f>
        <v>0</v>
      </c>
      <c r="J793">
        <f>+DB!J793</f>
        <v>0</v>
      </c>
      <c r="K793">
        <f>+DB!L793</f>
        <v>0</v>
      </c>
      <c r="L793" t="str">
        <f t="shared" si="37"/>
        <v/>
      </c>
      <c r="M793" t="str">
        <f>+IF(LEFT(DB!M793,3)="13/","CAC","MAD")</f>
        <v>MAD</v>
      </c>
      <c r="N793" t="str">
        <f>+RIGHT(DB!M793,6)</f>
        <v/>
      </c>
      <c r="O793">
        <v>95</v>
      </c>
      <c r="P793">
        <v>5</v>
      </c>
      <c r="Q793">
        <f>+DB!AB793</f>
        <v>0</v>
      </c>
      <c r="R793">
        <f>+DB!K793</f>
        <v>0</v>
      </c>
      <c r="S793">
        <f>+DB!F793</f>
        <v>0</v>
      </c>
      <c r="T793">
        <f>+IF(DB!F793="AAAC-35",1,3)</f>
        <v>3</v>
      </c>
      <c r="U793">
        <f>+DB!R793</f>
        <v>0</v>
      </c>
      <c r="V793">
        <f>+IF(DB!P793="1RI",1,0)+IF(DB!P793="2RI",2,0)</f>
        <v>0</v>
      </c>
      <c r="W793">
        <f>+IF(DB!P793="1RV",1,0)+IF(DB!P793="2RV",2,0)</f>
        <v>0</v>
      </c>
      <c r="X793">
        <f>+IF(DB!P793="RYI",1,0)</f>
        <v>0</v>
      </c>
      <c r="Y793">
        <f>+IF(DB!P793="RYV",1,0)</f>
        <v>0</v>
      </c>
      <c r="Z793">
        <f>+DB!U793</f>
        <v>0</v>
      </c>
      <c r="AA793">
        <f>+IF(DB!F793="AAAC-35",19.5,33)</f>
        <v>33</v>
      </c>
      <c r="AB793">
        <f>+DB!V793</f>
        <v>0</v>
      </c>
      <c r="AC793" t="str">
        <f t="shared" si="38"/>
        <v>56-4</v>
      </c>
      <c r="AD793" s="21" t="s">
        <v>72</v>
      </c>
      <c r="AE793">
        <f>+DB!X793</f>
        <v>0</v>
      </c>
      <c r="AF793" s="22">
        <f>+DB!Y793</f>
        <v>0</v>
      </c>
      <c r="AG793">
        <f>+DB!AK793</f>
        <v>0</v>
      </c>
    </row>
    <row r="794" spans="1:33" x14ac:dyDescent="0.2">
      <c r="A794">
        <f>+DB!C794</f>
        <v>0</v>
      </c>
      <c r="B794">
        <f>+DB!D794</f>
        <v>0</v>
      </c>
      <c r="C794">
        <f>+DB!E794</f>
        <v>0</v>
      </c>
      <c r="D794">
        <f t="shared" si="36"/>
        <v>0</v>
      </c>
      <c r="E794">
        <f>+DB!G794</f>
        <v>0</v>
      </c>
      <c r="F794">
        <f>+DB!H794</f>
        <v>0</v>
      </c>
      <c r="G794">
        <f>+DB!N794</f>
        <v>0</v>
      </c>
      <c r="H794">
        <f>+DB!O794</f>
        <v>0</v>
      </c>
      <c r="I794">
        <f>+DB!I794</f>
        <v>0</v>
      </c>
      <c r="J794">
        <f>+DB!J794</f>
        <v>0</v>
      </c>
      <c r="K794">
        <f>+DB!L794</f>
        <v>0</v>
      </c>
      <c r="L794" t="str">
        <f t="shared" si="37"/>
        <v/>
      </c>
      <c r="M794" t="str">
        <f>+IF(LEFT(DB!M794,3)="13/","CAC","MAD")</f>
        <v>MAD</v>
      </c>
      <c r="N794" t="str">
        <f>+RIGHT(DB!M794,6)</f>
        <v/>
      </c>
      <c r="O794">
        <v>95</v>
      </c>
      <c r="P794">
        <v>5</v>
      </c>
      <c r="Q794">
        <f>+DB!AB794</f>
        <v>0</v>
      </c>
      <c r="R794">
        <f>+DB!K794</f>
        <v>0</v>
      </c>
      <c r="S794">
        <f>+DB!F794</f>
        <v>0</v>
      </c>
      <c r="T794">
        <f>+IF(DB!F794="AAAC-35",1,3)</f>
        <v>3</v>
      </c>
      <c r="U794">
        <f>+DB!R794</f>
        <v>0</v>
      </c>
      <c r="V794">
        <f>+IF(DB!P794="1RI",1,0)+IF(DB!P794="2RI",2,0)</f>
        <v>0</v>
      </c>
      <c r="W794">
        <f>+IF(DB!P794="1RV",1,0)+IF(DB!P794="2RV",2,0)</f>
        <v>0</v>
      </c>
      <c r="X794">
        <f>+IF(DB!P794="RYI",1,0)</f>
        <v>0</v>
      </c>
      <c r="Y794">
        <f>+IF(DB!P794="RYV",1,0)</f>
        <v>0</v>
      </c>
      <c r="Z794">
        <f>+DB!U794</f>
        <v>0</v>
      </c>
      <c r="AA794">
        <f>+IF(DB!F794="AAAC-35",19.5,33)</f>
        <v>33</v>
      </c>
      <c r="AB794">
        <f>+DB!V794</f>
        <v>0</v>
      </c>
      <c r="AC794" t="str">
        <f t="shared" si="38"/>
        <v>56-4</v>
      </c>
      <c r="AD794" s="21" t="s">
        <v>72</v>
      </c>
      <c r="AE794">
        <f>+DB!X794</f>
        <v>0</v>
      </c>
      <c r="AF794" s="22">
        <f>+DB!Y794</f>
        <v>0</v>
      </c>
      <c r="AG794">
        <f>+DB!AK794</f>
        <v>0</v>
      </c>
    </row>
    <row r="795" spans="1:33" x14ac:dyDescent="0.2">
      <c r="A795">
        <f>+DB!C795</f>
        <v>0</v>
      </c>
      <c r="B795">
        <f>+DB!D795</f>
        <v>0</v>
      </c>
      <c r="C795">
        <f>+DB!E795</f>
        <v>0</v>
      </c>
      <c r="D795">
        <f t="shared" si="36"/>
        <v>0</v>
      </c>
      <c r="E795">
        <f>+DB!G795</f>
        <v>0</v>
      </c>
      <c r="F795">
        <f>+DB!H795</f>
        <v>0</v>
      </c>
      <c r="G795">
        <f>+DB!N795</f>
        <v>0</v>
      </c>
      <c r="H795">
        <f>+DB!O795</f>
        <v>0</v>
      </c>
      <c r="I795">
        <f>+DB!I795</f>
        <v>0</v>
      </c>
      <c r="J795">
        <f>+DB!J795</f>
        <v>0</v>
      </c>
      <c r="K795">
        <f>+DB!L795</f>
        <v>0</v>
      </c>
      <c r="L795" t="str">
        <f t="shared" si="37"/>
        <v/>
      </c>
      <c r="M795" t="str">
        <f>+IF(LEFT(DB!M795,3)="13/","CAC","MAD")</f>
        <v>MAD</v>
      </c>
      <c r="N795" t="str">
        <f>+RIGHT(DB!M795,6)</f>
        <v/>
      </c>
      <c r="O795">
        <v>95</v>
      </c>
      <c r="P795">
        <v>5</v>
      </c>
      <c r="Q795">
        <f>+DB!AB795</f>
        <v>0</v>
      </c>
      <c r="R795">
        <f>+DB!K795</f>
        <v>0</v>
      </c>
      <c r="S795">
        <f>+DB!F795</f>
        <v>0</v>
      </c>
      <c r="T795">
        <f>+IF(DB!F795="AAAC-35",1,3)</f>
        <v>3</v>
      </c>
      <c r="U795">
        <f>+DB!R795</f>
        <v>0</v>
      </c>
      <c r="V795">
        <f>+IF(DB!P795="1RI",1,0)+IF(DB!P795="2RI",2,0)</f>
        <v>0</v>
      </c>
      <c r="W795">
        <f>+IF(DB!P795="1RV",1,0)+IF(DB!P795="2RV",2,0)</f>
        <v>0</v>
      </c>
      <c r="X795">
        <f>+IF(DB!P795="RYI",1,0)</f>
        <v>0</v>
      </c>
      <c r="Y795">
        <f>+IF(DB!P795="RYV",1,0)</f>
        <v>0</v>
      </c>
      <c r="Z795">
        <f>+DB!U795</f>
        <v>0</v>
      </c>
      <c r="AA795">
        <f>+IF(DB!F795="AAAC-35",19.5,33)</f>
        <v>33</v>
      </c>
      <c r="AB795">
        <f>+DB!V795</f>
        <v>0</v>
      </c>
      <c r="AC795" t="str">
        <f t="shared" si="38"/>
        <v>56-4</v>
      </c>
      <c r="AD795" s="21" t="s">
        <v>72</v>
      </c>
      <c r="AE795">
        <f>+DB!X795</f>
        <v>0</v>
      </c>
      <c r="AF795" s="22">
        <f>+DB!Y795</f>
        <v>0</v>
      </c>
      <c r="AG795">
        <f>+DB!AK795</f>
        <v>0</v>
      </c>
    </row>
    <row r="796" spans="1:33" x14ac:dyDescent="0.2">
      <c r="A796">
        <f>+DB!C796</f>
        <v>0</v>
      </c>
      <c r="B796">
        <f>+DB!D796</f>
        <v>0</v>
      </c>
      <c r="C796">
        <f>+DB!E796</f>
        <v>0</v>
      </c>
      <c r="D796">
        <f t="shared" si="36"/>
        <v>0</v>
      </c>
      <c r="E796">
        <f>+DB!G796</f>
        <v>0</v>
      </c>
      <c r="F796">
        <f>+DB!H796</f>
        <v>0</v>
      </c>
      <c r="G796">
        <f>+DB!N796</f>
        <v>0</v>
      </c>
      <c r="H796">
        <f>+DB!O796</f>
        <v>0</v>
      </c>
      <c r="I796">
        <f>+DB!I796</f>
        <v>0</v>
      </c>
      <c r="J796">
        <f>+DB!J796</f>
        <v>0</v>
      </c>
      <c r="K796">
        <f>+DB!L796</f>
        <v>0</v>
      </c>
      <c r="L796" t="str">
        <f t="shared" si="37"/>
        <v/>
      </c>
      <c r="M796" t="str">
        <f>+IF(LEFT(DB!M796,3)="13/","CAC","MAD")</f>
        <v>MAD</v>
      </c>
      <c r="N796" t="str">
        <f>+RIGHT(DB!M796,6)</f>
        <v/>
      </c>
      <c r="O796">
        <v>95</v>
      </c>
      <c r="P796">
        <v>5</v>
      </c>
      <c r="Q796">
        <f>+DB!AB796</f>
        <v>0</v>
      </c>
      <c r="R796">
        <f>+DB!K796</f>
        <v>0</v>
      </c>
      <c r="S796">
        <f>+DB!F796</f>
        <v>0</v>
      </c>
      <c r="T796">
        <f>+IF(DB!F796="AAAC-35",1,3)</f>
        <v>3</v>
      </c>
      <c r="U796">
        <f>+DB!R796</f>
        <v>0</v>
      </c>
      <c r="V796">
        <f>+IF(DB!P796="1RI",1,0)+IF(DB!P796="2RI",2,0)</f>
        <v>0</v>
      </c>
      <c r="W796">
        <f>+IF(DB!P796="1RV",1,0)+IF(DB!P796="2RV",2,0)</f>
        <v>0</v>
      </c>
      <c r="X796">
        <f>+IF(DB!P796="RYI",1,0)</f>
        <v>0</v>
      </c>
      <c r="Y796">
        <f>+IF(DB!P796="RYV",1,0)</f>
        <v>0</v>
      </c>
      <c r="Z796">
        <f>+DB!U796</f>
        <v>0</v>
      </c>
      <c r="AA796">
        <f>+IF(DB!F796="AAAC-35",19.5,33)</f>
        <v>33</v>
      </c>
      <c r="AB796">
        <f>+DB!V796</f>
        <v>0</v>
      </c>
      <c r="AC796" t="str">
        <f t="shared" si="38"/>
        <v>56-4</v>
      </c>
      <c r="AD796" s="21" t="s">
        <v>72</v>
      </c>
      <c r="AE796">
        <f>+DB!X796</f>
        <v>0</v>
      </c>
      <c r="AF796" s="22">
        <f>+DB!Y796</f>
        <v>0</v>
      </c>
      <c r="AG796">
        <f>+DB!AK796</f>
        <v>0</v>
      </c>
    </row>
    <row r="797" spans="1:33" x14ac:dyDescent="0.2">
      <c r="A797">
        <f>+DB!C797</f>
        <v>0</v>
      </c>
      <c r="B797">
        <f>+DB!D797</f>
        <v>0</v>
      </c>
      <c r="C797">
        <f>+DB!E797</f>
        <v>0</v>
      </c>
      <c r="D797">
        <f t="shared" si="36"/>
        <v>0</v>
      </c>
      <c r="E797">
        <f>+DB!G797</f>
        <v>0</v>
      </c>
      <c r="F797">
        <f>+DB!H797</f>
        <v>0</v>
      </c>
      <c r="G797">
        <f>+DB!N797</f>
        <v>0</v>
      </c>
      <c r="H797">
        <f>+DB!O797</f>
        <v>0</v>
      </c>
      <c r="I797">
        <f>+DB!I797</f>
        <v>0</v>
      </c>
      <c r="J797">
        <f>+DB!J797</f>
        <v>0</v>
      </c>
      <c r="K797">
        <f>+DB!L797</f>
        <v>0</v>
      </c>
      <c r="L797" t="str">
        <f t="shared" si="37"/>
        <v/>
      </c>
      <c r="M797" t="str">
        <f>+IF(LEFT(DB!M797,3)="13/","CAC","MAD")</f>
        <v>MAD</v>
      </c>
      <c r="N797" t="str">
        <f>+RIGHT(DB!M797,6)</f>
        <v/>
      </c>
      <c r="O797">
        <v>95</v>
      </c>
      <c r="P797">
        <v>5</v>
      </c>
      <c r="Q797">
        <f>+DB!AB797</f>
        <v>0</v>
      </c>
      <c r="R797">
        <f>+DB!K797</f>
        <v>0</v>
      </c>
      <c r="S797">
        <f>+DB!F797</f>
        <v>0</v>
      </c>
      <c r="T797">
        <f>+IF(DB!F797="AAAC-35",1,3)</f>
        <v>3</v>
      </c>
      <c r="U797">
        <f>+DB!R797</f>
        <v>0</v>
      </c>
      <c r="V797">
        <f>+IF(DB!P797="1RI",1,0)+IF(DB!P797="2RI",2,0)</f>
        <v>0</v>
      </c>
      <c r="W797">
        <f>+IF(DB!P797="1RV",1,0)+IF(DB!P797="2RV",2,0)</f>
        <v>0</v>
      </c>
      <c r="X797">
        <f>+IF(DB!P797="RYI",1,0)</f>
        <v>0</v>
      </c>
      <c r="Y797">
        <f>+IF(DB!P797="RYV",1,0)</f>
        <v>0</v>
      </c>
      <c r="Z797">
        <f>+DB!U797</f>
        <v>0</v>
      </c>
      <c r="AA797">
        <f>+IF(DB!F797="AAAC-35",19.5,33)</f>
        <v>33</v>
      </c>
      <c r="AB797">
        <f>+DB!V797</f>
        <v>0</v>
      </c>
      <c r="AC797" t="str">
        <f t="shared" si="38"/>
        <v>56-4</v>
      </c>
      <c r="AD797" s="21" t="s">
        <v>72</v>
      </c>
      <c r="AE797">
        <f>+DB!X797</f>
        <v>0</v>
      </c>
      <c r="AF797" s="22">
        <f>+DB!Y797</f>
        <v>0</v>
      </c>
      <c r="AG797">
        <f>+DB!AK797</f>
        <v>0</v>
      </c>
    </row>
    <row r="798" spans="1:33" x14ac:dyDescent="0.2">
      <c r="A798">
        <f>+DB!C798</f>
        <v>0</v>
      </c>
      <c r="B798">
        <f>+DB!D798</f>
        <v>0</v>
      </c>
      <c r="C798">
        <f>+DB!E798</f>
        <v>0</v>
      </c>
      <c r="D798">
        <f t="shared" si="36"/>
        <v>0</v>
      </c>
      <c r="E798">
        <f>+DB!G798</f>
        <v>0</v>
      </c>
      <c r="F798">
        <f>+DB!H798</f>
        <v>0</v>
      </c>
      <c r="G798">
        <f>+DB!N798</f>
        <v>0</v>
      </c>
      <c r="H798">
        <f>+DB!O798</f>
        <v>0</v>
      </c>
      <c r="I798">
        <f>+DB!I798</f>
        <v>0</v>
      </c>
      <c r="J798">
        <f>+DB!J798</f>
        <v>0</v>
      </c>
      <c r="K798">
        <f>+DB!L798</f>
        <v>0</v>
      </c>
      <c r="L798" t="str">
        <f t="shared" si="37"/>
        <v/>
      </c>
      <c r="M798" t="str">
        <f>+IF(LEFT(DB!M798,3)="13/","CAC","MAD")</f>
        <v>MAD</v>
      </c>
      <c r="N798" t="str">
        <f>+RIGHT(DB!M798,6)</f>
        <v/>
      </c>
      <c r="O798">
        <v>95</v>
      </c>
      <c r="P798">
        <v>5</v>
      </c>
      <c r="Q798">
        <f>+DB!AB798</f>
        <v>0</v>
      </c>
      <c r="R798">
        <f>+DB!K798</f>
        <v>0</v>
      </c>
      <c r="S798">
        <f>+DB!F798</f>
        <v>0</v>
      </c>
      <c r="T798">
        <f>+IF(DB!F798="AAAC-35",1,3)</f>
        <v>3</v>
      </c>
      <c r="U798">
        <f>+DB!R798</f>
        <v>0</v>
      </c>
      <c r="V798">
        <f>+IF(DB!P798="1RI",1,0)+IF(DB!P798="2RI",2,0)</f>
        <v>0</v>
      </c>
      <c r="W798">
        <f>+IF(DB!P798="1RV",1,0)+IF(DB!P798="2RV",2,0)</f>
        <v>0</v>
      </c>
      <c r="X798">
        <f>+IF(DB!P798="RYI",1,0)</f>
        <v>0</v>
      </c>
      <c r="Y798">
        <f>+IF(DB!P798="RYV",1,0)</f>
        <v>0</v>
      </c>
      <c r="Z798">
        <f>+DB!U798</f>
        <v>0</v>
      </c>
      <c r="AA798">
        <f>+IF(DB!F798="AAAC-35",19.5,33)</f>
        <v>33</v>
      </c>
      <c r="AB798">
        <f>+DB!V798</f>
        <v>0</v>
      </c>
      <c r="AC798" t="str">
        <f t="shared" si="38"/>
        <v>56-4</v>
      </c>
      <c r="AD798" s="21" t="s">
        <v>72</v>
      </c>
      <c r="AE798">
        <f>+DB!X798</f>
        <v>0</v>
      </c>
      <c r="AF798" s="22">
        <f>+DB!Y798</f>
        <v>0</v>
      </c>
      <c r="AG798">
        <f>+DB!AK798</f>
        <v>0</v>
      </c>
    </row>
    <row r="799" spans="1:33" x14ac:dyDescent="0.2">
      <c r="A799">
        <f>+DB!C799</f>
        <v>0</v>
      </c>
      <c r="B799">
        <f>+DB!D799</f>
        <v>0</v>
      </c>
      <c r="C799">
        <f>+DB!E799</f>
        <v>0</v>
      </c>
      <c r="D799">
        <f t="shared" si="36"/>
        <v>0</v>
      </c>
      <c r="E799">
        <f>+DB!G799</f>
        <v>0</v>
      </c>
      <c r="F799">
        <f>+DB!H799</f>
        <v>0</v>
      </c>
      <c r="G799">
        <f>+DB!N799</f>
        <v>0</v>
      </c>
      <c r="H799">
        <f>+DB!O799</f>
        <v>0</v>
      </c>
      <c r="I799">
        <f>+DB!I799</f>
        <v>0</v>
      </c>
      <c r="J799">
        <f>+DB!J799</f>
        <v>0</v>
      </c>
      <c r="K799">
        <f>+DB!L799</f>
        <v>0</v>
      </c>
      <c r="L799" t="str">
        <f t="shared" si="37"/>
        <v/>
      </c>
      <c r="M799" t="str">
        <f>+IF(LEFT(DB!M799,3)="13/","CAC","MAD")</f>
        <v>MAD</v>
      </c>
      <c r="N799" t="str">
        <f>+RIGHT(DB!M799,6)</f>
        <v/>
      </c>
      <c r="O799">
        <v>95</v>
      </c>
      <c r="P799">
        <v>5</v>
      </c>
      <c r="Q799">
        <f>+DB!AB799</f>
        <v>0</v>
      </c>
      <c r="R799">
        <f>+DB!K799</f>
        <v>0</v>
      </c>
      <c r="S799">
        <f>+DB!F799</f>
        <v>0</v>
      </c>
      <c r="T799">
        <f>+IF(DB!F799="AAAC-35",1,3)</f>
        <v>3</v>
      </c>
      <c r="U799">
        <f>+DB!R799</f>
        <v>0</v>
      </c>
      <c r="V799">
        <f>+IF(DB!P799="1RI",1,0)+IF(DB!P799="2RI",2,0)</f>
        <v>0</v>
      </c>
      <c r="W799">
        <f>+IF(DB!P799="1RV",1,0)+IF(DB!P799="2RV",2,0)</f>
        <v>0</v>
      </c>
      <c r="X799">
        <f>+IF(DB!P799="RYI",1,0)</f>
        <v>0</v>
      </c>
      <c r="Y799">
        <f>+IF(DB!P799="RYV",1,0)</f>
        <v>0</v>
      </c>
      <c r="Z799">
        <f>+DB!U799</f>
        <v>0</v>
      </c>
      <c r="AA799">
        <f>+IF(DB!F799="AAAC-35",19.5,33)</f>
        <v>33</v>
      </c>
      <c r="AB799">
        <f>+DB!V799</f>
        <v>0</v>
      </c>
      <c r="AC799" t="str">
        <f t="shared" si="38"/>
        <v>56-4</v>
      </c>
      <c r="AD799" s="21" t="s">
        <v>72</v>
      </c>
      <c r="AE799">
        <f>+DB!X799</f>
        <v>0</v>
      </c>
      <c r="AF799" s="22">
        <f>+DB!Y799</f>
        <v>0</v>
      </c>
      <c r="AG799">
        <f>+DB!AK799</f>
        <v>0</v>
      </c>
    </row>
    <row r="800" spans="1:33" x14ac:dyDescent="0.2">
      <c r="A800">
        <f>+DB!C800</f>
        <v>0</v>
      </c>
      <c r="B800">
        <f>+DB!D800</f>
        <v>0</v>
      </c>
      <c r="C800">
        <f>+DB!E800</f>
        <v>0</v>
      </c>
      <c r="D800">
        <f t="shared" si="36"/>
        <v>0</v>
      </c>
      <c r="E800">
        <f>+DB!G800</f>
        <v>0</v>
      </c>
      <c r="F800">
        <f>+DB!H800</f>
        <v>0</v>
      </c>
      <c r="G800">
        <f>+DB!N800</f>
        <v>0</v>
      </c>
      <c r="H800">
        <f>+DB!O800</f>
        <v>0</v>
      </c>
      <c r="I800">
        <f>+DB!I800</f>
        <v>0</v>
      </c>
      <c r="J800">
        <f>+DB!J800</f>
        <v>0</v>
      </c>
      <c r="K800">
        <f>+DB!L800</f>
        <v>0</v>
      </c>
      <c r="L800" t="str">
        <f t="shared" si="37"/>
        <v/>
      </c>
      <c r="M800" t="str">
        <f>+IF(LEFT(DB!M800,3)="13/","CAC","MAD")</f>
        <v>MAD</v>
      </c>
      <c r="N800" t="str">
        <f>+RIGHT(DB!M800,6)</f>
        <v/>
      </c>
      <c r="O800">
        <v>95</v>
      </c>
      <c r="P800">
        <v>5</v>
      </c>
      <c r="Q800">
        <f>+DB!AB800</f>
        <v>0</v>
      </c>
      <c r="R800">
        <f>+DB!K800</f>
        <v>0</v>
      </c>
      <c r="S800">
        <f>+DB!F800</f>
        <v>0</v>
      </c>
      <c r="T800">
        <f>+IF(DB!F800="AAAC-35",1,3)</f>
        <v>3</v>
      </c>
      <c r="U800">
        <f>+DB!R800</f>
        <v>0</v>
      </c>
      <c r="V800">
        <f>+IF(DB!P800="1RI",1,0)+IF(DB!P800="2RI",2,0)</f>
        <v>0</v>
      </c>
      <c r="W800">
        <f>+IF(DB!P800="1RV",1,0)+IF(DB!P800="2RV",2,0)</f>
        <v>0</v>
      </c>
      <c r="X800">
        <f>+IF(DB!P800="RYI",1,0)</f>
        <v>0</v>
      </c>
      <c r="Y800">
        <f>+IF(DB!P800="RYV",1,0)</f>
        <v>0</v>
      </c>
      <c r="Z800">
        <f>+DB!U800</f>
        <v>0</v>
      </c>
      <c r="AA800">
        <f>+IF(DB!F800="AAAC-35",19.5,33)</f>
        <v>33</v>
      </c>
      <c r="AB800">
        <f>+DB!V800</f>
        <v>0</v>
      </c>
      <c r="AC800" t="str">
        <f t="shared" si="38"/>
        <v>56-4</v>
      </c>
      <c r="AD800" s="21" t="s">
        <v>72</v>
      </c>
      <c r="AE800">
        <f>+DB!X800</f>
        <v>0</v>
      </c>
      <c r="AF800" s="22">
        <f>+DB!Y800</f>
        <v>0</v>
      </c>
      <c r="AG800">
        <f>+DB!AK800</f>
        <v>0</v>
      </c>
    </row>
    <row r="801" spans="1:33" x14ac:dyDescent="0.2">
      <c r="A801">
        <f>+DB!C801</f>
        <v>0</v>
      </c>
      <c r="B801">
        <f>+DB!D801</f>
        <v>0</v>
      </c>
      <c r="C801">
        <f>+DB!E801</f>
        <v>0</v>
      </c>
      <c r="D801">
        <f t="shared" si="36"/>
        <v>0</v>
      </c>
      <c r="E801">
        <f>+DB!G801</f>
        <v>0</v>
      </c>
      <c r="F801">
        <f>+DB!H801</f>
        <v>0</v>
      </c>
      <c r="G801">
        <f>+DB!N801</f>
        <v>0</v>
      </c>
      <c r="H801">
        <f>+DB!O801</f>
        <v>0</v>
      </c>
      <c r="I801">
        <f>+DB!I801</f>
        <v>0</v>
      </c>
      <c r="J801">
        <f>+DB!J801</f>
        <v>0</v>
      </c>
      <c r="K801">
        <f>+DB!L801</f>
        <v>0</v>
      </c>
      <c r="L801" t="str">
        <f t="shared" si="37"/>
        <v/>
      </c>
      <c r="M801" t="str">
        <f>+IF(LEFT(DB!M801,3)="13/","CAC","MAD")</f>
        <v>MAD</v>
      </c>
      <c r="N801" t="str">
        <f>+RIGHT(DB!M801,6)</f>
        <v/>
      </c>
      <c r="O801">
        <v>95</v>
      </c>
      <c r="P801">
        <v>5</v>
      </c>
      <c r="Q801">
        <f>+DB!AB801</f>
        <v>0</v>
      </c>
      <c r="R801">
        <f>+DB!K801</f>
        <v>0</v>
      </c>
      <c r="S801">
        <f>+DB!F801</f>
        <v>0</v>
      </c>
      <c r="T801">
        <f>+IF(DB!F801="AAAC-35",1,3)</f>
        <v>3</v>
      </c>
      <c r="U801">
        <f>+DB!R801</f>
        <v>0</v>
      </c>
      <c r="V801">
        <f>+IF(DB!P801="1RI",1,0)+IF(DB!P801="2RI",2,0)</f>
        <v>0</v>
      </c>
      <c r="W801">
        <f>+IF(DB!P801="1RV",1,0)+IF(DB!P801="2RV",2,0)</f>
        <v>0</v>
      </c>
      <c r="X801">
        <f>+IF(DB!P801="RYI",1,0)</f>
        <v>0</v>
      </c>
      <c r="Y801">
        <f>+IF(DB!P801="RYV",1,0)</f>
        <v>0</v>
      </c>
      <c r="Z801">
        <f>+DB!U801</f>
        <v>0</v>
      </c>
      <c r="AA801">
        <f>+IF(DB!F801="AAAC-35",19.5,33)</f>
        <v>33</v>
      </c>
      <c r="AB801">
        <f>+DB!V801</f>
        <v>0</v>
      </c>
      <c r="AC801" t="str">
        <f t="shared" si="38"/>
        <v>56-4</v>
      </c>
      <c r="AD801" s="21" t="s">
        <v>72</v>
      </c>
      <c r="AE801">
        <f>+DB!X801</f>
        <v>0</v>
      </c>
      <c r="AF801" s="22">
        <f>+DB!Y801</f>
        <v>0</v>
      </c>
      <c r="AG801">
        <f>+DB!AK801</f>
        <v>0</v>
      </c>
    </row>
    <row r="802" spans="1:33" x14ac:dyDescent="0.2">
      <c r="A802">
        <f>+DB!C802</f>
        <v>0</v>
      </c>
      <c r="B802">
        <f>+DB!D802</f>
        <v>0</v>
      </c>
      <c r="C802">
        <f>+DB!E802</f>
        <v>0</v>
      </c>
      <c r="D802">
        <f t="shared" si="36"/>
        <v>0</v>
      </c>
      <c r="E802">
        <f>+DB!G802</f>
        <v>0</v>
      </c>
      <c r="F802">
        <f>+DB!H802</f>
        <v>0</v>
      </c>
      <c r="G802">
        <f>+DB!N802</f>
        <v>0</v>
      </c>
      <c r="H802">
        <f>+DB!O802</f>
        <v>0</v>
      </c>
      <c r="I802">
        <f>+DB!I802</f>
        <v>0</v>
      </c>
      <c r="J802">
        <f>+DB!J802</f>
        <v>0</v>
      </c>
      <c r="K802">
        <f>+DB!L802</f>
        <v>0</v>
      </c>
      <c r="L802" t="str">
        <f t="shared" si="37"/>
        <v/>
      </c>
      <c r="M802" t="str">
        <f>+IF(LEFT(DB!M802,3)="13/","CAC","MAD")</f>
        <v>MAD</v>
      </c>
      <c r="N802" t="str">
        <f>+RIGHT(DB!M802,6)</f>
        <v/>
      </c>
      <c r="O802">
        <v>95</v>
      </c>
      <c r="P802">
        <v>5</v>
      </c>
      <c r="Q802">
        <f>+DB!AB802</f>
        <v>0</v>
      </c>
      <c r="R802">
        <f>+DB!K802</f>
        <v>0</v>
      </c>
      <c r="S802">
        <f>+DB!F802</f>
        <v>0</v>
      </c>
      <c r="T802">
        <f>+IF(DB!F802="AAAC-35",1,3)</f>
        <v>3</v>
      </c>
      <c r="U802">
        <f>+DB!R802</f>
        <v>0</v>
      </c>
      <c r="V802">
        <f>+IF(DB!P802="1RI",1,0)+IF(DB!P802="2RI",2,0)</f>
        <v>0</v>
      </c>
      <c r="W802">
        <f>+IF(DB!P802="1RV",1,0)+IF(DB!P802="2RV",2,0)</f>
        <v>0</v>
      </c>
      <c r="X802">
        <f>+IF(DB!P802="RYI",1,0)</f>
        <v>0</v>
      </c>
      <c r="Y802">
        <f>+IF(DB!P802="RYV",1,0)</f>
        <v>0</v>
      </c>
      <c r="Z802">
        <f>+DB!U802</f>
        <v>0</v>
      </c>
      <c r="AA802">
        <f>+IF(DB!F802="AAAC-35",19.5,33)</f>
        <v>33</v>
      </c>
      <c r="AB802">
        <f>+DB!V802</f>
        <v>0</v>
      </c>
      <c r="AC802" t="str">
        <f t="shared" si="38"/>
        <v>56-4</v>
      </c>
      <c r="AD802" s="21" t="s">
        <v>72</v>
      </c>
      <c r="AE802">
        <f>+DB!X802</f>
        <v>0</v>
      </c>
      <c r="AF802" s="22">
        <f>+DB!Y802</f>
        <v>0</v>
      </c>
      <c r="AG802">
        <f>+DB!AK802</f>
        <v>0</v>
      </c>
    </row>
    <row r="803" spans="1:33" x14ac:dyDescent="0.2">
      <c r="A803">
        <f>+DB!C803</f>
        <v>0</v>
      </c>
      <c r="B803">
        <f>+DB!D803</f>
        <v>0</v>
      </c>
      <c r="C803">
        <f>+DB!E803</f>
        <v>0</v>
      </c>
      <c r="D803">
        <f t="shared" si="36"/>
        <v>0</v>
      </c>
      <c r="E803">
        <f>+DB!G803</f>
        <v>0</v>
      </c>
      <c r="F803">
        <f>+DB!H803</f>
        <v>0</v>
      </c>
      <c r="G803">
        <f>+DB!N803</f>
        <v>0</v>
      </c>
      <c r="H803">
        <f>+DB!O803</f>
        <v>0</v>
      </c>
      <c r="I803">
        <f>+DB!I803</f>
        <v>0</v>
      </c>
      <c r="J803">
        <f>+DB!J803</f>
        <v>0</v>
      </c>
      <c r="K803">
        <f>+DB!L803</f>
        <v>0</v>
      </c>
      <c r="L803" t="str">
        <f t="shared" si="37"/>
        <v/>
      </c>
      <c r="M803" t="str">
        <f>+IF(LEFT(DB!M803,3)="13/","CAC","MAD")</f>
        <v>MAD</v>
      </c>
      <c r="N803" t="str">
        <f>+RIGHT(DB!M803,6)</f>
        <v/>
      </c>
      <c r="O803">
        <v>95</v>
      </c>
      <c r="P803">
        <v>5</v>
      </c>
      <c r="Q803">
        <f>+DB!AB803</f>
        <v>0</v>
      </c>
      <c r="R803">
        <f>+DB!K803</f>
        <v>0</v>
      </c>
      <c r="S803">
        <f>+DB!F803</f>
        <v>0</v>
      </c>
      <c r="T803">
        <f>+IF(DB!F803="AAAC-35",1,3)</f>
        <v>3</v>
      </c>
      <c r="U803">
        <f>+DB!R803</f>
        <v>0</v>
      </c>
      <c r="V803">
        <f>+IF(DB!P803="1RI",1,0)+IF(DB!P803="2RI",2,0)</f>
        <v>0</v>
      </c>
      <c r="W803">
        <f>+IF(DB!P803="1RV",1,0)+IF(DB!P803="2RV",2,0)</f>
        <v>0</v>
      </c>
      <c r="X803">
        <f>+IF(DB!P803="RYI",1,0)</f>
        <v>0</v>
      </c>
      <c r="Y803">
        <f>+IF(DB!P803="RYV",1,0)</f>
        <v>0</v>
      </c>
      <c r="Z803">
        <f>+DB!U803</f>
        <v>0</v>
      </c>
      <c r="AA803">
        <f>+IF(DB!F803="AAAC-35",19.5,33)</f>
        <v>33</v>
      </c>
      <c r="AB803">
        <f>+DB!V803</f>
        <v>0</v>
      </c>
      <c r="AC803" t="str">
        <f t="shared" si="38"/>
        <v>56-4</v>
      </c>
      <c r="AD803" s="21" t="s">
        <v>72</v>
      </c>
      <c r="AE803">
        <f>+DB!X803</f>
        <v>0</v>
      </c>
      <c r="AF803" s="22">
        <f>+DB!Y803</f>
        <v>0</v>
      </c>
      <c r="AG803">
        <f>+DB!AK803</f>
        <v>0</v>
      </c>
    </row>
    <row r="804" spans="1:33" x14ac:dyDescent="0.2">
      <c r="A804">
        <f>+DB!C804</f>
        <v>0</v>
      </c>
      <c r="B804">
        <f>+DB!D804</f>
        <v>0</v>
      </c>
      <c r="C804">
        <f>+DB!E804</f>
        <v>0</v>
      </c>
      <c r="D804">
        <f t="shared" si="36"/>
        <v>0</v>
      </c>
      <c r="E804">
        <f>+DB!G804</f>
        <v>0</v>
      </c>
      <c r="F804">
        <f>+DB!H804</f>
        <v>0</v>
      </c>
      <c r="G804">
        <f>+DB!N804</f>
        <v>0</v>
      </c>
      <c r="H804">
        <f>+DB!O804</f>
        <v>0</v>
      </c>
      <c r="I804">
        <f>+DB!I804</f>
        <v>0</v>
      </c>
      <c r="J804">
        <f>+DB!J804</f>
        <v>0</v>
      </c>
      <c r="K804">
        <f>+DB!L804</f>
        <v>0</v>
      </c>
      <c r="L804" t="str">
        <f t="shared" si="37"/>
        <v/>
      </c>
      <c r="M804" t="str">
        <f>+IF(LEFT(DB!M804,3)="13/","CAC","MAD")</f>
        <v>MAD</v>
      </c>
      <c r="N804" t="str">
        <f>+RIGHT(DB!M804,6)</f>
        <v/>
      </c>
      <c r="O804">
        <v>95</v>
      </c>
      <c r="P804">
        <v>5</v>
      </c>
      <c r="Q804">
        <f>+DB!AB804</f>
        <v>0</v>
      </c>
      <c r="R804">
        <f>+DB!K804</f>
        <v>0</v>
      </c>
      <c r="S804">
        <f>+DB!F804</f>
        <v>0</v>
      </c>
      <c r="T804">
        <f>+IF(DB!F804="AAAC-35",1,3)</f>
        <v>3</v>
      </c>
      <c r="U804">
        <f>+DB!R804</f>
        <v>0</v>
      </c>
      <c r="V804">
        <f>+IF(DB!P804="1RI",1,0)+IF(DB!P804="2RI",2,0)</f>
        <v>0</v>
      </c>
      <c r="W804">
        <f>+IF(DB!P804="1RV",1,0)+IF(DB!P804="2RV",2,0)</f>
        <v>0</v>
      </c>
      <c r="X804">
        <f>+IF(DB!P804="RYI",1,0)</f>
        <v>0</v>
      </c>
      <c r="Y804">
        <f>+IF(DB!P804="RYV",1,0)</f>
        <v>0</v>
      </c>
      <c r="Z804">
        <f>+DB!U804</f>
        <v>0</v>
      </c>
      <c r="AA804">
        <f>+IF(DB!F804="AAAC-35",19.5,33)</f>
        <v>33</v>
      </c>
      <c r="AB804">
        <f>+DB!V804</f>
        <v>0</v>
      </c>
      <c r="AC804" t="str">
        <f t="shared" si="38"/>
        <v>56-4</v>
      </c>
      <c r="AD804" s="21" t="s">
        <v>72</v>
      </c>
      <c r="AE804">
        <f>+DB!X804</f>
        <v>0</v>
      </c>
      <c r="AF804" s="22">
        <f>+DB!Y804</f>
        <v>0</v>
      </c>
      <c r="AG804">
        <f>+DB!AK804</f>
        <v>0</v>
      </c>
    </row>
    <row r="805" spans="1:33" x14ac:dyDescent="0.2">
      <c r="A805">
        <f>+DB!C805</f>
        <v>0</v>
      </c>
      <c r="B805">
        <f>+DB!D805</f>
        <v>0</v>
      </c>
      <c r="C805">
        <f>+DB!E805</f>
        <v>0</v>
      </c>
      <c r="D805">
        <f t="shared" si="36"/>
        <v>0</v>
      </c>
      <c r="E805">
        <f>+DB!G805</f>
        <v>0</v>
      </c>
      <c r="F805">
        <f>+DB!H805</f>
        <v>0</v>
      </c>
      <c r="G805">
        <f>+DB!N805</f>
        <v>0</v>
      </c>
      <c r="H805">
        <f>+DB!O805</f>
        <v>0</v>
      </c>
      <c r="I805">
        <f>+DB!I805</f>
        <v>0</v>
      </c>
      <c r="J805">
        <f>+DB!J805</f>
        <v>0</v>
      </c>
      <c r="K805">
        <f>+DB!L805</f>
        <v>0</v>
      </c>
      <c r="L805" t="str">
        <f t="shared" si="37"/>
        <v/>
      </c>
      <c r="M805" t="str">
        <f>+IF(LEFT(DB!M805,3)="13/","CAC","MAD")</f>
        <v>MAD</v>
      </c>
      <c r="N805" t="str">
        <f>+RIGHT(DB!M805,6)</f>
        <v/>
      </c>
      <c r="O805">
        <v>95</v>
      </c>
      <c r="P805">
        <v>5</v>
      </c>
      <c r="Q805">
        <f>+DB!AB805</f>
        <v>0</v>
      </c>
      <c r="R805">
        <f>+DB!K805</f>
        <v>0</v>
      </c>
      <c r="S805">
        <f>+DB!F805</f>
        <v>0</v>
      </c>
      <c r="T805">
        <f>+IF(DB!F805="AAAC-35",1,3)</f>
        <v>3</v>
      </c>
      <c r="U805">
        <f>+DB!R805</f>
        <v>0</v>
      </c>
      <c r="V805">
        <f>+IF(DB!P805="1RI",1,0)+IF(DB!P805="2RI",2,0)</f>
        <v>0</v>
      </c>
      <c r="W805">
        <f>+IF(DB!P805="1RV",1,0)+IF(DB!P805="2RV",2,0)</f>
        <v>0</v>
      </c>
      <c r="X805">
        <f>+IF(DB!P805="RYI",1,0)</f>
        <v>0</v>
      </c>
      <c r="Y805">
        <f>+IF(DB!P805="RYV",1,0)</f>
        <v>0</v>
      </c>
      <c r="Z805">
        <f>+DB!U805</f>
        <v>0</v>
      </c>
      <c r="AA805">
        <f>+IF(DB!F805="AAAC-35",19.5,33)</f>
        <v>33</v>
      </c>
      <c r="AB805">
        <f>+DB!V805</f>
        <v>0</v>
      </c>
      <c r="AC805" t="str">
        <f t="shared" si="38"/>
        <v>56-4</v>
      </c>
      <c r="AD805" s="21" t="s">
        <v>72</v>
      </c>
      <c r="AE805">
        <f>+DB!X805</f>
        <v>0</v>
      </c>
      <c r="AF805" s="22">
        <f>+DB!Y805</f>
        <v>0</v>
      </c>
      <c r="AG805">
        <f>+DB!AK805</f>
        <v>0</v>
      </c>
    </row>
    <row r="806" spans="1:33" x14ac:dyDescent="0.2">
      <c r="A806">
        <f>+DB!C806</f>
        <v>0</v>
      </c>
      <c r="B806">
        <f>+DB!D806</f>
        <v>0</v>
      </c>
      <c r="C806">
        <f>+DB!E806</f>
        <v>0</v>
      </c>
      <c r="D806">
        <f t="shared" si="36"/>
        <v>0</v>
      </c>
      <c r="E806">
        <f>+DB!G806</f>
        <v>0</v>
      </c>
      <c r="F806">
        <f>+DB!H806</f>
        <v>0</v>
      </c>
      <c r="G806">
        <f>+DB!N806</f>
        <v>0</v>
      </c>
      <c r="H806">
        <f>+DB!O806</f>
        <v>0</v>
      </c>
      <c r="I806">
        <f>+DB!I806</f>
        <v>0</v>
      </c>
      <c r="J806">
        <f>+DB!J806</f>
        <v>0</v>
      </c>
      <c r="K806">
        <f>+DB!L806</f>
        <v>0</v>
      </c>
      <c r="L806" t="str">
        <f t="shared" si="37"/>
        <v/>
      </c>
      <c r="M806" t="str">
        <f>+IF(LEFT(DB!M806,3)="13/","CAC","MAD")</f>
        <v>MAD</v>
      </c>
      <c r="N806" t="str">
        <f>+RIGHT(DB!M806,6)</f>
        <v/>
      </c>
      <c r="O806">
        <v>95</v>
      </c>
      <c r="P806">
        <v>5</v>
      </c>
      <c r="Q806">
        <f>+DB!AB806</f>
        <v>0</v>
      </c>
      <c r="R806">
        <f>+DB!K806</f>
        <v>0</v>
      </c>
      <c r="S806">
        <f>+DB!F806</f>
        <v>0</v>
      </c>
      <c r="T806">
        <f>+IF(DB!F806="AAAC-35",1,3)</f>
        <v>3</v>
      </c>
      <c r="U806">
        <f>+DB!R806</f>
        <v>0</v>
      </c>
      <c r="V806">
        <f>+IF(DB!P806="1RI",1,0)+IF(DB!P806="2RI",2,0)</f>
        <v>0</v>
      </c>
      <c r="W806">
        <f>+IF(DB!P806="1RV",1,0)+IF(DB!P806="2RV",2,0)</f>
        <v>0</v>
      </c>
      <c r="X806">
        <f>+IF(DB!P806="RYI",1,0)</f>
        <v>0</v>
      </c>
      <c r="Y806">
        <f>+IF(DB!P806="RYV",1,0)</f>
        <v>0</v>
      </c>
      <c r="Z806">
        <f>+DB!U806</f>
        <v>0</v>
      </c>
      <c r="AA806">
        <f>+IF(DB!F806="AAAC-35",19.5,33)</f>
        <v>33</v>
      </c>
      <c r="AB806">
        <f>+DB!V806</f>
        <v>0</v>
      </c>
      <c r="AC806" t="str">
        <f t="shared" si="38"/>
        <v>56-4</v>
      </c>
      <c r="AD806" s="21" t="s">
        <v>72</v>
      </c>
      <c r="AE806">
        <f>+DB!X806</f>
        <v>0</v>
      </c>
      <c r="AF806" s="22">
        <f>+DB!Y806</f>
        <v>0</v>
      </c>
      <c r="AG806">
        <f>+DB!AK806</f>
        <v>0</v>
      </c>
    </row>
    <row r="807" spans="1:33" x14ac:dyDescent="0.2">
      <c r="A807">
        <f>+DB!C807</f>
        <v>0</v>
      </c>
      <c r="B807">
        <f>+DB!D807</f>
        <v>0</v>
      </c>
      <c r="C807">
        <f>+DB!E807</f>
        <v>0</v>
      </c>
      <c r="D807">
        <f t="shared" si="36"/>
        <v>0</v>
      </c>
      <c r="E807">
        <f>+DB!G807</f>
        <v>0</v>
      </c>
      <c r="F807">
        <f>+DB!H807</f>
        <v>0</v>
      </c>
      <c r="G807">
        <f>+DB!N807</f>
        <v>0</v>
      </c>
      <c r="H807">
        <f>+DB!O807</f>
        <v>0</v>
      </c>
      <c r="I807">
        <f>+DB!I807</f>
        <v>0</v>
      </c>
      <c r="J807">
        <f>+DB!J807</f>
        <v>0</v>
      </c>
      <c r="K807">
        <f>+DB!L807</f>
        <v>0</v>
      </c>
      <c r="L807" t="str">
        <f t="shared" si="37"/>
        <v/>
      </c>
      <c r="M807" t="str">
        <f>+IF(LEFT(DB!M807,3)="13/","CAC","MAD")</f>
        <v>MAD</v>
      </c>
      <c r="N807" t="str">
        <f>+RIGHT(DB!M807,6)</f>
        <v/>
      </c>
      <c r="O807">
        <v>95</v>
      </c>
      <c r="P807">
        <v>5</v>
      </c>
      <c r="Q807">
        <f>+DB!AB807</f>
        <v>0</v>
      </c>
      <c r="R807">
        <f>+DB!K807</f>
        <v>0</v>
      </c>
      <c r="S807">
        <f>+DB!F807</f>
        <v>0</v>
      </c>
      <c r="T807">
        <f>+IF(DB!F807="AAAC-35",1,3)</f>
        <v>3</v>
      </c>
      <c r="U807">
        <f>+DB!R807</f>
        <v>0</v>
      </c>
      <c r="V807">
        <f>+IF(DB!P807="1RI",1,0)+IF(DB!P807="2RI",2,0)</f>
        <v>0</v>
      </c>
      <c r="W807">
        <f>+IF(DB!P807="1RV",1,0)+IF(DB!P807="2RV",2,0)</f>
        <v>0</v>
      </c>
      <c r="X807">
        <f>+IF(DB!P807="RYI",1,0)</f>
        <v>0</v>
      </c>
      <c r="Y807">
        <f>+IF(DB!P807="RYV",1,0)</f>
        <v>0</v>
      </c>
      <c r="Z807">
        <f>+DB!U807</f>
        <v>0</v>
      </c>
      <c r="AA807">
        <f>+IF(DB!F807="AAAC-35",19.5,33)</f>
        <v>33</v>
      </c>
      <c r="AB807">
        <f>+DB!V807</f>
        <v>0</v>
      </c>
      <c r="AC807" t="str">
        <f t="shared" si="38"/>
        <v>56-4</v>
      </c>
      <c r="AD807" s="21" t="s">
        <v>72</v>
      </c>
      <c r="AE807">
        <f>+DB!X807</f>
        <v>0</v>
      </c>
      <c r="AF807" s="22">
        <f>+DB!Y807</f>
        <v>0</v>
      </c>
      <c r="AG807">
        <f>+DB!AK807</f>
        <v>0</v>
      </c>
    </row>
    <row r="808" spans="1:33" x14ac:dyDescent="0.2">
      <c r="A808">
        <f>+DB!C808</f>
        <v>0</v>
      </c>
      <c r="B808">
        <f>+DB!D808</f>
        <v>0</v>
      </c>
      <c r="C808">
        <f>+DB!E808</f>
        <v>0</v>
      </c>
      <c r="D808">
        <f t="shared" si="36"/>
        <v>0</v>
      </c>
      <c r="E808">
        <f>+DB!G808</f>
        <v>0</v>
      </c>
      <c r="F808">
        <f>+DB!H808</f>
        <v>0</v>
      </c>
      <c r="G808">
        <f>+DB!N808</f>
        <v>0</v>
      </c>
      <c r="H808">
        <f>+DB!O808</f>
        <v>0</v>
      </c>
      <c r="I808">
        <f>+DB!I808</f>
        <v>0</v>
      </c>
      <c r="J808">
        <f>+DB!J808</f>
        <v>0</v>
      </c>
      <c r="K808">
        <f>+DB!L808</f>
        <v>0</v>
      </c>
      <c r="L808" t="str">
        <f t="shared" si="37"/>
        <v/>
      </c>
      <c r="M808" t="str">
        <f>+IF(LEFT(DB!M808,3)="13/","CAC","MAD")</f>
        <v>MAD</v>
      </c>
      <c r="N808" t="str">
        <f>+RIGHT(DB!M808,6)</f>
        <v/>
      </c>
      <c r="O808">
        <v>95</v>
      </c>
      <c r="P808">
        <v>5</v>
      </c>
      <c r="Q808">
        <f>+DB!AB808</f>
        <v>0</v>
      </c>
      <c r="R808">
        <f>+DB!K808</f>
        <v>0</v>
      </c>
      <c r="S808">
        <f>+DB!F808</f>
        <v>0</v>
      </c>
      <c r="T808">
        <f>+IF(DB!F808="AAAC-35",1,3)</f>
        <v>3</v>
      </c>
      <c r="U808">
        <f>+DB!R808</f>
        <v>0</v>
      </c>
      <c r="V808">
        <f>+IF(DB!P808="1RI",1,0)+IF(DB!P808="2RI",2,0)</f>
        <v>0</v>
      </c>
      <c r="W808">
        <f>+IF(DB!P808="1RV",1,0)+IF(DB!P808="2RV",2,0)</f>
        <v>0</v>
      </c>
      <c r="X808">
        <f>+IF(DB!P808="RYI",1,0)</f>
        <v>0</v>
      </c>
      <c r="Y808">
        <f>+IF(DB!P808="RYV",1,0)</f>
        <v>0</v>
      </c>
      <c r="Z808">
        <f>+DB!U808</f>
        <v>0</v>
      </c>
      <c r="AA808">
        <f>+IF(DB!F808="AAAC-35",19.5,33)</f>
        <v>33</v>
      </c>
      <c r="AB808">
        <f>+DB!V808</f>
        <v>0</v>
      </c>
      <c r="AC808" t="str">
        <f t="shared" si="38"/>
        <v>56-4</v>
      </c>
      <c r="AD808" s="21" t="s">
        <v>72</v>
      </c>
      <c r="AE808">
        <f>+DB!X808</f>
        <v>0</v>
      </c>
      <c r="AF808" s="22">
        <f>+DB!Y808</f>
        <v>0</v>
      </c>
      <c r="AG808">
        <f>+DB!AK808</f>
        <v>0</v>
      </c>
    </row>
    <row r="809" spans="1:33" x14ac:dyDescent="0.2">
      <c r="A809">
        <f>+DB!C809</f>
        <v>0</v>
      </c>
      <c r="B809">
        <f>+DB!D809</f>
        <v>0</v>
      </c>
      <c r="C809">
        <f>+DB!E809</f>
        <v>0</v>
      </c>
      <c r="D809">
        <f t="shared" si="36"/>
        <v>0</v>
      </c>
      <c r="E809">
        <f>+DB!G809</f>
        <v>0</v>
      </c>
      <c r="F809">
        <f>+DB!H809</f>
        <v>0</v>
      </c>
      <c r="G809">
        <f>+DB!N809</f>
        <v>0</v>
      </c>
      <c r="H809">
        <f>+DB!O809</f>
        <v>0</v>
      </c>
      <c r="I809">
        <f>+DB!I809</f>
        <v>0</v>
      </c>
      <c r="J809">
        <f>+DB!J809</f>
        <v>0</v>
      </c>
      <c r="K809">
        <f>+DB!L809</f>
        <v>0</v>
      </c>
      <c r="L809" t="str">
        <f t="shared" si="37"/>
        <v/>
      </c>
      <c r="M809" t="str">
        <f>+IF(LEFT(DB!M809,3)="13/","CAC","MAD")</f>
        <v>MAD</v>
      </c>
      <c r="N809" t="str">
        <f>+RIGHT(DB!M809,6)</f>
        <v/>
      </c>
      <c r="O809">
        <v>95</v>
      </c>
      <c r="P809">
        <v>5</v>
      </c>
      <c r="Q809">
        <f>+DB!AB809</f>
        <v>0</v>
      </c>
      <c r="R809">
        <f>+DB!K809</f>
        <v>0</v>
      </c>
      <c r="S809">
        <f>+DB!F809</f>
        <v>0</v>
      </c>
      <c r="T809">
        <f>+IF(DB!F809="AAAC-35",1,3)</f>
        <v>3</v>
      </c>
      <c r="U809">
        <f>+DB!R809</f>
        <v>0</v>
      </c>
      <c r="V809">
        <f>+IF(DB!P809="1RI",1,0)+IF(DB!P809="2RI",2,0)</f>
        <v>0</v>
      </c>
      <c r="W809">
        <f>+IF(DB!P809="1RV",1,0)+IF(DB!P809="2RV",2,0)</f>
        <v>0</v>
      </c>
      <c r="X809">
        <f>+IF(DB!P809="RYI",1,0)</f>
        <v>0</v>
      </c>
      <c r="Y809">
        <f>+IF(DB!P809="RYV",1,0)</f>
        <v>0</v>
      </c>
      <c r="Z809">
        <f>+DB!U809</f>
        <v>0</v>
      </c>
      <c r="AA809">
        <f>+IF(DB!F809="AAAC-35",19.5,33)</f>
        <v>33</v>
      </c>
      <c r="AB809">
        <f>+DB!V809</f>
        <v>0</v>
      </c>
      <c r="AC809" t="str">
        <f t="shared" si="38"/>
        <v>56-4</v>
      </c>
      <c r="AD809" s="21" t="s">
        <v>72</v>
      </c>
      <c r="AE809">
        <f>+DB!X809</f>
        <v>0</v>
      </c>
      <c r="AF809" s="22">
        <f>+DB!Y809</f>
        <v>0</v>
      </c>
      <c r="AG809">
        <f>+DB!AK809</f>
        <v>0</v>
      </c>
    </row>
    <row r="810" spans="1:33" x14ac:dyDescent="0.2">
      <c r="A810">
        <f>+DB!C810</f>
        <v>0</v>
      </c>
      <c r="B810">
        <f>+DB!D810</f>
        <v>0</v>
      </c>
      <c r="C810">
        <f>+DB!E810</f>
        <v>0</v>
      </c>
      <c r="D810">
        <f t="shared" si="36"/>
        <v>0</v>
      </c>
      <c r="E810">
        <f>+DB!G810</f>
        <v>0</v>
      </c>
      <c r="F810">
        <f>+DB!H810</f>
        <v>0</v>
      </c>
      <c r="G810">
        <f>+DB!N810</f>
        <v>0</v>
      </c>
      <c r="H810">
        <f>+DB!O810</f>
        <v>0</v>
      </c>
      <c r="I810">
        <f>+DB!I810</f>
        <v>0</v>
      </c>
      <c r="J810">
        <f>+DB!J810</f>
        <v>0</v>
      </c>
      <c r="K810">
        <f>+DB!L810</f>
        <v>0</v>
      </c>
      <c r="L810" t="str">
        <f t="shared" si="37"/>
        <v/>
      </c>
      <c r="M810" t="str">
        <f>+IF(LEFT(DB!M810,3)="13/","CAC","MAD")</f>
        <v>MAD</v>
      </c>
      <c r="N810" t="str">
        <f>+RIGHT(DB!M810,6)</f>
        <v/>
      </c>
      <c r="O810">
        <v>95</v>
      </c>
      <c r="P810">
        <v>5</v>
      </c>
      <c r="Q810">
        <f>+DB!AB810</f>
        <v>0</v>
      </c>
      <c r="R810">
        <f>+DB!K810</f>
        <v>0</v>
      </c>
      <c r="S810">
        <f>+DB!F810</f>
        <v>0</v>
      </c>
      <c r="T810">
        <f>+IF(DB!F810="AAAC-35",1,3)</f>
        <v>3</v>
      </c>
      <c r="U810">
        <f>+DB!R810</f>
        <v>0</v>
      </c>
      <c r="V810">
        <f>+IF(DB!P810="1RI",1,0)+IF(DB!P810="2RI",2,0)</f>
        <v>0</v>
      </c>
      <c r="W810">
        <f>+IF(DB!P810="1RV",1,0)+IF(DB!P810="2RV",2,0)</f>
        <v>0</v>
      </c>
      <c r="X810">
        <f>+IF(DB!P810="RYI",1,0)</f>
        <v>0</v>
      </c>
      <c r="Y810">
        <f>+IF(DB!P810="RYV",1,0)</f>
        <v>0</v>
      </c>
      <c r="Z810">
        <f>+DB!U810</f>
        <v>0</v>
      </c>
      <c r="AA810">
        <f>+IF(DB!F810="AAAC-35",19.5,33)</f>
        <v>33</v>
      </c>
      <c r="AB810">
        <f>+DB!V810</f>
        <v>0</v>
      </c>
      <c r="AC810" t="str">
        <f t="shared" si="38"/>
        <v>56-4</v>
      </c>
      <c r="AD810" s="21" t="s">
        <v>72</v>
      </c>
      <c r="AE810">
        <f>+DB!X810</f>
        <v>0</v>
      </c>
      <c r="AF810" s="22">
        <f>+DB!Y810</f>
        <v>0</v>
      </c>
      <c r="AG810">
        <f>+DB!AK810</f>
        <v>0</v>
      </c>
    </row>
    <row r="811" spans="1:33" x14ac:dyDescent="0.2">
      <c r="A811">
        <f>+DB!C811</f>
        <v>0</v>
      </c>
      <c r="B811">
        <f>+DB!D811</f>
        <v>0</v>
      </c>
      <c r="C811">
        <f>+DB!E811</f>
        <v>0</v>
      </c>
      <c r="D811">
        <f t="shared" si="36"/>
        <v>0</v>
      </c>
      <c r="E811">
        <f>+DB!G811</f>
        <v>0</v>
      </c>
      <c r="F811">
        <f>+DB!H811</f>
        <v>0</v>
      </c>
      <c r="G811">
        <f>+DB!N811</f>
        <v>0</v>
      </c>
      <c r="H811">
        <f>+DB!O811</f>
        <v>0</v>
      </c>
      <c r="I811">
        <f>+DB!I811</f>
        <v>0</v>
      </c>
      <c r="J811">
        <f>+DB!J811</f>
        <v>0</v>
      </c>
      <c r="K811">
        <f>+DB!L811</f>
        <v>0</v>
      </c>
      <c r="L811" t="str">
        <f t="shared" si="37"/>
        <v/>
      </c>
      <c r="M811" t="str">
        <f>+IF(LEFT(DB!M811,3)="13/","CAC","MAD")</f>
        <v>MAD</v>
      </c>
      <c r="N811" t="str">
        <f>+RIGHT(DB!M811,6)</f>
        <v/>
      </c>
      <c r="O811">
        <v>95</v>
      </c>
      <c r="P811">
        <v>5</v>
      </c>
      <c r="Q811">
        <f>+DB!AB811</f>
        <v>0</v>
      </c>
      <c r="R811">
        <f>+DB!K811</f>
        <v>0</v>
      </c>
      <c r="S811">
        <f>+DB!F811</f>
        <v>0</v>
      </c>
      <c r="T811">
        <f>+IF(DB!F811="AAAC-35",1,3)</f>
        <v>3</v>
      </c>
      <c r="U811">
        <f>+DB!R811</f>
        <v>0</v>
      </c>
      <c r="V811">
        <f>+IF(DB!P811="1RI",1,0)+IF(DB!P811="2RI",2,0)</f>
        <v>0</v>
      </c>
      <c r="W811">
        <f>+IF(DB!P811="1RV",1,0)+IF(DB!P811="2RV",2,0)</f>
        <v>0</v>
      </c>
      <c r="X811">
        <f>+IF(DB!P811="RYI",1,0)</f>
        <v>0</v>
      </c>
      <c r="Y811">
        <f>+IF(DB!P811="RYV",1,0)</f>
        <v>0</v>
      </c>
      <c r="Z811">
        <f>+DB!U811</f>
        <v>0</v>
      </c>
      <c r="AA811">
        <f>+IF(DB!F811="AAAC-35",19.5,33)</f>
        <v>33</v>
      </c>
      <c r="AB811">
        <f>+DB!V811</f>
        <v>0</v>
      </c>
      <c r="AC811" t="str">
        <f t="shared" si="38"/>
        <v>56-4</v>
      </c>
      <c r="AD811" s="21" t="s">
        <v>72</v>
      </c>
      <c r="AE811">
        <f>+DB!X811</f>
        <v>0</v>
      </c>
      <c r="AF811" s="22">
        <f>+DB!Y811</f>
        <v>0</v>
      </c>
      <c r="AG811">
        <f>+DB!AK811</f>
        <v>0</v>
      </c>
    </row>
    <row r="812" spans="1:33" x14ac:dyDescent="0.2">
      <c r="A812">
        <f>+DB!C812</f>
        <v>0</v>
      </c>
      <c r="B812">
        <f>+DB!D812</f>
        <v>0</v>
      </c>
      <c r="C812">
        <f>+DB!E812</f>
        <v>0</v>
      </c>
      <c r="D812">
        <f t="shared" si="36"/>
        <v>0</v>
      </c>
      <c r="E812">
        <f>+DB!G812</f>
        <v>0</v>
      </c>
      <c r="F812">
        <f>+DB!H812</f>
        <v>0</v>
      </c>
      <c r="G812">
        <f>+DB!N812</f>
        <v>0</v>
      </c>
      <c r="H812">
        <f>+DB!O812</f>
        <v>0</v>
      </c>
      <c r="I812">
        <f>+DB!I812</f>
        <v>0</v>
      </c>
      <c r="J812">
        <f>+DB!J812</f>
        <v>0</v>
      </c>
      <c r="K812">
        <f>+DB!L812</f>
        <v>0</v>
      </c>
      <c r="L812" t="str">
        <f t="shared" si="37"/>
        <v/>
      </c>
      <c r="M812" t="str">
        <f>+IF(LEFT(DB!M812,3)="13/","CAC","MAD")</f>
        <v>MAD</v>
      </c>
      <c r="N812" t="str">
        <f>+RIGHT(DB!M812,6)</f>
        <v/>
      </c>
      <c r="O812">
        <v>95</v>
      </c>
      <c r="P812">
        <v>5</v>
      </c>
      <c r="Q812">
        <f>+DB!AB812</f>
        <v>0</v>
      </c>
      <c r="R812">
        <f>+DB!K812</f>
        <v>0</v>
      </c>
      <c r="S812">
        <f>+DB!F812</f>
        <v>0</v>
      </c>
      <c r="T812">
        <f>+IF(DB!F812="AAAC-35",1,3)</f>
        <v>3</v>
      </c>
      <c r="U812">
        <f>+DB!R812</f>
        <v>0</v>
      </c>
      <c r="V812">
        <f>+IF(DB!P812="1RI",1,0)+IF(DB!P812="2RI",2,0)</f>
        <v>0</v>
      </c>
      <c r="W812">
        <f>+IF(DB!P812="1RV",1,0)+IF(DB!P812="2RV",2,0)</f>
        <v>0</v>
      </c>
      <c r="X812">
        <f>+IF(DB!P812="RYI",1,0)</f>
        <v>0</v>
      </c>
      <c r="Y812">
        <f>+IF(DB!P812="RYV",1,0)</f>
        <v>0</v>
      </c>
      <c r="Z812">
        <f>+DB!U812</f>
        <v>0</v>
      </c>
      <c r="AA812">
        <f>+IF(DB!F812="AAAC-35",19.5,33)</f>
        <v>33</v>
      </c>
      <c r="AB812">
        <f>+DB!V812</f>
        <v>0</v>
      </c>
      <c r="AC812" t="str">
        <f t="shared" si="38"/>
        <v>56-4</v>
      </c>
      <c r="AD812" s="21" t="s">
        <v>72</v>
      </c>
      <c r="AE812">
        <f>+DB!X812</f>
        <v>0</v>
      </c>
      <c r="AF812" s="22">
        <f>+DB!Y812</f>
        <v>0</v>
      </c>
      <c r="AG812">
        <f>+DB!AK812</f>
        <v>0</v>
      </c>
    </row>
    <row r="813" spans="1:33" x14ac:dyDescent="0.2">
      <c r="A813">
        <f>+DB!C813</f>
        <v>0</v>
      </c>
      <c r="B813">
        <f>+DB!D813</f>
        <v>0</v>
      </c>
      <c r="C813">
        <f>+DB!E813</f>
        <v>0</v>
      </c>
      <c r="D813">
        <f t="shared" si="36"/>
        <v>0</v>
      </c>
      <c r="E813">
        <f>+DB!G813</f>
        <v>0</v>
      </c>
      <c r="F813">
        <f>+DB!H813</f>
        <v>0</v>
      </c>
      <c r="G813">
        <f>+DB!N813</f>
        <v>0</v>
      </c>
      <c r="H813">
        <f>+DB!O813</f>
        <v>0</v>
      </c>
      <c r="I813">
        <f>+DB!I813</f>
        <v>0</v>
      </c>
      <c r="J813">
        <f>+DB!J813</f>
        <v>0</v>
      </c>
      <c r="K813">
        <f>+DB!L813</f>
        <v>0</v>
      </c>
      <c r="L813" t="str">
        <f t="shared" si="37"/>
        <v/>
      </c>
      <c r="M813" t="str">
        <f>+IF(LEFT(DB!M813,3)="13/","CAC","MAD")</f>
        <v>MAD</v>
      </c>
      <c r="N813" t="str">
        <f>+RIGHT(DB!M813,6)</f>
        <v/>
      </c>
      <c r="O813">
        <v>95</v>
      </c>
      <c r="P813">
        <v>5</v>
      </c>
      <c r="Q813">
        <f>+DB!AB813</f>
        <v>0</v>
      </c>
      <c r="R813">
        <f>+DB!K813</f>
        <v>0</v>
      </c>
      <c r="S813">
        <f>+DB!F813</f>
        <v>0</v>
      </c>
      <c r="T813">
        <f>+IF(DB!F813="AAAC-35",1,3)</f>
        <v>3</v>
      </c>
      <c r="U813">
        <f>+DB!R813</f>
        <v>0</v>
      </c>
      <c r="V813">
        <f>+IF(DB!P813="1RI",1,0)+IF(DB!P813="2RI",2,0)</f>
        <v>0</v>
      </c>
      <c r="W813">
        <f>+IF(DB!P813="1RV",1,0)+IF(DB!P813="2RV",2,0)</f>
        <v>0</v>
      </c>
      <c r="X813">
        <f>+IF(DB!P813="RYI",1,0)</f>
        <v>0</v>
      </c>
      <c r="Y813">
        <f>+IF(DB!P813="RYV",1,0)</f>
        <v>0</v>
      </c>
      <c r="Z813">
        <f>+DB!U813</f>
        <v>0</v>
      </c>
      <c r="AA813">
        <f>+IF(DB!F813="AAAC-35",19.5,33)</f>
        <v>33</v>
      </c>
      <c r="AB813">
        <f>+DB!V813</f>
        <v>0</v>
      </c>
      <c r="AC813" t="str">
        <f t="shared" si="38"/>
        <v>56-4</v>
      </c>
      <c r="AD813" s="21" t="s">
        <v>72</v>
      </c>
      <c r="AE813">
        <f>+DB!X813</f>
        <v>0</v>
      </c>
      <c r="AF813" s="22">
        <f>+DB!Y813</f>
        <v>0</v>
      </c>
      <c r="AG813">
        <f>+DB!AK813</f>
        <v>0</v>
      </c>
    </row>
    <row r="814" spans="1:33" x14ac:dyDescent="0.2">
      <c r="A814">
        <f>+DB!C814</f>
        <v>0</v>
      </c>
      <c r="B814">
        <f>+DB!D814</f>
        <v>0</v>
      </c>
      <c r="C814">
        <f>+DB!E814</f>
        <v>0</v>
      </c>
      <c r="D814">
        <f t="shared" si="36"/>
        <v>0</v>
      </c>
      <c r="E814">
        <f>+DB!G814</f>
        <v>0</v>
      </c>
      <c r="F814">
        <f>+DB!H814</f>
        <v>0</v>
      </c>
      <c r="G814">
        <f>+DB!N814</f>
        <v>0</v>
      </c>
      <c r="H814">
        <f>+DB!O814</f>
        <v>0</v>
      </c>
      <c r="I814">
        <f>+DB!I814</f>
        <v>0</v>
      </c>
      <c r="J814">
        <f>+DB!J814</f>
        <v>0</v>
      </c>
      <c r="K814">
        <f>+DB!L814</f>
        <v>0</v>
      </c>
      <c r="L814" t="str">
        <f t="shared" si="37"/>
        <v/>
      </c>
      <c r="M814" t="str">
        <f>+IF(LEFT(DB!M814,3)="13/","CAC","MAD")</f>
        <v>MAD</v>
      </c>
      <c r="N814" t="str">
        <f>+RIGHT(DB!M814,6)</f>
        <v/>
      </c>
      <c r="O814">
        <v>95</v>
      </c>
      <c r="P814">
        <v>5</v>
      </c>
      <c r="Q814">
        <f>+DB!AB814</f>
        <v>0</v>
      </c>
      <c r="R814">
        <f>+DB!K814</f>
        <v>0</v>
      </c>
      <c r="S814">
        <f>+DB!F814</f>
        <v>0</v>
      </c>
      <c r="T814">
        <f>+IF(DB!F814="AAAC-35",1,3)</f>
        <v>3</v>
      </c>
      <c r="U814">
        <f>+DB!R814</f>
        <v>0</v>
      </c>
      <c r="V814">
        <f>+IF(DB!P814="1RI",1,0)+IF(DB!P814="2RI",2,0)</f>
        <v>0</v>
      </c>
      <c r="W814">
        <f>+IF(DB!P814="1RV",1,0)+IF(DB!P814="2RV",2,0)</f>
        <v>0</v>
      </c>
      <c r="X814">
        <f>+IF(DB!P814="RYI",1,0)</f>
        <v>0</v>
      </c>
      <c r="Y814">
        <f>+IF(DB!P814="RYV",1,0)</f>
        <v>0</v>
      </c>
      <c r="Z814">
        <f>+DB!U814</f>
        <v>0</v>
      </c>
      <c r="AA814">
        <f>+IF(DB!F814="AAAC-35",19.5,33)</f>
        <v>33</v>
      </c>
      <c r="AB814">
        <f>+DB!V814</f>
        <v>0</v>
      </c>
      <c r="AC814" t="str">
        <f t="shared" si="38"/>
        <v>56-4</v>
      </c>
      <c r="AD814" s="21" t="s">
        <v>72</v>
      </c>
      <c r="AE814">
        <f>+DB!X814</f>
        <v>0</v>
      </c>
      <c r="AF814" s="22">
        <f>+DB!Y814</f>
        <v>0</v>
      </c>
      <c r="AG814">
        <f>+DB!AK814</f>
        <v>0</v>
      </c>
    </row>
    <row r="815" spans="1:33" x14ac:dyDescent="0.2">
      <c r="A815">
        <f>+DB!C815</f>
        <v>0</v>
      </c>
      <c r="B815">
        <f>+DB!D815</f>
        <v>0</v>
      </c>
      <c r="C815">
        <f>+DB!E815</f>
        <v>0</v>
      </c>
      <c r="D815">
        <f t="shared" si="36"/>
        <v>0</v>
      </c>
      <c r="E815">
        <f>+DB!G815</f>
        <v>0</v>
      </c>
      <c r="F815">
        <f>+DB!H815</f>
        <v>0</v>
      </c>
      <c r="G815">
        <f>+DB!N815</f>
        <v>0</v>
      </c>
      <c r="H815">
        <f>+DB!O815</f>
        <v>0</v>
      </c>
      <c r="I815">
        <f>+DB!I815</f>
        <v>0</v>
      </c>
      <c r="J815">
        <f>+DB!J815</f>
        <v>0</v>
      </c>
      <c r="K815">
        <f>+DB!L815</f>
        <v>0</v>
      </c>
      <c r="L815" t="str">
        <f t="shared" si="37"/>
        <v/>
      </c>
      <c r="M815" t="str">
        <f>+IF(LEFT(DB!M815,3)="13/","CAC","MAD")</f>
        <v>MAD</v>
      </c>
      <c r="N815" t="str">
        <f>+RIGHT(DB!M815,6)</f>
        <v/>
      </c>
      <c r="O815">
        <v>95</v>
      </c>
      <c r="P815">
        <v>5</v>
      </c>
      <c r="Q815">
        <f>+DB!AB815</f>
        <v>0</v>
      </c>
      <c r="R815">
        <f>+DB!K815</f>
        <v>0</v>
      </c>
      <c r="S815">
        <f>+DB!F815</f>
        <v>0</v>
      </c>
      <c r="T815">
        <f>+IF(DB!F815="AAAC-35",1,3)</f>
        <v>3</v>
      </c>
      <c r="U815">
        <f>+DB!R815</f>
        <v>0</v>
      </c>
      <c r="V815">
        <f>+IF(DB!P815="1RI",1,0)+IF(DB!P815="2RI",2,0)</f>
        <v>0</v>
      </c>
      <c r="W815">
        <f>+IF(DB!P815="1RV",1,0)+IF(DB!P815="2RV",2,0)</f>
        <v>0</v>
      </c>
      <c r="X815">
        <f>+IF(DB!P815="RYI",1,0)</f>
        <v>0</v>
      </c>
      <c r="Y815">
        <f>+IF(DB!P815="RYV",1,0)</f>
        <v>0</v>
      </c>
      <c r="Z815">
        <f>+DB!U815</f>
        <v>0</v>
      </c>
      <c r="AA815">
        <f>+IF(DB!F815="AAAC-35",19.5,33)</f>
        <v>33</v>
      </c>
      <c r="AB815">
        <f>+DB!V815</f>
        <v>0</v>
      </c>
      <c r="AC815" t="str">
        <f t="shared" si="38"/>
        <v>56-4</v>
      </c>
      <c r="AD815" s="21" t="s">
        <v>72</v>
      </c>
      <c r="AE815">
        <f>+DB!X815</f>
        <v>0</v>
      </c>
      <c r="AF815" s="22">
        <f>+DB!Y815</f>
        <v>0</v>
      </c>
      <c r="AG815">
        <f>+DB!AK815</f>
        <v>0</v>
      </c>
    </row>
    <row r="816" spans="1:33" x14ac:dyDescent="0.2">
      <c r="A816">
        <f>+DB!C816</f>
        <v>0</v>
      </c>
      <c r="B816">
        <f>+DB!D816</f>
        <v>0</v>
      </c>
      <c r="C816">
        <f>+DB!E816</f>
        <v>0</v>
      </c>
      <c r="D816">
        <f t="shared" si="36"/>
        <v>0</v>
      </c>
      <c r="E816">
        <f>+DB!G816</f>
        <v>0</v>
      </c>
      <c r="F816">
        <f>+DB!H816</f>
        <v>0</v>
      </c>
      <c r="G816">
        <f>+DB!N816</f>
        <v>0</v>
      </c>
      <c r="H816">
        <f>+DB!O816</f>
        <v>0</v>
      </c>
      <c r="I816">
        <f>+DB!I816</f>
        <v>0</v>
      </c>
      <c r="J816">
        <f>+DB!J816</f>
        <v>0</v>
      </c>
      <c r="K816">
        <f>+DB!L816</f>
        <v>0</v>
      </c>
      <c r="L816" t="str">
        <f t="shared" si="37"/>
        <v/>
      </c>
      <c r="M816" t="str">
        <f>+IF(LEFT(DB!M816,3)="13/","CAC","MAD")</f>
        <v>MAD</v>
      </c>
      <c r="N816" t="str">
        <f>+RIGHT(DB!M816,6)</f>
        <v/>
      </c>
      <c r="O816">
        <v>95</v>
      </c>
      <c r="P816">
        <v>5</v>
      </c>
      <c r="Q816">
        <f>+DB!AB816</f>
        <v>0</v>
      </c>
      <c r="R816">
        <f>+DB!K816</f>
        <v>0</v>
      </c>
      <c r="S816">
        <f>+DB!F816</f>
        <v>0</v>
      </c>
      <c r="T816">
        <f>+IF(DB!F816="AAAC-35",1,3)</f>
        <v>3</v>
      </c>
      <c r="U816">
        <f>+DB!R816</f>
        <v>0</v>
      </c>
      <c r="V816">
        <f>+IF(DB!P816="1RI",1,0)+IF(DB!P816="2RI",2,0)</f>
        <v>0</v>
      </c>
      <c r="W816">
        <f>+IF(DB!P816="1RV",1,0)+IF(DB!P816="2RV",2,0)</f>
        <v>0</v>
      </c>
      <c r="X816">
        <f>+IF(DB!P816="RYI",1,0)</f>
        <v>0</v>
      </c>
      <c r="Y816">
        <f>+IF(DB!P816="RYV",1,0)</f>
        <v>0</v>
      </c>
      <c r="Z816">
        <f>+DB!U816</f>
        <v>0</v>
      </c>
      <c r="AA816">
        <f>+IF(DB!F816="AAAC-35",19.5,33)</f>
        <v>33</v>
      </c>
      <c r="AB816">
        <f>+DB!V816</f>
        <v>0</v>
      </c>
      <c r="AC816" t="str">
        <f t="shared" si="38"/>
        <v>56-4</v>
      </c>
      <c r="AD816" s="21" t="s">
        <v>72</v>
      </c>
      <c r="AE816">
        <f>+DB!X816</f>
        <v>0</v>
      </c>
      <c r="AF816" s="22">
        <f>+DB!Y816</f>
        <v>0</v>
      </c>
      <c r="AG816">
        <f>+DB!AK816</f>
        <v>0</v>
      </c>
    </row>
    <row r="817" spans="1:33" x14ac:dyDescent="0.2">
      <c r="A817">
        <f>+DB!C817</f>
        <v>0</v>
      </c>
      <c r="B817">
        <f>+DB!D817</f>
        <v>0</v>
      </c>
      <c r="C817">
        <f>+DB!E817</f>
        <v>0</v>
      </c>
      <c r="D817">
        <f t="shared" si="36"/>
        <v>0</v>
      </c>
      <c r="E817">
        <f>+DB!G817</f>
        <v>0</v>
      </c>
      <c r="F817">
        <f>+DB!H817</f>
        <v>0</v>
      </c>
      <c r="G817">
        <f>+DB!N817</f>
        <v>0</v>
      </c>
      <c r="H817">
        <f>+DB!O817</f>
        <v>0</v>
      </c>
      <c r="I817">
        <f>+DB!I817</f>
        <v>0</v>
      </c>
      <c r="J817">
        <f>+DB!J817</f>
        <v>0</v>
      </c>
      <c r="K817">
        <f>+DB!L817</f>
        <v>0</v>
      </c>
      <c r="L817" t="str">
        <f t="shared" si="37"/>
        <v/>
      </c>
      <c r="M817" t="str">
        <f>+IF(LEFT(DB!M817,3)="13/","CAC","MAD")</f>
        <v>MAD</v>
      </c>
      <c r="N817" t="str">
        <f>+RIGHT(DB!M817,6)</f>
        <v/>
      </c>
      <c r="O817">
        <v>95</v>
      </c>
      <c r="P817">
        <v>5</v>
      </c>
      <c r="Q817">
        <f>+DB!AB817</f>
        <v>0</v>
      </c>
      <c r="R817">
        <f>+DB!K817</f>
        <v>0</v>
      </c>
      <c r="S817">
        <f>+DB!F817</f>
        <v>0</v>
      </c>
      <c r="T817">
        <f>+IF(DB!F817="AAAC-35",1,3)</f>
        <v>3</v>
      </c>
      <c r="U817">
        <f>+DB!R817</f>
        <v>0</v>
      </c>
      <c r="V817">
        <f>+IF(DB!P817="1RI",1,0)+IF(DB!P817="2RI",2,0)</f>
        <v>0</v>
      </c>
      <c r="W817">
        <f>+IF(DB!P817="1RV",1,0)+IF(DB!P817="2RV",2,0)</f>
        <v>0</v>
      </c>
      <c r="X817">
        <f>+IF(DB!P817="RYI",1,0)</f>
        <v>0</v>
      </c>
      <c r="Y817">
        <f>+IF(DB!P817="RYV",1,0)</f>
        <v>0</v>
      </c>
      <c r="Z817">
        <f>+DB!U817</f>
        <v>0</v>
      </c>
      <c r="AA817">
        <f>+IF(DB!F817="AAAC-35",19.5,33)</f>
        <v>33</v>
      </c>
      <c r="AB817">
        <f>+DB!V817</f>
        <v>0</v>
      </c>
      <c r="AC817" t="str">
        <f t="shared" si="38"/>
        <v>56-4</v>
      </c>
      <c r="AD817" s="21" t="s">
        <v>72</v>
      </c>
      <c r="AE817">
        <f>+DB!X817</f>
        <v>0</v>
      </c>
      <c r="AF817" s="22">
        <f>+DB!Y817</f>
        <v>0</v>
      </c>
      <c r="AG817">
        <f>+DB!AK817</f>
        <v>0</v>
      </c>
    </row>
    <row r="818" spans="1:33" x14ac:dyDescent="0.2">
      <c r="A818">
        <f>+DB!C818</f>
        <v>0</v>
      </c>
      <c r="B818">
        <f>+DB!D818</f>
        <v>0</v>
      </c>
      <c r="C818">
        <f>+DB!E818</f>
        <v>0</v>
      </c>
      <c r="D818">
        <f t="shared" si="36"/>
        <v>0</v>
      </c>
      <c r="E818">
        <f>+DB!G818</f>
        <v>0</v>
      </c>
      <c r="F818">
        <f>+DB!H818</f>
        <v>0</v>
      </c>
      <c r="G818">
        <f>+DB!N818</f>
        <v>0</v>
      </c>
      <c r="H818">
        <f>+DB!O818</f>
        <v>0</v>
      </c>
      <c r="I818">
        <f>+DB!I818</f>
        <v>0</v>
      </c>
      <c r="J818">
        <f>+DB!J818</f>
        <v>0</v>
      </c>
      <c r="K818">
        <f>+DB!L818</f>
        <v>0</v>
      </c>
      <c r="L818" t="str">
        <f t="shared" si="37"/>
        <v/>
      </c>
      <c r="M818" t="str">
        <f>+IF(LEFT(DB!M818,3)="13/","CAC","MAD")</f>
        <v>MAD</v>
      </c>
      <c r="N818" t="str">
        <f>+RIGHT(DB!M818,6)</f>
        <v/>
      </c>
      <c r="O818">
        <v>95</v>
      </c>
      <c r="P818">
        <v>5</v>
      </c>
      <c r="Q818">
        <f>+DB!AB818</f>
        <v>0</v>
      </c>
      <c r="R818">
        <f>+DB!K818</f>
        <v>0</v>
      </c>
      <c r="S818">
        <f>+DB!F818</f>
        <v>0</v>
      </c>
      <c r="T818">
        <f>+IF(DB!F818="AAAC-35",1,3)</f>
        <v>3</v>
      </c>
      <c r="U818">
        <f>+DB!R818</f>
        <v>0</v>
      </c>
      <c r="V818">
        <f>+IF(DB!P818="1RI",1,0)+IF(DB!P818="2RI",2,0)</f>
        <v>0</v>
      </c>
      <c r="W818">
        <f>+IF(DB!P818="1RV",1,0)+IF(DB!P818="2RV",2,0)</f>
        <v>0</v>
      </c>
      <c r="X818">
        <f>+IF(DB!P818="RYI",1,0)</f>
        <v>0</v>
      </c>
      <c r="Y818">
        <f>+IF(DB!P818="RYV",1,0)</f>
        <v>0</v>
      </c>
      <c r="Z818">
        <f>+DB!U818</f>
        <v>0</v>
      </c>
      <c r="AA818">
        <f>+IF(DB!F818="AAAC-35",19.5,33)</f>
        <v>33</v>
      </c>
      <c r="AB818">
        <f>+DB!V818</f>
        <v>0</v>
      </c>
      <c r="AC818" t="str">
        <f t="shared" si="38"/>
        <v>56-4</v>
      </c>
      <c r="AD818" s="21" t="s">
        <v>72</v>
      </c>
      <c r="AE818">
        <f>+DB!X818</f>
        <v>0</v>
      </c>
      <c r="AF818" s="22">
        <f>+DB!Y818</f>
        <v>0</v>
      </c>
      <c r="AG818">
        <f>+DB!AK818</f>
        <v>0</v>
      </c>
    </row>
    <row r="819" spans="1:33" x14ac:dyDescent="0.2">
      <c r="A819">
        <f>+DB!C819</f>
        <v>0</v>
      </c>
      <c r="B819">
        <f>+DB!D819</f>
        <v>0</v>
      </c>
      <c r="C819">
        <f>+DB!E819</f>
        <v>0</v>
      </c>
      <c r="D819">
        <f t="shared" si="36"/>
        <v>0</v>
      </c>
      <c r="E819">
        <f>+DB!G819</f>
        <v>0</v>
      </c>
      <c r="F819">
        <f>+DB!H819</f>
        <v>0</v>
      </c>
      <c r="G819">
        <f>+DB!N819</f>
        <v>0</v>
      </c>
      <c r="H819">
        <f>+DB!O819</f>
        <v>0</v>
      </c>
      <c r="I819">
        <f>+DB!I819</f>
        <v>0</v>
      </c>
      <c r="J819">
        <f>+DB!J819</f>
        <v>0</v>
      </c>
      <c r="K819">
        <f>+DB!L819</f>
        <v>0</v>
      </c>
      <c r="L819" t="str">
        <f t="shared" si="37"/>
        <v/>
      </c>
      <c r="M819" t="str">
        <f>+IF(LEFT(DB!M819,3)="13/","CAC","MAD")</f>
        <v>MAD</v>
      </c>
      <c r="N819" t="str">
        <f>+RIGHT(DB!M819,6)</f>
        <v/>
      </c>
      <c r="O819">
        <v>95</v>
      </c>
      <c r="P819">
        <v>5</v>
      </c>
      <c r="Q819">
        <f>+DB!AB819</f>
        <v>0</v>
      </c>
      <c r="R819">
        <f>+DB!K819</f>
        <v>0</v>
      </c>
      <c r="S819">
        <f>+DB!F819</f>
        <v>0</v>
      </c>
      <c r="T819">
        <f>+IF(DB!F819="AAAC-35",1,3)</f>
        <v>3</v>
      </c>
      <c r="U819">
        <f>+DB!R819</f>
        <v>0</v>
      </c>
      <c r="V819">
        <f>+IF(DB!P819="1RI",1,0)+IF(DB!P819="2RI",2,0)</f>
        <v>0</v>
      </c>
      <c r="W819">
        <f>+IF(DB!P819="1RV",1,0)+IF(DB!P819="2RV",2,0)</f>
        <v>0</v>
      </c>
      <c r="X819">
        <f>+IF(DB!P819="RYI",1,0)</f>
        <v>0</v>
      </c>
      <c r="Y819">
        <f>+IF(DB!P819="RYV",1,0)</f>
        <v>0</v>
      </c>
      <c r="Z819">
        <f>+DB!U819</f>
        <v>0</v>
      </c>
      <c r="AA819">
        <f>+IF(DB!F819="AAAC-35",19.5,33)</f>
        <v>33</v>
      </c>
      <c r="AB819">
        <f>+DB!V819</f>
        <v>0</v>
      </c>
      <c r="AC819" t="str">
        <f t="shared" si="38"/>
        <v>56-4</v>
      </c>
      <c r="AD819" s="21" t="s">
        <v>72</v>
      </c>
      <c r="AE819">
        <f>+DB!X819</f>
        <v>0</v>
      </c>
      <c r="AF819" s="22">
        <f>+DB!Y819</f>
        <v>0</v>
      </c>
      <c r="AG819">
        <f>+DB!AK819</f>
        <v>0</v>
      </c>
    </row>
    <row r="820" spans="1:33" x14ac:dyDescent="0.2">
      <c r="A820">
        <f>+DB!C820</f>
        <v>0</v>
      </c>
      <c r="B820">
        <f>+DB!D820</f>
        <v>0</v>
      </c>
      <c r="C820">
        <f>+DB!E820</f>
        <v>0</v>
      </c>
      <c r="D820">
        <f t="shared" si="36"/>
        <v>0</v>
      </c>
      <c r="E820">
        <f>+DB!G820</f>
        <v>0</v>
      </c>
      <c r="F820">
        <f>+DB!H820</f>
        <v>0</v>
      </c>
      <c r="G820">
        <f>+DB!N820</f>
        <v>0</v>
      </c>
      <c r="H820">
        <f>+DB!O820</f>
        <v>0</v>
      </c>
      <c r="I820">
        <f>+DB!I820</f>
        <v>0</v>
      </c>
      <c r="J820">
        <f>+DB!J820</f>
        <v>0</v>
      </c>
      <c r="K820">
        <f>+DB!L820</f>
        <v>0</v>
      </c>
      <c r="L820" t="str">
        <f t="shared" si="37"/>
        <v/>
      </c>
      <c r="M820" t="str">
        <f>+IF(LEFT(DB!M820,3)="13/","CAC","MAD")</f>
        <v>MAD</v>
      </c>
      <c r="N820" t="str">
        <f>+RIGHT(DB!M820,6)</f>
        <v/>
      </c>
      <c r="O820">
        <v>95</v>
      </c>
      <c r="P820">
        <v>5</v>
      </c>
      <c r="Q820">
        <f>+DB!AB820</f>
        <v>0</v>
      </c>
      <c r="R820">
        <f>+DB!K820</f>
        <v>0</v>
      </c>
      <c r="S820">
        <f>+DB!F820</f>
        <v>0</v>
      </c>
      <c r="T820">
        <f>+IF(DB!F820="AAAC-35",1,3)</f>
        <v>3</v>
      </c>
      <c r="U820">
        <f>+DB!R820</f>
        <v>0</v>
      </c>
      <c r="V820">
        <f>+IF(DB!P820="1RI",1,0)+IF(DB!P820="2RI",2,0)</f>
        <v>0</v>
      </c>
      <c r="W820">
        <f>+IF(DB!P820="1RV",1,0)+IF(DB!P820="2RV",2,0)</f>
        <v>0</v>
      </c>
      <c r="X820">
        <f>+IF(DB!P820="RYI",1,0)</f>
        <v>0</v>
      </c>
      <c r="Y820">
        <f>+IF(DB!P820="RYV",1,0)</f>
        <v>0</v>
      </c>
      <c r="Z820">
        <f>+DB!U820</f>
        <v>0</v>
      </c>
      <c r="AA820">
        <f>+IF(DB!F820="AAAC-35",19.5,33)</f>
        <v>33</v>
      </c>
      <c r="AB820">
        <f>+DB!V820</f>
        <v>0</v>
      </c>
      <c r="AC820" t="str">
        <f t="shared" si="38"/>
        <v>56-4</v>
      </c>
      <c r="AD820" s="21" t="s">
        <v>72</v>
      </c>
      <c r="AE820">
        <f>+DB!X820</f>
        <v>0</v>
      </c>
      <c r="AF820" s="22">
        <f>+DB!Y820</f>
        <v>0</v>
      </c>
      <c r="AG820">
        <f>+DB!AK820</f>
        <v>0</v>
      </c>
    </row>
    <row r="821" spans="1:33" x14ac:dyDescent="0.2">
      <c r="A821">
        <f>+DB!C821</f>
        <v>0</v>
      </c>
      <c r="B821">
        <f>+DB!D821</f>
        <v>0</v>
      </c>
      <c r="C821">
        <f>+DB!E821</f>
        <v>0</v>
      </c>
      <c r="D821">
        <f t="shared" si="36"/>
        <v>0</v>
      </c>
      <c r="E821">
        <f>+DB!G821</f>
        <v>0</v>
      </c>
      <c r="F821">
        <f>+DB!H821</f>
        <v>0</v>
      </c>
      <c r="G821">
        <f>+DB!N821</f>
        <v>0</v>
      </c>
      <c r="H821">
        <f>+DB!O821</f>
        <v>0</v>
      </c>
      <c r="I821">
        <f>+DB!I821</f>
        <v>0</v>
      </c>
      <c r="J821">
        <f>+DB!J821</f>
        <v>0</v>
      </c>
      <c r="K821">
        <f>+DB!L821</f>
        <v>0</v>
      </c>
      <c r="L821" t="str">
        <f t="shared" si="37"/>
        <v/>
      </c>
      <c r="M821" t="str">
        <f>+IF(LEFT(DB!M821,3)="13/","CAC","MAD")</f>
        <v>MAD</v>
      </c>
      <c r="N821" t="str">
        <f>+RIGHT(DB!M821,6)</f>
        <v/>
      </c>
      <c r="O821">
        <v>95</v>
      </c>
      <c r="P821">
        <v>5</v>
      </c>
      <c r="Q821">
        <f>+DB!AB821</f>
        <v>0</v>
      </c>
      <c r="R821">
        <f>+DB!K821</f>
        <v>0</v>
      </c>
      <c r="S821">
        <f>+DB!F821</f>
        <v>0</v>
      </c>
      <c r="T821">
        <f>+IF(DB!F821="AAAC-35",1,3)</f>
        <v>3</v>
      </c>
      <c r="U821">
        <f>+DB!R821</f>
        <v>0</v>
      </c>
      <c r="V821">
        <f>+IF(DB!P821="1RI",1,0)+IF(DB!P821="2RI",2,0)</f>
        <v>0</v>
      </c>
      <c r="W821">
        <f>+IF(DB!P821="1RV",1,0)+IF(DB!P821="2RV",2,0)</f>
        <v>0</v>
      </c>
      <c r="X821">
        <f>+IF(DB!P821="RYI",1,0)</f>
        <v>0</v>
      </c>
      <c r="Y821">
        <f>+IF(DB!P821="RYV",1,0)</f>
        <v>0</v>
      </c>
      <c r="Z821">
        <f>+DB!U821</f>
        <v>0</v>
      </c>
      <c r="AA821">
        <f>+IF(DB!F821="AAAC-35",19.5,33)</f>
        <v>33</v>
      </c>
      <c r="AB821">
        <f>+DB!V821</f>
        <v>0</v>
      </c>
      <c r="AC821" t="str">
        <f t="shared" si="38"/>
        <v>56-4</v>
      </c>
      <c r="AD821" s="21" t="s">
        <v>72</v>
      </c>
      <c r="AE821">
        <f>+DB!X821</f>
        <v>0</v>
      </c>
      <c r="AF821" s="22">
        <f>+DB!Y821</f>
        <v>0</v>
      </c>
      <c r="AG821">
        <f>+DB!AK821</f>
        <v>0</v>
      </c>
    </row>
    <row r="822" spans="1:33" x14ac:dyDescent="0.2">
      <c r="A822">
        <f>+DB!C822</f>
        <v>0</v>
      </c>
      <c r="B822">
        <f>+DB!D822</f>
        <v>0</v>
      </c>
      <c r="C822">
        <f>+DB!E822</f>
        <v>0</v>
      </c>
      <c r="D822">
        <f t="shared" si="36"/>
        <v>0</v>
      </c>
      <c r="E822">
        <f>+DB!G822</f>
        <v>0</v>
      </c>
      <c r="F822">
        <f>+DB!H822</f>
        <v>0</v>
      </c>
      <c r="G822">
        <f>+DB!N822</f>
        <v>0</v>
      </c>
      <c r="H822">
        <f>+DB!O822</f>
        <v>0</v>
      </c>
      <c r="I822">
        <f>+DB!I822</f>
        <v>0</v>
      </c>
      <c r="J822">
        <f>+DB!J822</f>
        <v>0</v>
      </c>
      <c r="K822">
        <f>+DB!L822</f>
        <v>0</v>
      </c>
      <c r="L822" t="str">
        <f t="shared" si="37"/>
        <v/>
      </c>
      <c r="M822" t="str">
        <f>+IF(LEFT(DB!M822,3)="13/","CAC","MAD")</f>
        <v>MAD</v>
      </c>
      <c r="N822" t="str">
        <f>+RIGHT(DB!M822,6)</f>
        <v/>
      </c>
      <c r="O822">
        <v>95</v>
      </c>
      <c r="P822">
        <v>5</v>
      </c>
      <c r="Q822">
        <f>+DB!AB822</f>
        <v>0</v>
      </c>
      <c r="R822">
        <f>+DB!K822</f>
        <v>0</v>
      </c>
      <c r="S822">
        <f>+DB!F822</f>
        <v>0</v>
      </c>
      <c r="T822">
        <f>+IF(DB!F822="AAAC-35",1,3)</f>
        <v>3</v>
      </c>
      <c r="U822">
        <f>+DB!R822</f>
        <v>0</v>
      </c>
      <c r="V822">
        <f>+IF(DB!P822="1RI",1,0)+IF(DB!P822="2RI",2,0)</f>
        <v>0</v>
      </c>
      <c r="W822">
        <f>+IF(DB!P822="1RV",1,0)+IF(DB!P822="2RV",2,0)</f>
        <v>0</v>
      </c>
      <c r="X822">
        <f>+IF(DB!P822="RYI",1,0)</f>
        <v>0</v>
      </c>
      <c r="Y822">
        <f>+IF(DB!P822="RYV",1,0)</f>
        <v>0</v>
      </c>
      <c r="Z822">
        <f>+DB!U822</f>
        <v>0</v>
      </c>
      <c r="AA822">
        <f>+IF(DB!F822="AAAC-35",19.5,33)</f>
        <v>33</v>
      </c>
      <c r="AB822">
        <f>+DB!V822</f>
        <v>0</v>
      </c>
      <c r="AC822" t="str">
        <f t="shared" si="38"/>
        <v>56-4</v>
      </c>
      <c r="AD822" s="21" t="s">
        <v>72</v>
      </c>
      <c r="AE822">
        <f>+DB!X822</f>
        <v>0</v>
      </c>
      <c r="AF822" s="22">
        <f>+DB!Y822</f>
        <v>0</v>
      </c>
      <c r="AG822">
        <f>+DB!AK822</f>
        <v>0</v>
      </c>
    </row>
    <row r="823" spans="1:33" x14ac:dyDescent="0.2">
      <c r="A823">
        <f>+DB!C823</f>
        <v>0</v>
      </c>
      <c r="B823">
        <f>+DB!D823</f>
        <v>0</v>
      </c>
      <c r="C823">
        <f>+DB!E823</f>
        <v>0</v>
      </c>
      <c r="D823">
        <f t="shared" si="36"/>
        <v>0</v>
      </c>
      <c r="E823">
        <f>+DB!G823</f>
        <v>0</v>
      </c>
      <c r="F823">
        <f>+DB!H823</f>
        <v>0</v>
      </c>
      <c r="G823">
        <f>+DB!N823</f>
        <v>0</v>
      </c>
      <c r="H823">
        <f>+DB!O823</f>
        <v>0</v>
      </c>
      <c r="I823">
        <f>+DB!I823</f>
        <v>0</v>
      </c>
      <c r="J823">
        <f>+DB!J823</f>
        <v>0</v>
      </c>
      <c r="K823">
        <f>+DB!L823</f>
        <v>0</v>
      </c>
      <c r="L823" t="str">
        <f t="shared" si="37"/>
        <v/>
      </c>
      <c r="M823" t="str">
        <f>+IF(LEFT(DB!M823,3)="13/","CAC","MAD")</f>
        <v>MAD</v>
      </c>
      <c r="N823" t="str">
        <f>+RIGHT(DB!M823,6)</f>
        <v/>
      </c>
      <c r="O823">
        <v>95</v>
      </c>
      <c r="P823">
        <v>5</v>
      </c>
      <c r="Q823">
        <f>+DB!AB823</f>
        <v>0</v>
      </c>
      <c r="R823">
        <f>+DB!K823</f>
        <v>0</v>
      </c>
      <c r="S823">
        <f>+DB!F823</f>
        <v>0</v>
      </c>
      <c r="T823">
        <f>+IF(DB!F823="AAAC-35",1,3)</f>
        <v>3</v>
      </c>
      <c r="U823">
        <f>+DB!R823</f>
        <v>0</v>
      </c>
      <c r="V823">
        <f>+IF(DB!P823="1RI",1,0)+IF(DB!P823="2RI",2,0)</f>
        <v>0</v>
      </c>
      <c r="W823">
        <f>+IF(DB!P823="1RV",1,0)+IF(DB!P823="2RV",2,0)</f>
        <v>0</v>
      </c>
      <c r="X823">
        <f>+IF(DB!P823="RYI",1,0)</f>
        <v>0</v>
      </c>
      <c r="Y823">
        <f>+IF(DB!P823="RYV",1,0)</f>
        <v>0</v>
      </c>
      <c r="Z823">
        <f>+DB!U823</f>
        <v>0</v>
      </c>
      <c r="AA823">
        <f>+IF(DB!F823="AAAC-35",19.5,33)</f>
        <v>33</v>
      </c>
      <c r="AB823">
        <f>+DB!V823</f>
        <v>0</v>
      </c>
      <c r="AC823" t="str">
        <f t="shared" si="38"/>
        <v>56-4</v>
      </c>
      <c r="AD823" s="21" t="s">
        <v>72</v>
      </c>
      <c r="AE823">
        <f>+DB!X823</f>
        <v>0</v>
      </c>
      <c r="AF823" s="22">
        <f>+DB!Y823</f>
        <v>0</v>
      </c>
      <c r="AG823">
        <f>+DB!AK823</f>
        <v>0</v>
      </c>
    </row>
    <row r="824" spans="1:33" x14ac:dyDescent="0.2">
      <c r="A824">
        <f>+DB!C824</f>
        <v>0</v>
      </c>
      <c r="B824">
        <f>+DB!D824</f>
        <v>0</v>
      </c>
      <c r="C824">
        <f>+DB!E824</f>
        <v>0</v>
      </c>
      <c r="D824">
        <f t="shared" si="36"/>
        <v>0</v>
      </c>
      <c r="E824">
        <f>+DB!G824</f>
        <v>0</v>
      </c>
      <c r="F824">
        <f>+DB!H824</f>
        <v>0</v>
      </c>
      <c r="G824">
        <f>+DB!N824</f>
        <v>0</v>
      </c>
      <c r="H824">
        <f>+DB!O824</f>
        <v>0</v>
      </c>
      <c r="I824">
        <f>+DB!I824</f>
        <v>0</v>
      </c>
      <c r="J824">
        <f>+DB!J824</f>
        <v>0</v>
      </c>
      <c r="K824">
        <f>+DB!L824</f>
        <v>0</v>
      </c>
      <c r="L824" t="str">
        <f t="shared" si="37"/>
        <v/>
      </c>
      <c r="M824" t="str">
        <f>+IF(LEFT(DB!M824,3)="13/","CAC","MAD")</f>
        <v>MAD</v>
      </c>
      <c r="N824" t="str">
        <f>+RIGHT(DB!M824,6)</f>
        <v/>
      </c>
      <c r="O824">
        <v>95</v>
      </c>
      <c r="P824">
        <v>5</v>
      </c>
      <c r="Q824">
        <f>+DB!AB824</f>
        <v>0</v>
      </c>
      <c r="R824">
        <f>+DB!K824</f>
        <v>0</v>
      </c>
      <c r="S824">
        <f>+DB!F824</f>
        <v>0</v>
      </c>
      <c r="T824">
        <f>+IF(DB!F824="AAAC-35",1,3)</f>
        <v>3</v>
      </c>
      <c r="U824">
        <f>+DB!R824</f>
        <v>0</v>
      </c>
      <c r="V824">
        <f>+IF(DB!P824="1RI",1,0)+IF(DB!P824="2RI",2,0)</f>
        <v>0</v>
      </c>
      <c r="W824">
        <f>+IF(DB!P824="1RV",1,0)+IF(DB!P824="2RV",2,0)</f>
        <v>0</v>
      </c>
      <c r="X824">
        <f>+IF(DB!P824="RYI",1,0)</f>
        <v>0</v>
      </c>
      <c r="Y824">
        <f>+IF(DB!P824="RYV",1,0)</f>
        <v>0</v>
      </c>
      <c r="Z824">
        <f>+DB!U824</f>
        <v>0</v>
      </c>
      <c r="AA824">
        <f>+IF(DB!F824="AAAC-35",19.5,33)</f>
        <v>33</v>
      </c>
      <c r="AB824">
        <f>+DB!V824</f>
        <v>0</v>
      </c>
      <c r="AC824" t="str">
        <f t="shared" si="38"/>
        <v>56-4</v>
      </c>
      <c r="AD824" s="21" t="s">
        <v>72</v>
      </c>
      <c r="AE824">
        <f>+DB!X824</f>
        <v>0</v>
      </c>
      <c r="AF824" s="22">
        <f>+DB!Y824</f>
        <v>0</v>
      </c>
      <c r="AG824">
        <f>+DB!AK824</f>
        <v>0</v>
      </c>
    </row>
    <row r="825" spans="1:33" x14ac:dyDescent="0.2">
      <c r="A825">
        <f>+DB!C825</f>
        <v>0</v>
      </c>
      <c r="B825">
        <f>+DB!D825</f>
        <v>0</v>
      </c>
      <c r="C825">
        <f>+DB!E825</f>
        <v>0</v>
      </c>
      <c r="D825">
        <f t="shared" si="36"/>
        <v>0</v>
      </c>
      <c r="E825">
        <f>+DB!G825</f>
        <v>0</v>
      </c>
      <c r="F825">
        <f>+DB!H825</f>
        <v>0</v>
      </c>
      <c r="G825">
        <f>+DB!N825</f>
        <v>0</v>
      </c>
      <c r="H825">
        <f>+DB!O825</f>
        <v>0</v>
      </c>
      <c r="I825">
        <f>+DB!I825</f>
        <v>0</v>
      </c>
      <c r="J825">
        <f>+DB!J825</f>
        <v>0</v>
      </c>
      <c r="K825">
        <f>+DB!L825</f>
        <v>0</v>
      </c>
      <c r="L825" t="str">
        <f t="shared" si="37"/>
        <v/>
      </c>
      <c r="M825" t="str">
        <f>+IF(LEFT(DB!M825,3)="13/","CAC","MAD")</f>
        <v>MAD</v>
      </c>
      <c r="N825" t="str">
        <f>+RIGHT(DB!M825,6)</f>
        <v/>
      </c>
      <c r="O825">
        <v>95</v>
      </c>
      <c r="P825">
        <v>5</v>
      </c>
      <c r="Q825">
        <f>+DB!AB825</f>
        <v>0</v>
      </c>
      <c r="R825">
        <f>+DB!K825</f>
        <v>0</v>
      </c>
      <c r="S825">
        <f>+DB!F825</f>
        <v>0</v>
      </c>
      <c r="T825">
        <f>+IF(DB!F825="AAAC-35",1,3)</f>
        <v>3</v>
      </c>
      <c r="U825">
        <f>+DB!R825</f>
        <v>0</v>
      </c>
      <c r="V825">
        <f>+IF(DB!P825="1RI",1,0)+IF(DB!P825="2RI",2,0)</f>
        <v>0</v>
      </c>
      <c r="W825">
        <f>+IF(DB!P825="1RV",1,0)+IF(DB!P825="2RV",2,0)</f>
        <v>0</v>
      </c>
      <c r="X825">
        <f>+IF(DB!P825="RYI",1,0)</f>
        <v>0</v>
      </c>
      <c r="Y825">
        <f>+IF(DB!P825="RYV",1,0)</f>
        <v>0</v>
      </c>
      <c r="Z825">
        <f>+DB!U825</f>
        <v>0</v>
      </c>
      <c r="AA825">
        <f>+IF(DB!F825="AAAC-35",19.5,33)</f>
        <v>33</v>
      </c>
      <c r="AB825">
        <f>+DB!V825</f>
        <v>0</v>
      </c>
      <c r="AC825" t="str">
        <f t="shared" si="38"/>
        <v>56-4</v>
      </c>
      <c r="AD825" s="21" t="s">
        <v>72</v>
      </c>
      <c r="AE825">
        <f>+DB!X825</f>
        <v>0</v>
      </c>
      <c r="AF825" s="22">
        <f>+DB!Y825</f>
        <v>0</v>
      </c>
      <c r="AG825">
        <f>+DB!AK825</f>
        <v>0</v>
      </c>
    </row>
    <row r="826" spans="1:33" x14ac:dyDescent="0.2">
      <c r="A826">
        <f>+DB!C826</f>
        <v>0</v>
      </c>
      <c r="B826">
        <f>+DB!D826</f>
        <v>0</v>
      </c>
      <c r="C826">
        <f>+DB!E826</f>
        <v>0</v>
      </c>
      <c r="D826">
        <f t="shared" si="36"/>
        <v>0</v>
      </c>
      <c r="E826">
        <f>+DB!G826</f>
        <v>0</v>
      </c>
      <c r="F826">
        <f>+DB!H826</f>
        <v>0</v>
      </c>
      <c r="G826">
        <f>+DB!N826</f>
        <v>0</v>
      </c>
      <c r="H826">
        <f>+DB!O826</f>
        <v>0</v>
      </c>
      <c r="I826">
        <f>+DB!I826</f>
        <v>0</v>
      </c>
      <c r="J826">
        <f>+DB!J826</f>
        <v>0</v>
      </c>
      <c r="K826">
        <f>+DB!L826</f>
        <v>0</v>
      </c>
      <c r="L826" t="str">
        <f t="shared" si="37"/>
        <v/>
      </c>
      <c r="M826" t="str">
        <f>+IF(LEFT(DB!M826,3)="13/","CAC","MAD")</f>
        <v>MAD</v>
      </c>
      <c r="N826" t="str">
        <f>+RIGHT(DB!M826,6)</f>
        <v/>
      </c>
      <c r="O826">
        <v>95</v>
      </c>
      <c r="P826">
        <v>5</v>
      </c>
      <c r="Q826">
        <f>+DB!AB826</f>
        <v>0</v>
      </c>
      <c r="R826">
        <f>+DB!K826</f>
        <v>0</v>
      </c>
      <c r="S826">
        <f>+DB!F826</f>
        <v>0</v>
      </c>
      <c r="T826">
        <f>+IF(DB!F826="AAAC-35",1,3)</f>
        <v>3</v>
      </c>
      <c r="U826">
        <f>+DB!R826</f>
        <v>0</v>
      </c>
      <c r="V826">
        <f>+IF(DB!P826="1RI",1,0)+IF(DB!P826="2RI",2,0)</f>
        <v>0</v>
      </c>
      <c r="W826">
        <f>+IF(DB!P826="1RV",1,0)+IF(DB!P826="2RV",2,0)</f>
        <v>0</v>
      </c>
      <c r="X826">
        <f>+IF(DB!P826="RYI",1,0)</f>
        <v>0</v>
      </c>
      <c r="Y826">
        <f>+IF(DB!P826="RYV",1,0)</f>
        <v>0</v>
      </c>
      <c r="Z826">
        <f>+DB!U826</f>
        <v>0</v>
      </c>
      <c r="AA826">
        <f>+IF(DB!F826="AAAC-35",19.5,33)</f>
        <v>33</v>
      </c>
      <c r="AB826">
        <f>+DB!V826</f>
        <v>0</v>
      </c>
      <c r="AC826" t="str">
        <f t="shared" si="38"/>
        <v>56-4</v>
      </c>
      <c r="AD826" s="21" t="s">
        <v>72</v>
      </c>
      <c r="AE826">
        <f>+DB!X826</f>
        <v>0</v>
      </c>
      <c r="AF826" s="22">
        <f>+DB!Y826</f>
        <v>0</v>
      </c>
      <c r="AG826">
        <f>+DB!AK826</f>
        <v>0</v>
      </c>
    </row>
    <row r="827" spans="1:33" x14ac:dyDescent="0.2">
      <c r="A827">
        <f>+DB!C827</f>
        <v>0</v>
      </c>
      <c r="B827">
        <f>+DB!D827</f>
        <v>0</v>
      </c>
      <c r="C827">
        <f>+DB!E827</f>
        <v>0</v>
      </c>
      <c r="D827">
        <f t="shared" si="36"/>
        <v>0</v>
      </c>
      <c r="E827">
        <f>+DB!G827</f>
        <v>0</v>
      </c>
      <c r="F827">
        <f>+DB!H827</f>
        <v>0</v>
      </c>
      <c r="G827">
        <f>+DB!N827</f>
        <v>0</v>
      </c>
      <c r="H827">
        <f>+DB!O827</f>
        <v>0</v>
      </c>
      <c r="I827">
        <f>+DB!I827</f>
        <v>0</v>
      </c>
      <c r="J827">
        <f>+DB!J827</f>
        <v>0</v>
      </c>
      <c r="K827">
        <f>+DB!L827</f>
        <v>0</v>
      </c>
      <c r="L827" t="str">
        <f t="shared" si="37"/>
        <v/>
      </c>
      <c r="M827" t="str">
        <f>+IF(LEFT(DB!M827,3)="13/","CAC","MAD")</f>
        <v>MAD</v>
      </c>
      <c r="N827" t="str">
        <f>+RIGHT(DB!M827,6)</f>
        <v/>
      </c>
      <c r="O827">
        <v>95</v>
      </c>
      <c r="P827">
        <v>5</v>
      </c>
      <c r="Q827">
        <f>+DB!AB827</f>
        <v>0</v>
      </c>
      <c r="R827">
        <f>+DB!K827</f>
        <v>0</v>
      </c>
      <c r="S827">
        <f>+DB!F827</f>
        <v>0</v>
      </c>
      <c r="T827">
        <f>+IF(DB!F827="AAAC-35",1,3)</f>
        <v>3</v>
      </c>
      <c r="U827">
        <f>+DB!R827</f>
        <v>0</v>
      </c>
      <c r="V827">
        <f>+IF(DB!P827="1RI",1,0)+IF(DB!P827="2RI",2,0)</f>
        <v>0</v>
      </c>
      <c r="W827">
        <f>+IF(DB!P827="1RV",1,0)+IF(DB!P827="2RV",2,0)</f>
        <v>0</v>
      </c>
      <c r="X827">
        <f>+IF(DB!P827="RYI",1,0)</f>
        <v>0</v>
      </c>
      <c r="Y827">
        <f>+IF(DB!P827="RYV",1,0)</f>
        <v>0</v>
      </c>
      <c r="Z827">
        <f>+DB!U827</f>
        <v>0</v>
      </c>
      <c r="AA827">
        <f>+IF(DB!F827="AAAC-35",19.5,33)</f>
        <v>33</v>
      </c>
      <c r="AB827">
        <f>+DB!V827</f>
        <v>0</v>
      </c>
      <c r="AC827" t="str">
        <f t="shared" si="38"/>
        <v>56-4</v>
      </c>
      <c r="AD827" s="21" t="s">
        <v>72</v>
      </c>
      <c r="AE827">
        <f>+DB!X827</f>
        <v>0</v>
      </c>
      <c r="AF827" s="22">
        <f>+DB!Y827</f>
        <v>0</v>
      </c>
      <c r="AG827">
        <f>+DB!AK827</f>
        <v>0</v>
      </c>
    </row>
    <row r="828" spans="1:33" x14ac:dyDescent="0.2">
      <c r="A828">
        <f>+DB!C828</f>
        <v>0</v>
      </c>
      <c r="B828">
        <f>+DB!D828</f>
        <v>0</v>
      </c>
      <c r="C828">
        <f>+DB!E828</f>
        <v>0</v>
      </c>
      <c r="D828">
        <f t="shared" si="36"/>
        <v>0</v>
      </c>
      <c r="E828">
        <f>+DB!G828</f>
        <v>0</v>
      </c>
      <c r="F828">
        <f>+DB!H828</f>
        <v>0</v>
      </c>
      <c r="G828">
        <f>+DB!N828</f>
        <v>0</v>
      </c>
      <c r="H828">
        <f>+DB!O828</f>
        <v>0</v>
      </c>
      <c r="I828">
        <f>+DB!I828</f>
        <v>0</v>
      </c>
      <c r="J828">
        <f>+DB!J828</f>
        <v>0</v>
      </c>
      <c r="K828">
        <f>+DB!L828</f>
        <v>0</v>
      </c>
      <c r="L828" t="str">
        <f t="shared" si="37"/>
        <v/>
      </c>
      <c r="M828" t="str">
        <f>+IF(LEFT(DB!M828,3)="13/","CAC","MAD")</f>
        <v>MAD</v>
      </c>
      <c r="N828" t="str">
        <f>+RIGHT(DB!M828,6)</f>
        <v/>
      </c>
      <c r="O828">
        <v>95</v>
      </c>
      <c r="P828">
        <v>5</v>
      </c>
      <c r="Q828">
        <f>+DB!AB828</f>
        <v>0</v>
      </c>
      <c r="R828">
        <f>+DB!K828</f>
        <v>0</v>
      </c>
      <c r="S828">
        <f>+DB!F828</f>
        <v>0</v>
      </c>
      <c r="T828">
        <f>+IF(DB!F828="AAAC-35",1,3)</f>
        <v>3</v>
      </c>
      <c r="U828">
        <f>+DB!R828</f>
        <v>0</v>
      </c>
      <c r="V828">
        <f>+IF(DB!P828="1RI",1,0)+IF(DB!P828="2RI",2,0)</f>
        <v>0</v>
      </c>
      <c r="W828">
        <f>+IF(DB!P828="1RV",1,0)+IF(DB!P828="2RV",2,0)</f>
        <v>0</v>
      </c>
      <c r="X828">
        <f>+IF(DB!P828="RYI",1,0)</f>
        <v>0</v>
      </c>
      <c r="Y828">
        <f>+IF(DB!P828="RYV",1,0)</f>
        <v>0</v>
      </c>
      <c r="Z828">
        <f>+DB!U828</f>
        <v>0</v>
      </c>
      <c r="AA828">
        <f>+IF(DB!F828="AAAC-35",19.5,33)</f>
        <v>33</v>
      </c>
      <c r="AB828">
        <f>+DB!V828</f>
        <v>0</v>
      </c>
      <c r="AC828" t="str">
        <f t="shared" si="38"/>
        <v>56-4</v>
      </c>
      <c r="AD828" s="21" t="s">
        <v>72</v>
      </c>
      <c r="AE828">
        <f>+DB!X828</f>
        <v>0</v>
      </c>
      <c r="AF828" s="22">
        <f>+DB!Y828</f>
        <v>0</v>
      </c>
      <c r="AG828">
        <f>+DB!AK828</f>
        <v>0</v>
      </c>
    </row>
    <row r="829" spans="1:33" x14ac:dyDescent="0.2">
      <c r="A829">
        <f>+DB!C829</f>
        <v>0</v>
      </c>
      <c r="B829">
        <f>+DB!D829</f>
        <v>0</v>
      </c>
      <c r="C829">
        <f>+DB!E829</f>
        <v>0</v>
      </c>
      <c r="D829">
        <f t="shared" si="36"/>
        <v>0</v>
      </c>
      <c r="E829">
        <f>+DB!G829</f>
        <v>0</v>
      </c>
      <c r="F829">
        <f>+DB!H829</f>
        <v>0</v>
      </c>
      <c r="G829">
        <f>+DB!N829</f>
        <v>0</v>
      </c>
      <c r="H829">
        <f>+DB!O829</f>
        <v>0</v>
      </c>
      <c r="I829">
        <f>+DB!I829</f>
        <v>0</v>
      </c>
      <c r="J829">
        <f>+DB!J829</f>
        <v>0</v>
      </c>
      <c r="K829">
        <f>+DB!L829</f>
        <v>0</v>
      </c>
      <c r="L829" t="str">
        <f t="shared" si="37"/>
        <v/>
      </c>
      <c r="M829" t="str">
        <f>+IF(LEFT(DB!M829,3)="13/","CAC","MAD")</f>
        <v>MAD</v>
      </c>
      <c r="N829" t="str">
        <f>+RIGHT(DB!M829,6)</f>
        <v/>
      </c>
      <c r="O829">
        <v>95</v>
      </c>
      <c r="P829">
        <v>5</v>
      </c>
      <c r="Q829">
        <f>+DB!AB829</f>
        <v>0</v>
      </c>
      <c r="R829">
        <f>+DB!K829</f>
        <v>0</v>
      </c>
      <c r="S829">
        <f>+DB!F829</f>
        <v>0</v>
      </c>
      <c r="T829">
        <f>+IF(DB!F829="AAAC-35",1,3)</f>
        <v>3</v>
      </c>
      <c r="U829">
        <f>+DB!R829</f>
        <v>0</v>
      </c>
      <c r="V829">
        <f>+IF(DB!P829="1RI",1,0)+IF(DB!P829="2RI",2,0)</f>
        <v>0</v>
      </c>
      <c r="W829">
        <f>+IF(DB!P829="1RV",1,0)+IF(DB!P829="2RV",2,0)</f>
        <v>0</v>
      </c>
      <c r="X829">
        <f>+IF(DB!P829="RYI",1,0)</f>
        <v>0</v>
      </c>
      <c r="Y829">
        <f>+IF(DB!P829="RYV",1,0)</f>
        <v>0</v>
      </c>
      <c r="Z829">
        <f>+DB!U829</f>
        <v>0</v>
      </c>
      <c r="AA829">
        <f>+IF(DB!F829="AAAC-35",19.5,33)</f>
        <v>33</v>
      </c>
      <c r="AB829">
        <f>+DB!V829</f>
        <v>0</v>
      </c>
      <c r="AC829" t="str">
        <f t="shared" si="38"/>
        <v>56-4</v>
      </c>
      <c r="AD829" s="21" t="s">
        <v>72</v>
      </c>
      <c r="AE829">
        <f>+DB!X829</f>
        <v>0</v>
      </c>
      <c r="AF829" s="22">
        <f>+DB!Y829</f>
        <v>0</v>
      </c>
      <c r="AG829">
        <f>+DB!AK829</f>
        <v>0</v>
      </c>
    </row>
    <row r="830" spans="1:33" x14ac:dyDescent="0.2">
      <c r="A830">
        <f>+DB!C830</f>
        <v>0</v>
      </c>
      <c r="B830">
        <f>+DB!D830</f>
        <v>0</v>
      </c>
      <c r="C830">
        <f>+DB!E830</f>
        <v>0</v>
      </c>
      <c r="D830">
        <f t="shared" si="36"/>
        <v>0</v>
      </c>
      <c r="E830">
        <f>+DB!G830</f>
        <v>0</v>
      </c>
      <c r="F830">
        <f>+DB!H830</f>
        <v>0</v>
      </c>
      <c r="G830">
        <f>+DB!N830</f>
        <v>0</v>
      </c>
      <c r="H830">
        <f>+DB!O830</f>
        <v>0</v>
      </c>
      <c r="I830">
        <f>+DB!I830</f>
        <v>0</v>
      </c>
      <c r="J830">
        <f>+DB!J830</f>
        <v>0</v>
      </c>
      <c r="K830">
        <f>+DB!L830</f>
        <v>0</v>
      </c>
      <c r="L830" t="str">
        <f t="shared" si="37"/>
        <v/>
      </c>
      <c r="M830" t="str">
        <f>+IF(LEFT(DB!M830,3)="13/","CAC","MAD")</f>
        <v>MAD</v>
      </c>
      <c r="N830" t="str">
        <f>+RIGHT(DB!M830,6)</f>
        <v/>
      </c>
      <c r="O830">
        <v>95</v>
      </c>
      <c r="P830">
        <v>5</v>
      </c>
      <c r="Q830">
        <f>+DB!AB830</f>
        <v>0</v>
      </c>
      <c r="R830">
        <f>+DB!K830</f>
        <v>0</v>
      </c>
      <c r="S830">
        <f>+DB!F830</f>
        <v>0</v>
      </c>
      <c r="T830">
        <f>+IF(DB!F830="AAAC-35",1,3)</f>
        <v>3</v>
      </c>
      <c r="U830">
        <f>+DB!R830</f>
        <v>0</v>
      </c>
      <c r="V830">
        <f>+IF(DB!P830="1RI",1,0)+IF(DB!P830="2RI",2,0)</f>
        <v>0</v>
      </c>
      <c r="W830">
        <f>+IF(DB!P830="1RV",1,0)+IF(DB!P830="2RV",2,0)</f>
        <v>0</v>
      </c>
      <c r="X830">
        <f>+IF(DB!P830="RYI",1,0)</f>
        <v>0</v>
      </c>
      <c r="Y830">
        <f>+IF(DB!P830="RYV",1,0)</f>
        <v>0</v>
      </c>
      <c r="Z830">
        <f>+DB!U830</f>
        <v>0</v>
      </c>
      <c r="AA830">
        <f>+IF(DB!F830="AAAC-35",19.5,33)</f>
        <v>33</v>
      </c>
      <c r="AB830">
        <f>+DB!V830</f>
        <v>0</v>
      </c>
      <c r="AC830" t="str">
        <f t="shared" si="38"/>
        <v>56-4</v>
      </c>
      <c r="AD830" s="21" t="s">
        <v>72</v>
      </c>
      <c r="AE830">
        <f>+DB!X830</f>
        <v>0</v>
      </c>
      <c r="AF830" s="22">
        <f>+DB!Y830</f>
        <v>0</v>
      </c>
      <c r="AG830">
        <f>+DB!AK830</f>
        <v>0</v>
      </c>
    </row>
    <row r="831" spans="1:33" x14ac:dyDescent="0.2">
      <c r="A831">
        <f>+DB!C831</f>
        <v>0</v>
      </c>
      <c r="B831">
        <f>+DB!D831</f>
        <v>0</v>
      </c>
      <c r="C831">
        <f>+DB!E831</f>
        <v>0</v>
      </c>
      <c r="D831">
        <f t="shared" si="36"/>
        <v>0</v>
      </c>
      <c r="E831">
        <f>+DB!G831</f>
        <v>0</v>
      </c>
      <c r="F831">
        <f>+DB!H831</f>
        <v>0</v>
      </c>
      <c r="G831">
        <f>+DB!N831</f>
        <v>0</v>
      </c>
      <c r="H831">
        <f>+DB!O831</f>
        <v>0</v>
      </c>
      <c r="I831">
        <f>+DB!I831</f>
        <v>0</v>
      </c>
      <c r="J831">
        <f>+DB!J831</f>
        <v>0</v>
      </c>
      <c r="K831">
        <f>+DB!L831</f>
        <v>0</v>
      </c>
      <c r="L831" t="str">
        <f t="shared" si="37"/>
        <v/>
      </c>
      <c r="M831" t="str">
        <f>+IF(LEFT(DB!M831,3)="13/","CAC","MAD")</f>
        <v>MAD</v>
      </c>
      <c r="N831" t="str">
        <f>+RIGHT(DB!M831,6)</f>
        <v/>
      </c>
      <c r="O831">
        <v>95</v>
      </c>
      <c r="P831">
        <v>5</v>
      </c>
      <c r="Q831">
        <f>+DB!AB831</f>
        <v>0</v>
      </c>
      <c r="R831">
        <f>+DB!K831</f>
        <v>0</v>
      </c>
      <c r="S831">
        <f>+DB!F831</f>
        <v>0</v>
      </c>
      <c r="T831">
        <f>+IF(DB!F831="AAAC-35",1,3)</f>
        <v>3</v>
      </c>
      <c r="U831">
        <f>+DB!R831</f>
        <v>0</v>
      </c>
      <c r="V831">
        <f>+IF(DB!P831="1RI",1,0)+IF(DB!P831="2RI",2,0)</f>
        <v>0</v>
      </c>
      <c r="W831">
        <f>+IF(DB!P831="1RV",1,0)+IF(DB!P831="2RV",2,0)</f>
        <v>0</v>
      </c>
      <c r="X831">
        <f>+IF(DB!P831="RYI",1,0)</f>
        <v>0</v>
      </c>
      <c r="Y831">
        <f>+IF(DB!P831="RYV",1,0)</f>
        <v>0</v>
      </c>
      <c r="Z831">
        <f>+DB!U831</f>
        <v>0</v>
      </c>
      <c r="AA831">
        <f>+IF(DB!F831="AAAC-35",19.5,33)</f>
        <v>33</v>
      </c>
      <c r="AB831">
        <f>+DB!V831</f>
        <v>0</v>
      </c>
      <c r="AC831" t="str">
        <f t="shared" si="38"/>
        <v>56-4</v>
      </c>
      <c r="AD831" s="21" t="s">
        <v>72</v>
      </c>
      <c r="AE831">
        <f>+DB!X831</f>
        <v>0</v>
      </c>
      <c r="AF831" s="22">
        <f>+DB!Y831</f>
        <v>0</v>
      </c>
      <c r="AG831">
        <f>+DB!AK831</f>
        <v>0</v>
      </c>
    </row>
    <row r="832" spans="1:33" x14ac:dyDescent="0.2">
      <c r="A832">
        <f>+DB!C832</f>
        <v>0</v>
      </c>
      <c r="B832">
        <f>+DB!D832</f>
        <v>0</v>
      </c>
      <c r="C832">
        <f>+DB!E832</f>
        <v>0</v>
      </c>
      <c r="D832">
        <f t="shared" si="36"/>
        <v>0</v>
      </c>
      <c r="E832">
        <f>+DB!G832</f>
        <v>0</v>
      </c>
      <c r="F832">
        <f>+DB!H832</f>
        <v>0</v>
      </c>
      <c r="G832">
        <f>+DB!N832</f>
        <v>0</v>
      </c>
      <c r="H832">
        <f>+DB!O832</f>
        <v>0</v>
      </c>
      <c r="I832">
        <f>+DB!I832</f>
        <v>0</v>
      </c>
      <c r="J832">
        <f>+DB!J832</f>
        <v>0</v>
      </c>
      <c r="K832">
        <f>+DB!L832</f>
        <v>0</v>
      </c>
      <c r="L832" t="str">
        <f t="shared" si="37"/>
        <v/>
      </c>
      <c r="M832" t="str">
        <f>+IF(LEFT(DB!M832,3)="13/","CAC","MAD")</f>
        <v>MAD</v>
      </c>
      <c r="N832" t="str">
        <f>+RIGHT(DB!M832,6)</f>
        <v/>
      </c>
      <c r="O832">
        <v>95</v>
      </c>
      <c r="P832">
        <v>5</v>
      </c>
      <c r="Q832">
        <f>+DB!AB832</f>
        <v>0</v>
      </c>
      <c r="R832">
        <f>+DB!K832</f>
        <v>0</v>
      </c>
      <c r="S832">
        <f>+DB!F832</f>
        <v>0</v>
      </c>
      <c r="T832">
        <f>+IF(DB!F832="AAAC-35",1,3)</f>
        <v>3</v>
      </c>
      <c r="U832">
        <f>+DB!R832</f>
        <v>0</v>
      </c>
      <c r="V832">
        <f>+IF(DB!P832="1RI",1,0)+IF(DB!P832="2RI",2,0)</f>
        <v>0</v>
      </c>
      <c r="W832">
        <f>+IF(DB!P832="1RV",1,0)+IF(DB!P832="2RV",2,0)</f>
        <v>0</v>
      </c>
      <c r="X832">
        <f>+IF(DB!P832="RYI",1,0)</f>
        <v>0</v>
      </c>
      <c r="Y832">
        <f>+IF(DB!P832="RYV",1,0)</f>
        <v>0</v>
      </c>
      <c r="Z832">
        <f>+DB!U832</f>
        <v>0</v>
      </c>
      <c r="AA832">
        <f>+IF(DB!F832="AAAC-35",19.5,33)</f>
        <v>33</v>
      </c>
      <c r="AB832">
        <f>+DB!V832</f>
        <v>0</v>
      </c>
      <c r="AC832" t="str">
        <f t="shared" si="38"/>
        <v>56-4</v>
      </c>
      <c r="AD832" s="21" t="s">
        <v>72</v>
      </c>
      <c r="AE832">
        <f>+DB!X832</f>
        <v>0</v>
      </c>
      <c r="AF832" s="22">
        <f>+DB!Y832</f>
        <v>0</v>
      </c>
      <c r="AG832">
        <f>+DB!AK832</f>
        <v>0</v>
      </c>
    </row>
    <row r="833" spans="1:33" x14ac:dyDescent="0.2">
      <c r="A833">
        <f>+DB!C833</f>
        <v>0</v>
      </c>
      <c r="B833">
        <f>+DB!D833</f>
        <v>0</v>
      </c>
      <c r="C833">
        <f>+DB!E833</f>
        <v>0</v>
      </c>
      <c r="D833">
        <f t="shared" si="36"/>
        <v>0</v>
      </c>
      <c r="E833">
        <f>+DB!G833</f>
        <v>0</v>
      </c>
      <c r="F833">
        <f>+DB!H833</f>
        <v>0</v>
      </c>
      <c r="G833">
        <f>+DB!N833</f>
        <v>0</v>
      </c>
      <c r="H833">
        <f>+DB!O833</f>
        <v>0</v>
      </c>
      <c r="I833">
        <f>+DB!I833</f>
        <v>0</v>
      </c>
      <c r="J833">
        <f>+DB!J833</f>
        <v>0</v>
      </c>
      <c r="K833">
        <f>+DB!L833</f>
        <v>0</v>
      </c>
      <c r="L833" t="str">
        <f t="shared" si="37"/>
        <v/>
      </c>
      <c r="M833" t="str">
        <f>+IF(LEFT(DB!M833,3)="13/","CAC","MAD")</f>
        <v>MAD</v>
      </c>
      <c r="N833" t="str">
        <f>+RIGHT(DB!M833,6)</f>
        <v/>
      </c>
      <c r="O833">
        <v>95</v>
      </c>
      <c r="P833">
        <v>5</v>
      </c>
      <c r="Q833">
        <f>+DB!AB833</f>
        <v>0</v>
      </c>
      <c r="R833">
        <f>+DB!K833</f>
        <v>0</v>
      </c>
      <c r="S833">
        <f>+DB!F833</f>
        <v>0</v>
      </c>
      <c r="T833">
        <f>+IF(DB!F833="AAAC-35",1,3)</f>
        <v>3</v>
      </c>
      <c r="U833">
        <f>+DB!R833</f>
        <v>0</v>
      </c>
      <c r="V833">
        <f>+IF(DB!P833="1RI",1,0)+IF(DB!P833="2RI",2,0)</f>
        <v>0</v>
      </c>
      <c r="W833">
        <f>+IF(DB!P833="1RV",1,0)+IF(DB!P833="2RV",2,0)</f>
        <v>0</v>
      </c>
      <c r="X833">
        <f>+IF(DB!P833="RYI",1,0)</f>
        <v>0</v>
      </c>
      <c r="Y833">
        <f>+IF(DB!P833="RYV",1,0)</f>
        <v>0</v>
      </c>
      <c r="Z833">
        <f>+DB!U833</f>
        <v>0</v>
      </c>
      <c r="AA833">
        <f>+IF(DB!F833="AAAC-35",19.5,33)</f>
        <v>33</v>
      </c>
      <c r="AB833">
        <f>+DB!V833</f>
        <v>0</v>
      </c>
      <c r="AC833" t="str">
        <f t="shared" si="38"/>
        <v>56-4</v>
      </c>
      <c r="AD833" s="21" t="s">
        <v>72</v>
      </c>
      <c r="AE833">
        <f>+DB!X833</f>
        <v>0</v>
      </c>
      <c r="AF833" s="22">
        <f>+DB!Y833</f>
        <v>0</v>
      </c>
      <c r="AG833">
        <f>+DB!AK833</f>
        <v>0</v>
      </c>
    </row>
    <row r="834" spans="1:33" x14ac:dyDescent="0.2">
      <c r="A834">
        <f>+DB!C834</f>
        <v>0</v>
      </c>
      <c r="B834">
        <f>+DB!D834</f>
        <v>0</v>
      </c>
      <c r="C834">
        <f>+DB!E834</f>
        <v>0</v>
      </c>
      <c r="D834">
        <f t="shared" si="36"/>
        <v>0</v>
      </c>
      <c r="E834">
        <f>+DB!G834</f>
        <v>0</v>
      </c>
      <c r="F834">
        <f>+DB!H834</f>
        <v>0</v>
      </c>
      <c r="G834">
        <f>+DB!N834</f>
        <v>0</v>
      </c>
      <c r="H834">
        <f>+DB!O834</f>
        <v>0</v>
      </c>
      <c r="I834">
        <f>+DB!I834</f>
        <v>0</v>
      </c>
      <c r="J834">
        <f>+DB!J834</f>
        <v>0</v>
      </c>
      <c r="K834">
        <f>+DB!L834</f>
        <v>0</v>
      </c>
      <c r="L834" t="str">
        <f t="shared" si="37"/>
        <v/>
      </c>
      <c r="M834" t="str">
        <f>+IF(LEFT(DB!M834,3)="13/","CAC","MAD")</f>
        <v>MAD</v>
      </c>
      <c r="N834" t="str">
        <f>+RIGHT(DB!M834,6)</f>
        <v/>
      </c>
      <c r="O834">
        <v>95</v>
      </c>
      <c r="P834">
        <v>5</v>
      </c>
      <c r="Q834">
        <f>+DB!AB834</f>
        <v>0</v>
      </c>
      <c r="R834">
        <f>+DB!K834</f>
        <v>0</v>
      </c>
      <c r="S834">
        <f>+DB!F834</f>
        <v>0</v>
      </c>
      <c r="T834">
        <f>+IF(DB!F834="AAAC-35",1,3)</f>
        <v>3</v>
      </c>
      <c r="U834">
        <f>+DB!R834</f>
        <v>0</v>
      </c>
      <c r="V834">
        <f>+IF(DB!P834="1RI",1,0)+IF(DB!P834="2RI",2,0)</f>
        <v>0</v>
      </c>
      <c r="W834">
        <f>+IF(DB!P834="1RV",1,0)+IF(DB!P834="2RV",2,0)</f>
        <v>0</v>
      </c>
      <c r="X834">
        <f>+IF(DB!P834="RYI",1,0)</f>
        <v>0</v>
      </c>
      <c r="Y834">
        <f>+IF(DB!P834="RYV",1,0)</f>
        <v>0</v>
      </c>
      <c r="Z834">
        <f>+DB!U834</f>
        <v>0</v>
      </c>
      <c r="AA834">
        <f>+IF(DB!F834="AAAC-35",19.5,33)</f>
        <v>33</v>
      </c>
      <c r="AB834">
        <f>+DB!V834</f>
        <v>0</v>
      </c>
      <c r="AC834" t="str">
        <f t="shared" si="38"/>
        <v>56-4</v>
      </c>
      <c r="AD834" s="21" t="s">
        <v>72</v>
      </c>
      <c r="AE834">
        <f>+DB!X834</f>
        <v>0</v>
      </c>
      <c r="AF834" s="22">
        <f>+DB!Y834</f>
        <v>0</v>
      </c>
      <c r="AG834">
        <f>+DB!AK834</f>
        <v>0</v>
      </c>
    </row>
    <row r="835" spans="1:33" x14ac:dyDescent="0.2">
      <c r="A835">
        <f>+DB!C835</f>
        <v>0</v>
      </c>
      <c r="B835">
        <f>+DB!D835</f>
        <v>0</v>
      </c>
      <c r="C835">
        <f>+DB!E835</f>
        <v>0</v>
      </c>
      <c r="D835">
        <f t="shared" ref="D835:D879" si="39">+IF(B835="PSEC-0PA","K",0)</f>
        <v>0</v>
      </c>
      <c r="E835">
        <f>+DB!G835</f>
        <v>0</v>
      </c>
      <c r="F835">
        <f>+DB!H835</f>
        <v>0</v>
      </c>
      <c r="G835">
        <f>+DB!N835</f>
        <v>0</v>
      </c>
      <c r="H835">
        <f>+DB!O835</f>
        <v>0</v>
      </c>
      <c r="I835">
        <f>+DB!I835</f>
        <v>0</v>
      </c>
      <c r="J835">
        <f>+DB!J835</f>
        <v>0</v>
      </c>
      <c r="K835">
        <f>+DB!L835</f>
        <v>0</v>
      </c>
      <c r="L835" t="str">
        <f t="shared" ref="L835:L879" si="40">+LEFT(N835,2)</f>
        <v/>
      </c>
      <c r="M835" t="str">
        <f>+IF(LEFT(DB!M835,3)="13/","CAC","MAD")</f>
        <v>MAD</v>
      </c>
      <c r="N835" t="str">
        <f>+RIGHT(DB!M835,6)</f>
        <v/>
      </c>
      <c r="O835">
        <v>95</v>
      </c>
      <c r="P835">
        <v>5</v>
      </c>
      <c r="Q835">
        <f>+DB!AB835</f>
        <v>0</v>
      </c>
      <c r="R835">
        <f>+DB!K835</f>
        <v>0</v>
      </c>
      <c r="S835">
        <f>+DB!F835</f>
        <v>0</v>
      </c>
      <c r="T835">
        <f>+IF(DB!F835="AAAC-35",1,3)</f>
        <v>3</v>
      </c>
      <c r="U835">
        <f>+DB!R835</f>
        <v>0</v>
      </c>
      <c r="V835">
        <f>+IF(DB!P835="1RI",1,0)+IF(DB!P835="2RI",2,0)</f>
        <v>0</v>
      </c>
      <c r="W835">
        <f>+IF(DB!P835="1RV",1,0)+IF(DB!P835="2RV",2,0)</f>
        <v>0</v>
      </c>
      <c r="X835">
        <f>+IF(DB!P835="RYI",1,0)</f>
        <v>0</v>
      </c>
      <c r="Y835">
        <f>+IF(DB!P835="RYV",1,0)</f>
        <v>0</v>
      </c>
      <c r="Z835">
        <f>+DB!U835</f>
        <v>0</v>
      </c>
      <c r="AA835">
        <f>+IF(DB!F835="AAAC-35",19.5,33)</f>
        <v>33</v>
      </c>
      <c r="AB835">
        <f>+DB!V835</f>
        <v>0</v>
      </c>
      <c r="AC835" t="str">
        <f t="shared" ref="AC835:AC879" si="41">+IF(F835&gt;1675,"56-5","56-4")</f>
        <v>56-4</v>
      </c>
      <c r="AD835" s="21" t="s">
        <v>72</v>
      </c>
      <c r="AE835">
        <f>+DB!X835</f>
        <v>0</v>
      </c>
      <c r="AF835" s="22">
        <f>+DB!Y835</f>
        <v>0</v>
      </c>
      <c r="AG835">
        <f>+DB!AK835</f>
        <v>0</v>
      </c>
    </row>
    <row r="836" spans="1:33" x14ac:dyDescent="0.2">
      <c r="A836">
        <f>+DB!C836</f>
        <v>0</v>
      </c>
      <c r="B836">
        <f>+DB!D836</f>
        <v>0</v>
      </c>
      <c r="C836">
        <f>+DB!E836</f>
        <v>0</v>
      </c>
      <c r="D836">
        <f t="shared" si="39"/>
        <v>0</v>
      </c>
      <c r="E836">
        <f>+DB!G836</f>
        <v>0</v>
      </c>
      <c r="F836">
        <f>+DB!H836</f>
        <v>0</v>
      </c>
      <c r="G836">
        <f>+DB!N836</f>
        <v>0</v>
      </c>
      <c r="H836">
        <f>+DB!O836</f>
        <v>0</v>
      </c>
      <c r="I836">
        <f>+DB!I836</f>
        <v>0</v>
      </c>
      <c r="J836">
        <f>+DB!J836</f>
        <v>0</v>
      </c>
      <c r="K836">
        <f>+DB!L836</f>
        <v>0</v>
      </c>
      <c r="L836" t="str">
        <f t="shared" si="40"/>
        <v/>
      </c>
      <c r="M836" t="str">
        <f>+IF(LEFT(DB!M836,3)="13/","CAC","MAD")</f>
        <v>MAD</v>
      </c>
      <c r="N836" t="str">
        <f>+RIGHT(DB!M836,6)</f>
        <v/>
      </c>
      <c r="O836">
        <v>95</v>
      </c>
      <c r="P836">
        <v>5</v>
      </c>
      <c r="Q836">
        <f>+DB!AB836</f>
        <v>0</v>
      </c>
      <c r="R836">
        <f>+DB!K836</f>
        <v>0</v>
      </c>
      <c r="S836">
        <f>+DB!F836</f>
        <v>0</v>
      </c>
      <c r="T836">
        <f>+IF(DB!F836="AAAC-35",1,3)</f>
        <v>3</v>
      </c>
      <c r="U836">
        <f>+DB!R836</f>
        <v>0</v>
      </c>
      <c r="V836">
        <f>+IF(DB!P836="1RI",1,0)+IF(DB!P836="2RI",2,0)</f>
        <v>0</v>
      </c>
      <c r="W836">
        <f>+IF(DB!P836="1RV",1,0)+IF(DB!P836="2RV",2,0)</f>
        <v>0</v>
      </c>
      <c r="X836">
        <f>+IF(DB!P836="RYI",1,0)</f>
        <v>0</v>
      </c>
      <c r="Y836">
        <f>+IF(DB!P836="RYV",1,0)</f>
        <v>0</v>
      </c>
      <c r="Z836">
        <f>+DB!U836</f>
        <v>0</v>
      </c>
      <c r="AA836">
        <f>+IF(DB!F836="AAAC-35",19.5,33)</f>
        <v>33</v>
      </c>
      <c r="AB836">
        <f>+DB!V836</f>
        <v>0</v>
      </c>
      <c r="AC836" t="str">
        <f t="shared" si="41"/>
        <v>56-4</v>
      </c>
      <c r="AD836" s="21" t="s">
        <v>72</v>
      </c>
      <c r="AE836">
        <f>+DB!X836</f>
        <v>0</v>
      </c>
      <c r="AF836" s="22">
        <f>+DB!Y836</f>
        <v>0</v>
      </c>
      <c r="AG836">
        <f>+DB!AK836</f>
        <v>0</v>
      </c>
    </row>
    <row r="837" spans="1:33" x14ac:dyDescent="0.2">
      <c r="A837">
        <f>+DB!C837</f>
        <v>0</v>
      </c>
      <c r="B837">
        <f>+DB!D837</f>
        <v>0</v>
      </c>
      <c r="C837">
        <f>+DB!E837</f>
        <v>0</v>
      </c>
      <c r="D837">
        <f t="shared" si="39"/>
        <v>0</v>
      </c>
      <c r="E837">
        <f>+DB!G837</f>
        <v>0</v>
      </c>
      <c r="F837">
        <f>+DB!H837</f>
        <v>0</v>
      </c>
      <c r="G837">
        <f>+DB!N837</f>
        <v>0</v>
      </c>
      <c r="H837">
        <f>+DB!O837</f>
        <v>0</v>
      </c>
      <c r="I837">
        <f>+DB!I837</f>
        <v>0</v>
      </c>
      <c r="J837">
        <f>+DB!J837</f>
        <v>0</v>
      </c>
      <c r="K837">
        <f>+DB!L837</f>
        <v>0</v>
      </c>
      <c r="L837" t="str">
        <f t="shared" si="40"/>
        <v/>
      </c>
      <c r="M837" t="str">
        <f>+IF(LEFT(DB!M837,3)="13/","CAC","MAD")</f>
        <v>MAD</v>
      </c>
      <c r="N837" t="str">
        <f>+RIGHT(DB!M837,6)</f>
        <v/>
      </c>
      <c r="O837">
        <v>95</v>
      </c>
      <c r="P837">
        <v>5</v>
      </c>
      <c r="Q837">
        <f>+DB!AB837</f>
        <v>0</v>
      </c>
      <c r="R837">
        <f>+DB!K837</f>
        <v>0</v>
      </c>
      <c r="S837">
        <f>+DB!F837</f>
        <v>0</v>
      </c>
      <c r="T837">
        <f>+IF(DB!F837="AAAC-35",1,3)</f>
        <v>3</v>
      </c>
      <c r="U837">
        <f>+DB!R837</f>
        <v>0</v>
      </c>
      <c r="V837">
        <f>+IF(DB!P837="1RI",1,0)+IF(DB!P837="2RI",2,0)</f>
        <v>0</v>
      </c>
      <c r="W837">
        <f>+IF(DB!P837="1RV",1,0)+IF(DB!P837="2RV",2,0)</f>
        <v>0</v>
      </c>
      <c r="X837">
        <f>+IF(DB!P837="RYI",1,0)</f>
        <v>0</v>
      </c>
      <c r="Y837">
        <f>+IF(DB!P837="RYV",1,0)</f>
        <v>0</v>
      </c>
      <c r="Z837">
        <f>+DB!U837</f>
        <v>0</v>
      </c>
      <c r="AA837">
        <f>+IF(DB!F837="AAAC-35",19.5,33)</f>
        <v>33</v>
      </c>
      <c r="AB837">
        <f>+DB!V837</f>
        <v>0</v>
      </c>
      <c r="AC837" t="str">
        <f t="shared" si="41"/>
        <v>56-4</v>
      </c>
      <c r="AD837" s="21" t="s">
        <v>72</v>
      </c>
      <c r="AE837">
        <f>+DB!X837</f>
        <v>0</v>
      </c>
      <c r="AF837" s="22">
        <f>+DB!Y837</f>
        <v>0</v>
      </c>
      <c r="AG837">
        <f>+DB!AK837</f>
        <v>0</v>
      </c>
    </row>
    <row r="838" spans="1:33" x14ac:dyDescent="0.2">
      <c r="A838">
        <f>+DB!C838</f>
        <v>0</v>
      </c>
      <c r="B838">
        <f>+DB!D838</f>
        <v>0</v>
      </c>
      <c r="C838">
        <f>+DB!E838</f>
        <v>0</v>
      </c>
      <c r="D838">
        <f t="shared" si="39"/>
        <v>0</v>
      </c>
      <c r="E838">
        <f>+DB!G838</f>
        <v>0</v>
      </c>
      <c r="F838">
        <f>+DB!H838</f>
        <v>0</v>
      </c>
      <c r="G838">
        <f>+DB!N838</f>
        <v>0</v>
      </c>
      <c r="H838">
        <f>+DB!O838</f>
        <v>0</v>
      </c>
      <c r="I838">
        <f>+DB!I838</f>
        <v>0</v>
      </c>
      <c r="J838">
        <f>+DB!J838</f>
        <v>0</v>
      </c>
      <c r="K838">
        <f>+DB!L838</f>
        <v>0</v>
      </c>
      <c r="L838" t="str">
        <f t="shared" si="40"/>
        <v/>
      </c>
      <c r="M838" t="str">
        <f>+IF(LEFT(DB!M838,3)="13/","CAC","MAD")</f>
        <v>MAD</v>
      </c>
      <c r="N838" t="str">
        <f>+RIGHT(DB!M838,6)</f>
        <v/>
      </c>
      <c r="O838">
        <v>95</v>
      </c>
      <c r="P838">
        <v>5</v>
      </c>
      <c r="Q838">
        <f>+DB!AB838</f>
        <v>0</v>
      </c>
      <c r="R838">
        <f>+DB!K838</f>
        <v>0</v>
      </c>
      <c r="S838">
        <f>+DB!F838</f>
        <v>0</v>
      </c>
      <c r="T838">
        <f>+IF(DB!F838="AAAC-35",1,3)</f>
        <v>3</v>
      </c>
      <c r="U838">
        <f>+DB!R838</f>
        <v>0</v>
      </c>
      <c r="V838">
        <f>+IF(DB!P838="1RI",1,0)+IF(DB!P838="2RI",2,0)</f>
        <v>0</v>
      </c>
      <c r="W838">
        <f>+IF(DB!P838="1RV",1,0)+IF(DB!P838="2RV",2,0)</f>
        <v>0</v>
      </c>
      <c r="X838">
        <f>+IF(DB!P838="RYI",1,0)</f>
        <v>0</v>
      </c>
      <c r="Y838">
        <f>+IF(DB!P838="RYV",1,0)</f>
        <v>0</v>
      </c>
      <c r="Z838">
        <f>+DB!U838</f>
        <v>0</v>
      </c>
      <c r="AA838">
        <f>+IF(DB!F838="AAAC-35",19.5,33)</f>
        <v>33</v>
      </c>
      <c r="AB838">
        <f>+DB!V838</f>
        <v>0</v>
      </c>
      <c r="AC838" t="str">
        <f t="shared" si="41"/>
        <v>56-4</v>
      </c>
      <c r="AD838" s="21" t="s">
        <v>72</v>
      </c>
      <c r="AE838">
        <f>+DB!X838</f>
        <v>0</v>
      </c>
      <c r="AF838" s="22">
        <f>+DB!Y838</f>
        <v>0</v>
      </c>
      <c r="AG838">
        <f>+DB!AK838</f>
        <v>0</v>
      </c>
    </row>
    <row r="839" spans="1:33" x14ac:dyDescent="0.2">
      <c r="A839">
        <f>+DB!C839</f>
        <v>0</v>
      </c>
      <c r="B839">
        <f>+DB!D839</f>
        <v>0</v>
      </c>
      <c r="C839">
        <f>+DB!E839</f>
        <v>0</v>
      </c>
      <c r="D839">
        <f t="shared" si="39"/>
        <v>0</v>
      </c>
      <c r="E839">
        <f>+DB!G839</f>
        <v>0</v>
      </c>
      <c r="F839">
        <f>+DB!H839</f>
        <v>0</v>
      </c>
      <c r="G839">
        <f>+DB!N839</f>
        <v>0</v>
      </c>
      <c r="H839">
        <f>+DB!O839</f>
        <v>0</v>
      </c>
      <c r="I839">
        <f>+DB!I839</f>
        <v>0</v>
      </c>
      <c r="J839">
        <f>+DB!J839</f>
        <v>0</v>
      </c>
      <c r="K839">
        <f>+DB!L839</f>
        <v>0</v>
      </c>
      <c r="L839" t="str">
        <f t="shared" si="40"/>
        <v/>
      </c>
      <c r="M839" t="str">
        <f>+IF(LEFT(DB!M839,3)="13/","CAC","MAD")</f>
        <v>MAD</v>
      </c>
      <c r="N839" t="str">
        <f>+RIGHT(DB!M839,6)</f>
        <v/>
      </c>
      <c r="O839">
        <v>95</v>
      </c>
      <c r="P839">
        <v>5</v>
      </c>
      <c r="Q839">
        <f>+DB!AB839</f>
        <v>0</v>
      </c>
      <c r="R839">
        <f>+DB!K839</f>
        <v>0</v>
      </c>
      <c r="S839">
        <f>+DB!F839</f>
        <v>0</v>
      </c>
      <c r="T839">
        <f>+IF(DB!F839="AAAC-35",1,3)</f>
        <v>3</v>
      </c>
      <c r="U839">
        <f>+DB!R839</f>
        <v>0</v>
      </c>
      <c r="V839">
        <f>+IF(DB!P839="1RI",1,0)+IF(DB!P839="2RI",2,0)</f>
        <v>0</v>
      </c>
      <c r="W839">
        <f>+IF(DB!P839="1RV",1,0)+IF(DB!P839="2RV",2,0)</f>
        <v>0</v>
      </c>
      <c r="X839">
        <f>+IF(DB!P839="RYI",1,0)</f>
        <v>0</v>
      </c>
      <c r="Y839">
        <f>+IF(DB!P839="RYV",1,0)</f>
        <v>0</v>
      </c>
      <c r="Z839">
        <f>+DB!U839</f>
        <v>0</v>
      </c>
      <c r="AA839">
        <f>+IF(DB!F839="AAAC-35",19.5,33)</f>
        <v>33</v>
      </c>
      <c r="AB839">
        <f>+DB!V839</f>
        <v>0</v>
      </c>
      <c r="AC839" t="str">
        <f t="shared" si="41"/>
        <v>56-4</v>
      </c>
      <c r="AD839" s="21" t="s">
        <v>72</v>
      </c>
      <c r="AE839">
        <f>+DB!X839</f>
        <v>0</v>
      </c>
      <c r="AF839" s="22">
        <f>+DB!Y839</f>
        <v>0</v>
      </c>
      <c r="AG839">
        <f>+DB!AK839</f>
        <v>0</v>
      </c>
    </row>
    <row r="840" spans="1:33" x14ac:dyDescent="0.2">
      <c r="A840">
        <f>+DB!C840</f>
        <v>0</v>
      </c>
      <c r="B840">
        <f>+DB!D840</f>
        <v>0</v>
      </c>
      <c r="C840">
        <f>+DB!E840</f>
        <v>0</v>
      </c>
      <c r="D840">
        <f t="shared" si="39"/>
        <v>0</v>
      </c>
      <c r="E840">
        <f>+DB!G840</f>
        <v>0</v>
      </c>
      <c r="F840">
        <f>+DB!H840</f>
        <v>0</v>
      </c>
      <c r="G840">
        <f>+DB!N840</f>
        <v>0</v>
      </c>
      <c r="H840">
        <f>+DB!O840</f>
        <v>0</v>
      </c>
      <c r="I840">
        <f>+DB!I840</f>
        <v>0</v>
      </c>
      <c r="J840">
        <f>+DB!J840</f>
        <v>0</v>
      </c>
      <c r="K840">
        <f>+DB!L840</f>
        <v>0</v>
      </c>
      <c r="L840" t="str">
        <f t="shared" si="40"/>
        <v/>
      </c>
      <c r="M840" t="str">
        <f>+IF(LEFT(DB!M840,3)="13/","CAC","MAD")</f>
        <v>MAD</v>
      </c>
      <c r="N840" t="str">
        <f>+RIGHT(DB!M840,6)</f>
        <v/>
      </c>
      <c r="O840">
        <v>95</v>
      </c>
      <c r="P840">
        <v>5</v>
      </c>
      <c r="Q840">
        <f>+DB!AB840</f>
        <v>0</v>
      </c>
      <c r="R840">
        <f>+DB!K840</f>
        <v>0</v>
      </c>
      <c r="S840">
        <f>+DB!F840</f>
        <v>0</v>
      </c>
      <c r="T840">
        <f>+IF(DB!F840="AAAC-35",1,3)</f>
        <v>3</v>
      </c>
      <c r="U840">
        <f>+DB!R840</f>
        <v>0</v>
      </c>
      <c r="V840">
        <f>+IF(DB!P840="1RI",1,0)+IF(DB!P840="2RI",2,0)</f>
        <v>0</v>
      </c>
      <c r="W840">
        <f>+IF(DB!P840="1RV",1,0)+IF(DB!P840="2RV",2,0)</f>
        <v>0</v>
      </c>
      <c r="X840">
        <f>+IF(DB!P840="RYI",1,0)</f>
        <v>0</v>
      </c>
      <c r="Y840">
        <f>+IF(DB!P840="RYV",1,0)</f>
        <v>0</v>
      </c>
      <c r="Z840">
        <f>+DB!U840</f>
        <v>0</v>
      </c>
      <c r="AA840">
        <f>+IF(DB!F840="AAAC-35",19.5,33)</f>
        <v>33</v>
      </c>
      <c r="AB840">
        <f>+DB!V840</f>
        <v>0</v>
      </c>
      <c r="AC840" t="str">
        <f t="shared" si="41"/>
        <v>56-4</v>
      </c>
      <c r="AD840" s="21" t="s">
        <v>72</v>
      </c>
      <c r="AE840">
        <f>+DB!X840</f>
        <v>0</v>
      </c>
      <c r="AF840" s="22">
        <f>+DB!Y840</f>
        <v>0</v>
      </c>
      <c r="AG840">
        <f>+DB!AK840</f>
        <v>0</v>
      </c>
    </row>
    <row r="841" spans="1:33" x14ac:dyDescent="0.2">
      <c r="A841">
        <f>+DB!C841</f>
        <v>0</v>
      </c>
      <c r="B841">
        <f>+DB!D841</f>
        <v>0</v>
      </c>
      <c r="C841">
        <f>+DB!E841</f>
        <v>0</v>
      </c>
      <c r="D841">
        <f t="shared" si="39"/>
        <v>0</v>
      </c>
      <c r="E841">
        <f>+DB!G841</f>
        <v>0</v>
      </c>
      <c r="F841">
        <f>+DB!H841</f>
        <v>0</v>
      </c>
      <c r="G841">
        <f>+DB!N841</f>
        <v>0</v>
      </c>
      <c r="H841">
        <f>+DB!O841</f>
        <v>0</v>
      </c>
      <c r="I841">
        <f>+DB!I841</f>
        <v>0</v>
      </c>
      <c r="J841">
        <f>+DB!J841</f>
        <v>0</v>
      </c>
      <c r="K841">
        <f>+DB!L841</f>
        <v>0</v>
      </c>
      <c r="L841" t="str">
        <f t="shared" si="40"/>
        <v/>
      </c>
      <c r="M841" t="str">
        <f>+IF(LEFT(DB!M841,3)="13/","CAC","MAD")</f>
        <v>MAD</v>
      </c>
      <c r="N841" t="str">
        <f>+RIGHT(DB!M841,6)</f>
        <v/>
      </c>
      <c r="O841">
        <v>95</v>
      </c>
      <c r="P841">
        <v>5</v>
      </c>
      <c r="Q841">
        <f>+DB!AB841</f>
        <v>0</v>
      </c>
      <c r="R841">
        <f>+DB!K841</f>
        <v>0</v>
      </c>
      <c r="S841">
        <f>+DB!F841</f>
        <v>0</v>
      </c>
      <c r="T841">
        <f>+IF(DB!F841="AAAC-35",1,3)</f>
        <v>3</v>
      </c>
      <c r="U841">
        <f>+DB!R841</f>
        <v>0</v>
      </c>
      <c r="V841">
        <f>+IF(DB!P841="1RI",1,0)+IF(DB!P841="2RI",2,0)</f>
        <v>0</v>
      </c>
      <c r="W841">
        <f>+IF(DB!P841="1RV",1,0)+IF(DB!P841="2RV",2,0)</f>
        <v>0</v>
      </c>
      <c r="X841">
        <f>+IF(DB!P841="RYI",1,0)</f>
        <v>0</v>
      </c>
      <c r="Y841">
        <f>+IF(DB!P841="RYV",1,0)</f>
        <v>0</v>
      </c>
      <c r="Z841">
        <f>+DB!U841</f>
        <v>0</v>
      </c>
      <c r="AA841">
        <f>+IF(DB!F841="AAAC-35",19.5,33)</f>
        <v>33</v>
      </c>
      <c r="AB841">
        <f>+DB!V841</f>
        <v>0</v>
      </c>
      <c r="AC841" t="str">
        <f t="shared" si="41"/>
        <v>56-4</v>
      </c>
      <c r="AD841" s="21" t="s">
        <v>72</v>
      </c>
      <c r="AE841">
        <f>+DB!X841</f>
        <v>0</v>
      </c>
      <c r="AF841" s="22">
        <f>+DB!Y841</f>
        <v>0</v>
      </c>
      <c r="AG841">
        <f>+DB!AK841</f>
        <v>0</v>
      </c>
    </row>
    <row r="842" spans="1:33" x14ac:dyDescent="0.2">
      <c r="A842">
        <f>+DB!C842</f>
        <v>0</v>
      </c>
      <c r="B842">
        <f>+DB!D842</f>
        <v>0</v>
      </c>
      <c r="C842">
        <f>+DB!E842</f>
        <v>0</v>
      </c>
      <c r="D842">
        <f t="shared" si="39"/>
        <v>0</v>
      </c>
      <c r="E842">
        <f>+DB!G842</f>
        <v>0</v>
      </c>
      <c r="F842">
        <f>+DB!H842</f>
        <v>0</v>
      </c>
      <c r="G842">
        <f>+DB!N842</f>
        <v>0</v>
      </c>
      <c r="H842">
        <f>+DB!O842</f>
        <v>0</v>
      </c>
      <c r="I842">
        <f>+DB!I842</f>
        <v>0</v>
      </c>
      <c r="J842">
        <f>+DB!J842</f>
        <v>0</v>
      </c>
      <c r="K842">
        <f>+DB!L842</f>
        <v>0</v>
      </c>
      <c r="L842" t="str">
        <f t="shared" si="40"/>
        <v/>
      </c>
      <c r="M842" t="str">
        <f>+IF(LEFT(DB!M842,3)="13/","CAC","MAD")</f>
        <v>MAD</v>
      </c>
      <c r="N842" t="str">
        <f>+RIGHT(DB!M842,6)</f>
        <v/>
      </c>
      <c r="O842">
        <v>95</v>
      </c>
      <c r="P842">
        <v>5</v>
      </c>
      <c r="Q842">
        <f>+DB!AB842</f>
        <v>0</v>
      </c>
      <c r="R842">
        <f>+DB!K842</f>
        <v>0</v>
      </c>
      <c r="S842">
        <f>+DB!F842</f>
        <v>0</v>
      </c>
      <c r="T842">
        <f>+IF(DB!F842="AAAC-35",1,3)</f>
        <v>3</v>
      </c>
      <c r="U842">
        <f>+DB!R842</f>
        <v>0</v>
      </c>
      <c r="V842">
        <f>+IF(DB!P842="1RI",1,0)+IF(DB!P842="2RI",2,0)</f>
        <v>0</v>
      </c>
      <c r="W842">
        <f>+IF(DB!P842="1RV",1,0)+IF(DB!P842="2RV",2,0)</f>
        <v>0</v>
      </c>
      <c r="X842">
        <f>+IF(DB!P842="RYI",1,0)</f>
        <v>0</v>
      </c>
      <c r="Y842">
        <f>+IF(DB!P842="RYV",1,0)</f>
        <v>0</v>
      </c>
      <c r="Z842">
        <f>+DB!U842</f>
        <v>0</v>
      </c>
      <c r="AA842">
        <f>+IF(DB!F842="AAAC-35",19.5,33)</f>
        <v>33</v>
      </c>
      <c r="AB842">
        <f>+DB!V842</f>
        <v>0</v>
      </c>
      <c r="AC842" t="str">
        <f t="shared" si="41"/>
        <v>56-4</v>
      </c>
      <c r="AD842" s="21" t="s">
        <v>72</v>
      </c>
      <c r="AE842">
        <f>+DB!X842</f>
        <v>0</v>
      </c>
      <c r="AF842" s="22">
        <f>+DB!Y842</f>
        <v>0</v>
      </c>
      <c r="AG842">
        <f>+DB!AK842</f>
        <v>0</v>
      </c>
    </row>
    <row r="843" spans="1:33" x14ac:dyDescent="0.2">
      <c r="A843">
        <f>+DB!C843</f>
        <v>0</v>
      </c>
      <c r="B843">
        <f>+DB!D843</f>
        <v>0</v>
      </c>
      <c r="C843">
        <f>+DB!E843</f>
        <v>0</v>
      </c>
      <c r="D843">
        <f t="shared" si="39"/>
        <v>0</v>
      </c>
      <c r="E843">
        <f>+DB!G843</f>
        <v>0</v>
      </c>
      <c r="F843">
        <f>+DB!H843</f>
        <v>0</v>
      </c>
      <c r="G843">
        <f>+DB!N843</f>
        <v>0</v>
      </c>
      <c r="H843">
        <f>+DB!O843</f>
        <v>0</v>
      </c>
      <c r="I843">
        <f>+DB!I843</f>
        <v>0</v>
      </c>
      <c r="J843">
        <f>+DB!J843</f>
        <v>0</v>
      </c>
      <c r="K843">
        <f>+DB!L843</f>
        <v>0</v>
      </c>
      <c r="L843" t="str">
        <f t="shared" si="40"/>
        <v/>
      </c>
      <c r="M843" t="str">
        <f>+IF(LEFT(DB!M843,3)="13/","CAC","MAD")</f>
        <v>MAD</v>
      </c>
      <c r="N843" t="str">
        <f>+RIGHT(DB!M843,6)</f>
        <v/>
      </c>
      <c r="O843">
        <v>95</v>
      </c>
      <c r="P843">
        <v>5</v>
      </c>
      <c r="Q843">
        <f>+DB!AB843</f>
        <v>0</v>
      </c>
      <c r="R843">
        <f>+DB!K843</f>
        <v>0</v>
      </c>
      <c r="S843">
        <f>+DB!F843</f>
        <v>0</v>
      </c>
      <c r="T843">
        <f>+IF(DB!F843="AAAC-35",1,3)</f>
        <v>3</v>
      </c>
      <c r="U843">
        <f>+DB!R843</f>
        <v>0</v>
      </c>
      <c r="V843">
        <f>+IF(DB!P843="1RI",1,0)+IF(DB!P843="2RI",2,0)</f>
        <v>0</v>
      </c>
      <c r="W843">
        <f>+IF(DB!P843="1RV",1,0)+IF(DB!P843="2RV",2,0)</f>
        <v>0</v>
      </c>
      <c r="X843">
        <f>+IF(DB!P843="RYI",1,0)</f>
        <v>0</v>
      </c>
      <c r="Y843">
        <f>+IF(DB!P843="RYV",1,0)</f>
        <v>0</v>
      </c>
      <c r="Z843">
        <f>+DB!U843</f>
        <v>0</v>
      </c>
      <c r="AA843">
        <f>+IF(DB!F843="AAAC-35",19.5,33)</f>
        <v>33</v>
      </c>
      <c r="AB843">
        <f>+DB!V843</f>
        <v>0</v>
      </c>
      <c r="AC843" t="str">
        <f t="shared" si="41"/>
        <v>56-4</v>
      </c>
      <c r="AD843" s="21" t="s">
        <v>72</v>
      </c>
      <c r="AE843">
        <f>+DB!X843</f>
        <v>0</v>
      </c>
      <c r="AF843" s="22">
        <f>+DB!Y843</f>
        <v>0</v>
      </c>
      <c r="AG843">
        <f>+DB!AK843</f>
        <v>0</v>
      </c>
    </row>
    <row r="844" spans="1:33" x14ac:dyDescent="0.2">
      <c r="A844">
        <f>+DB!C844</f>
        <v>0</v>
      </c>
      <c r="B844">
        <f>+DB!D844</f>
        <v>0</v>
      </c>
      <c r="C844">
        <f>+DB!E844</f>
        <v>0</v>
      </c>
      <c r="D844">
        <f t="shared" si="39"/>
        <v>0</v>
      </c>
      <c r="E844">
        <f>+DB!G844</f>
        <v>0</v>
      </c>
      <c r="F844">
        <f>+DB!H844</f>
        <v>0</v>
      </c>
      <c r="G844">
        <f>+DB!N844</f>
        <v>0</v>
      </c>
      <c r="H844">
        <f>+DB!O844</f>
        <v>0</v>
      </c>
      <c r="I844">
        <f>+DB!I844</f>
        <v>0</v>
      </c>
      <c r="J844">
        <f>+DB!J844</f>
        <v>0</v>
      </c>
      <c r="K844">
        <f>+DB!L844</f>
        <v>0</v>
      </c>
      <c r="L844" t="str">
        <f t="shared" si="40"/>
        <v/>
      </c>
      <c r="M844" t="str">
        <f>+IF(LEFT(DB!M844,3)="13/","CAC","MAD")</f>
        <v>MAD</v>
      </c>
      <c r="N844" t="str">
        <f>+RIGHT(DB!M844,6)</f>
        <v/>
      </c>
      <c r="O844">
        <v>95</v>
      </c>
      <c r="P844">
        <v>5</v>
      </c>
      <c r="Q844">
        <f>+DB!AB844</f>
        <v>0</v>
      </c>
      <c r="R844">
        <f>+DB!K844</f>
        <v>0</v>
      </c>
      <c r="S844">
        <f>+DB!F844</f>
        <v>0</v>
      </c>
      <c r="T844">
        <f>+IF(DB!F844="AAAC-35",1,3)</f>
        <v>3</v>
      </c>
      <c r="U844">
        <f>+DB!R844</f>
        <v>0</v>
      </c>
      <c r="V844">
        <f>+IF(DB!P844="1RI",1,0)+IF(DB!P844="2RI",2,0)</f>
        <v>0</v>
      </c>
      <c r="W844">
        <f>+IF(DB!P844="1RV",1,0)+IF(DB!P844="2RV",2,0)</f>
        <v>0</v>
      </c>
      <c r="X844">
        <f>+IF(DB!P844="RYI",1,0)</f>
        <v>0</v>
      </c>
      <c r="Y844">
        <f>+IF(DB!P844="RYV",1,0)</f>
        <v>0</v>
      </c>
      <c r="Z844">
        <f>+DB!U844</f>
        <v>0</v>
      </c>
      <c r="AA844">
        <f>+IF(DB!F844="AAAC-35",19.5,33)</f>
        <v>33</v>
      </c>
      <c r="AB844">
        <f>+DB!V844</f>
        <v>0</v>
      </c>
      <c r="AC844" t="str">
        <f t="shared" si="41"/>
        <v>56-4</v>
      </c>
      <c r="AD844" s="21" t="s">
        <v>72</v>
      </c>
      <c r="AE844">
        <f>+DB!X844</f>
        <v>0</v>
      </c>
      <c r="AF844" s="22">
        <f>+DB!Y844</f>
        <v>0</v>
      </c>
      <c r="AG844">
        <f>+DB!AK844</f>
        <v>0</v>
      </c>
    </row>
    <row r="845" spans="1:33" x14ac:dyDescent="0.2">
      <c r="A845">
        <f>+DB!C845</f>
        <v>0</v>
      </c>
      <c r="B845">
        <f>+DB!D845</f>
        <v>0</v>
      </c>
      <c r="C845">
        <f>+DB!E845</f>
        <v>0</v>
      </c>
      <c r="D845">
        <f t="shared" si="39"/>
        <v>0</v>
      </c>
      <c r="E845">
        <f>+DB!G845</f>
        <v>0</v>
      </c>
      <c r="F845">
        <f>+DB!H845</f>
        <v>0</v>
      </c>
      <c r="G845">
        <f>+DB!N845</f>
        <v>0</v>
      </c>
      <c r="H845">
        <f>+DB!O845</f>
        <v>0</v>
      </c>
      <c r="I845">
        <f>+DB!I845</f>
        <v>0</v>
      </c>
      <c r="J845">
        <f>+DB!J845</f>
        <v>0</v>
      </c>
      <c r="K845">
        <f>+DB!L845</f>
        <v>0</v>
      </c>
      <c r="L845" t="str">
        <f t="shared" si="40"/>
        <v/>
      </c>
      <c r="M845" t="str">
        <f>+IF(LEFT(DB!M845,3)="13/","CAC","MAD")</f>
        <v>MAD</v>
      </c>
      <c r="N845" t="str">
        <f>+RIGHT(DB!M845,6)</f>
        <v/>
      </c>
      <c r="O845">
        <v>95</v>
      </c>
      <c r="P845">
        <v>5</v>
      </c>
      <c r="Q845">
        <f>+DB!AB845</f>
        <v>0</v>
      </c>
      <c r="R845">
        <f>+DB!K845</f>
        <v>0</v>
      </c>
      <c r="S845">
        <f>+DB!F845</f>
        <v>0</v>
      </c>
      <c r="T845">
        <f>+IF(DB!F845="AAAC-35",1,3)</f>
        <v>3</v>
      </c>
      <c r="U845">
        <f>+DB!R845</f>
        <v>0</v>
      </c>
      <c r="V845">
        <f>+IF(DB!P845="1RI",1,0)+IF(DB!P845="2RI",2,0)</f>
        <v>0</v>
      </c>
      <c r="W845">
        <f>+IF(DB!P845="1RV",1,0)+IF(DB!P845="2RV",2,0)</f>
        <v>0</v>
      </c>
      <c r="X845">
        <f>+IF(DB!P845="RYI",1,0)</f>
        <v>0</v>
      </c>
      <c r="Y845">
        <f>+IF(DB!P845="RYV",1,0)</f>
        <v>0</v>
      </c>
      <c r="Z845">
        <f>+DB!U845</f>
        <v>0</v>
      </c>
      <c r="AA845">
        <f>+IF(DB!F845="AAAC-35",19.5,33)</f>
        <v>33</v>
      </c>
      <c r="AB845">
        <f>+DB!V845</f>
        <v>0</v>
      </c>
      <c r="AC845" t="str">
        <f t="shared" si="41"/>
        <v>56-4</v>
      </c>
      <c r="AD845" s="21" t="s">
        <v>72</v>
      </c>
      <c r="AE845">
        <f>+DB!X845</f>
        <v>0</v>
      </c>
      <c r="AF845" s="22">
        <f>+DB!Y845</f>
        <v>0</v>
      </c>
      <c r="AG845">
        <f>+DB!AK845</f>
        <v>0</v>
      </c>
    </row>
    <row r="846" spans="1:33" x14ac:dyDescent="0.2">
      <c r="A846">
        <f>+DB!C846</f>
        <v>0</v>
      </c>
      <c r="B846">
        <f>+DB!D846</f>
        <v>0</v>
      </c>
      <c r="C846">
        <f>+DB!E846</f>
        <v>0</v>
      </c>
      <c r="D846">
        <f t="shared" si="39"/>
        <v>0</v>
      </c>
      <c r="E846">
        <f>+DB!G846</f>
        <v>0</v>
      </c>
      <c r="F846">
        <f>+DB!H846</f>
        <v>0</v>
      </c>
      <c r="G846">
        <f>+DB!N846</f>
        <v>0</v>
      </c>
      <c r="H846">
        <f>+DB!O846</f>
        <v>0</v>
      </c>
      <c r="I846">
        <f>+DB!I846</f>
        <v>0</v>
      </c>
      <c r="J846">
        <f>+DB!J846</f>
        <v>0</v>
      </c>
      <c r="K846">
        <f>+DB!L846</f>
        <v>0</v>
      </c>
      <c r="L846" t="str">
        <f t="shared" si="40"/>
        <v/>
      </c>
      <c r="M846" t="str">
        <f>+IF(LEFT(DB!M846,3)="13/","CAC","MAD")</f>
        <v>MAD</v>
      </c>
      <c r="N846" t="str">
        <f>+RIGHT(DB!M846,6)</f>
        <v/>
      </c>
      <c r="O846">
        <v>95</v>
      </c>
      <c r="P846">
        <v>5</v>
      </c>
      <c r="Q846">
        <f>+DB!AB846</f>
        <v>0</v>
      </c>
      <c r="R846">
        <f>+DB!K846</f>
        <v>0</v>
      </c>
      <c r="S846">
        <f>+DB!F846</f>
        <v>0</v>
      </c>
      <c r="T846">
        <f>+IF(DB!F846="AAAC-35",1,3)</f>
        <v>3</v>
      </c>
      <c r="U846">
        <f>+DB!R846</f>
        <v>0</v>
      </c>
      <c r="V846">
        <f>+IF(DB!P846="1RI",1,0)+IF(DB!P846="2RI",2,0)</f>
        <v>0</v>
      </c>
      <c r="W846">
        <f>+IF(DB!P846="1RV",1,0)+IF(DB!P846="2RV",2,0)</f>
        <v>0</v>
      </c>
      <c r="X846">
        <f>+IF(DB!P846="RYI",1,0)</f>
        <v>0</v>
      </c>
      <c r="Y846">
        <f>+IF(DB!P846="RYV",1,0)</f>
        <v>0</v>
      </c>
      <c r="Z846">
        <f>+DB!U846</f>
        <v>0</v>
      </c>
      <c r="AA846">
        <f>+IF(DB!F846="AAAC-35",19.5,33)</f>
        <v>33</v>
      </c>
      <c r="AB846">
        <f>+DB!V846</f>
        <v>0</v>
      </c>
      <c r="AC846" t="str">
        <f t="shared" si="41"/>
        <v>56-4</v>
      </c>
      <c r="AD846" s="21" t="s">
        <v>72</v>
      </c>
      <c r="AE846">
        <f>+DB!X846</f>
        <v>0</v>
      </c>
      <c r="AF846" s="22">
        <f>+DB!Y846</f>
        <v>0</v>
      </c>
      <c r="AG846">
        <f>+DB!AK846</f>
        <v>0</v>
      </c>
    </row>
    <row r="847" spans="1:33" x14ac:dyDescent="0.2">
      <c r="A847">
        <f>+DB!C847</f>
        <v>0</v>
      </c>
      <c r="B847">
        <f>+DB!D847</f>
        <v>0</v>
      </c>
      <c r="C847">
        <f>+DB!E847</f>
        <v>0</v>
      </c>
      <c r="D847">
        <f t="shared" si="39"/>
        <v>0</v>
      </c>
      <c r="E847">
        <f>+DB!G847</f>
        <v>0</v>
      </c>
      <c r="F847">
        <f>+DB!H847</f>
        <v>0</v>
      </c>
      <c r="G847">
        <f>+DB!N847</f>
        <v>0</v>
      </c>
      <c r="H847">
        <f>+DB!O847</f>
        <v>0</v>
      </c>
      <c r="I847">
        <f>+DB!I847</f>
        <v>0</v>
      </c>
      <c r="J847">
        <f>+DB!J847</f>
        <v>0</v>
      </c>
      <c r="K847">
        <f>+DB!L847</f>
        <v>0</v>
      </c>
      <c r="L847" t="str">
        <f t="shared" si="40"/>
        <v/>
      </c>
      <c r="M847" t="str">
        <f>+IF(LEFT(DB!M847,3)="13/","CAC","MAD")</f>
        <v>MAD</v>
      </c>
      <c r="N847" t="str">
        <f>+RIGHT(DB!M847,6)</f>
        <v/>
      </c>
      <c r="O847">
        <v>95</v>
      </c>
      <c r="P847">
        <v>5</v>
      </c>
      <c r="Q847">
        <f>+DB!AB847</f>
        <v>0</v>
      </c>
      <c r="R847">
        <f>+DB!K847</f>
        <v>0</v>
      </c>
      <c r="S847">
        <f>+DB!F847</f>
        <v>0</v>
      </c>
      <c r="T847">
        <f>+IF(DB!F847="AAAC-35",1,3)</f>
        <v>3</v>
      </c>
      <c r="U847">
        <f>+DB!R847</f>
        <v>0</v>
      </c>
      <c r="V847">
        <f>+IF(DB!P847="1RI",1,0)+IF(DB!P847="2RI",2,0)</f>
        <v>0</v>
      </c>
      <c r="W847">
        <f>+IF(DB!P847="1RV",1,0)+IF(DB!P847="2RV",2,0)</f>
        <v>0</v>
      </c>
      <c r="X847">
        <f>+IF(DB!P847="RYI",1,0)</f>
        <v>0</v>
      </c>
      <c r="Y847">
        <f>+IF(DB!P847="RYV",1,0)</f>
        <v>0</v>
      </c>
      <c r="Z847">
        <f>+DB!U847</f>
        <v>0</v>
      </c>
      <c r="AA847">
        <f>+IF(DB!F847="AAAC-35",19.5,33)</f>
        <v>33</v>
      </c>
      <c r="AB847">
        <f>+DB!V847</f>
        <v>0</v>
      </c>
      <c r="AC847" t="str">
        <f t="shared" si="41"/>
        <v>56-4</v>
      </c>
      <c r="AD847" s="21" t="s">
        <v>72</v>
      </c>
      <c r="AE847">
        <f>+DB!X847</f>
        <v>0</v>
      </c>
      <c r="AF847" s="22">
        <f>+DB!Y847</f>
        <v>0</v>
      </c>
      <c r="AG847">
        <f>+DB!AK847</f>
        <v>0</v>
      </c>
    </row>
    <row r="848" spans="1:33" x14ac:dyDescent="0.2">
      <c r="A848">
        <f>+DB!C848</f>
        <v>0</v>
      </c>
      <c r="B848">
        <f>+DB!D848</f>
        <v>0</v>
      </c>
      <c r="C848">
        <f>+DB!E848</f>
        <v>0</v>
      </c>
      <c r="D848">
        <f t="shared" si="39"/>
        <v>0</v>
      </c>
      <c r="E848">
        <f>+DB!G848</f>
        <v>0</v>
      </c>
      <c r="F848">
        <f>+DB!H848</f>
        <v>0</v>
      </c>
      <c r="G848">
        <f>+DB!N848</f>
        <v>0</v>
      </c>
      <c r="H848">
        <f>+DB!O848</f>
        <v>0</v>
      </c>
      <c r="I848">
        <f>+DB!I848</f>
        <v>0</v>
      </c>
      <c r="J848">
        <f>+DB!J848</f>
        <v>0</v>
      </c>
      <c r="K848">
        <f>+DB!L848</f>
        <v>0</v>
      </c>
      <c r="L848" t="str">
        <f t="shared" si="40"/>
        <v/>
      </c>
      <c r="M848" t="str">
        <f>+IF(LEFT(DB!M848,3)="13/","CAC","MAD")</f>
        <v>MAD</v>
      </c>
      <c r="N848" t="str">
        <f>+RIGHT(DB!M848,6)</f>
        <v/>
      </c>
      <c r="O848">
        <v>95</v>
      </c>
      <c r="P848">
        <v>5</v>
      </c>
      <c r="Q848">
        <f>+DB!AB848</f>
        <v>0</v>
      </c>
      <c r="R848">
        <f>+DB!K848</f>
        <v>0</v>
      </c>
      <c r="S848">
        <f>+DB!F848</f>
        <v>0</v>
      </c>
      <c r="T848">
        <f>+IF(DB!F848="AAAC-35",1,3)</f>
        <v>3</v>
      </c>
      <c r="U848">
        <f>+DB!R848</f>
        <v>0</v>
      </c>
      <c r="V848">
        <f>+IF(DB!P848="1RI",1,0)+IF(DB!P848="2RI",2,0)</f>
        <v>0</v>
      </c>
      <c r="W848">
        <f>+IF(DB!P848="1RV",1,0)+IF(DB!P848="2RV",2,0)</f>
        <v>0</v>
      </c>
      <c r="X848">
        <f>+IF(DB!P848="RYI",1,0)</f>
        <v>0</v>
      </c>
      <c r="Y848">
        <f>+IF(DB!P848="RYV",1,0)</f>
        <v>0</v>
      </c>
      <c r="Z848">
        <f>+DB!U848</f>
        <v>0</v>
      </c>
      <c r="AA848">
        <f>+IF(DB!F848="AAAC-35",19.5,33)</f>
        <v>33</v>
      </c>
      <c r="AB848">
        <f>+DB!V848</f>
        <v>0</v>
      </c>
      <c r="AC848" t="str">
        <f t="shared" si="41"/>
        <v>56-4</v>
      </c>
      <c r="AD848" s="21" t="s">
        <v>72</v>
      </c>
      <c r="AE848">
        <f>+DB!X848</f>
        <v>0</v>
      </c>
      <c r="AF848" s="22">
        <f>+DB!Y848</f>
        <v>0</v>
      </c>
      <c r="AG848">
        <f>+DB!AK848</f>
        <v>0</v>
      </c>
    </row>
    <row r="849" spans="1:33" x14ac:dyDescent="0.2">
      <c r="A849">
        <f>+DB!C849</f>
        <v>0</v>
      </c>
      <c r="B849">
        <f>+DB!D849</f>
        <v>0</v>
      </c>
      <c r="C849">
        <f>+DB!E849</f>
        <v>0</v>
      </c>
      <c r="D849">
        <f t="shared" si="39"/>
        <v>0</v>
      </c>
      <c r="E849">
        <f>+DB!G849</f>
        <v>0</v>
      </c>
      <c r="F849">
        <f>+DB!H849</f>
        <v>0</v>
      </c>
      <c r="G849">
        <f>+DB!N849</f>
        <v>0</v>
      </c>
      <c r="H849">
        <f>+DB!O849</f>
        <v>0</v>
      </c>
      <c r="I849">
        <f>+DB!I849</f>
        <v>0</v>
      </c>
      <c r="J849">
        <f>+DB!J849</f>
        <v>0</v>
      </c>
      <c r="K849">
        <f>+DB!L849</f>
        <v>0</v>
      </c>
      <c r="L849" t="str">
        <f t="shared" si="40"/>
        <v/>
      </c>
      <c r="M849" t="str">
        <f>+IF(LEFT(DB!M849,3)="13/","CAC","MAD")</f>
        <v>MAD</v>
      </c>
      <c r="N849" t="str">
        <f>+RIGHT(DB!M849,6)</f>
        <v/>
      </c>
      <c r="O849">
        <v>95</v>
      </c>
      <c r="P849">
        <v>5</v>
      </c>
      <c r="Q849">
        <f>+DB!AB849</f>
        <v>0</v>
      </c>
      <c r="R849">
        <f>+DB!K849</f>
        <v>0</v>
      </c>
      <c r="S849">
        <f>+DB!F849</f>
        <v>0</v>
      </c>
      <c r="T849">
        <f>+IF(DB!F849="AAAC-35",1,3)</f>
        <v>3</v>
      </c>
      <c r="U849">
        <f>+DB!R849</f>
        <v>0</v>
      </c>
      <c r="V849">
        <f>+IF(DB!P849="1RI",1,0)+IF(DB!P849="2RI",2,0)</f>
        <v>0</v>
      </c>
      <c r="W849">
        <f>+IF(DB!P849="1RV",1,0)+IF(DB!P849="2RV",2,0)</f>
        <v>0</v>
      </c>
      <c r="X849">
        <f>+IF(DB!P849="RYI",1,0)</f>
        <v>0</v>
      </c>
      <c r="Y849">
        <f>+IF(DB!P849="RYV",1,0)</f>
        <v>0</v>
      </c>
      <c r="Z849">
        <f>+DB!U849</f>
        <v>0</v>
      </c>
      <c r="AA849">
        <f>+IF(DB!F849="AAAC-35",19.5,33)</f>
        <v>33</v>
      </c>
      <c r="AB849">
        <f>+DB!V849</f>
        <v>0</v>
      </c>
      <c r="AC849" t="str">
        <f t="shared" si="41"/>
        <v>56-4</v>
      </c>
      <c r="AD849" s="21" t="s">
        <v>72</v>
      </c>
      <c r="AE849">
        <f>+DB!X849</f>
        <v>0</v>
      </c>
      <c r="AF849" s="22">
        <f>+DB!Y849</f>
        <v>0</v>
      </c>
      <c r="AG849">
        <f>+DB!AK849</f>
        <v>0</v>
      </c>
    </row>
    <row r="850" spans="1:33" x14ac:dyDescent="0.2">
      <c r="A850">
        <f>+DB!C850</f>
        <v>0</v>
      </c>
      <c r="B850">
        <f>+DB!D850</f>
        <v>0</v>
      </c>
      <c r="C850">
        <f>+DB!E850</f>
        <v>0</v>
      </c>
      <c r="D850">
        <f t="shared" si="39"/>
        <v>0</v>
      </c>
      <c r="E850">
        <f>+DB!G850</f>
        <v>0</v>
      </c>
      <c r="F850">
        <f>+DB!H850</f>
        <v>0</v>
      </c>
      <c r="G850">
        <f>+DB!N850</f>
        <v>0</v>
      </c>
      <c r="H850">
        <f>+DB!O850</f>
        <v>0</v>
      </c>
      <c r="I850">
        <f>+DB!I850</f>
        <v>0</v>
      </c>
      <c r="J850">
        <f>+DB!J850</f>
        <v>0</v>
      </c>
      <c r="K850">
        <f>+DB!L850</f>
        <v>0</v>
      </c>
      <c r="L850" t="str">
        <f t="shared" si="40"/>
        <v/>
      </c>
      <c r="M850" t="str">
        <f>+IF(LEFT(DB!M850,3)="13/","CAC","MAD")</f>
        <v>MAD</v>
      </c>
      <c r="N850" t="str">
        <f>+RIGHT(DB!M850,6)</f>
        <v/>
      </c>
      <c r="O850">
        <v>95</v>
      </c>
      <c r="P850">
        <v>5</v>
      </c>
      <c r="Q850">
        <f>+DB!AB850</f>
        <v>0</v>
      </c>
      <c r="R850">
        <f>+DB!K850</f>
        <v>0</v>
      </c>
      <c r="S850">
        <f>+DB!F850</f>
        <v>0</v>
      </c>
      <c r="T850">
        <f>+IF(DB!F850="AAAC-35",1,3)</f>
        <v>3</v>
      </c>
      <c r="U850">
        <f>+DB!R850</f>
        <v>0</v>
      </c>
      <c r="V850">
        <f>+IF(DB!P850="1RI",1,0)+IF(DB!P850="2RI",2,0)</f>
        <v>0</v>
      </c>
      <c r="W850">
        <f>+IF(DB!P850="1RV",1,0)+IF(DB!P850="2RV",2,0)</f>
        <v>0</v>
      </c>
      <c r="X850">
        <f>+IF(DB!P850="RYI",1,0)</f>
        <v>0</v>
      </c>
      <c r="Y850">
        <f>+IF(DB!P850="RYV",1,0)</f>
        <v>0</v>
      </c>
      <c r="Z850">
        <f>+DB!U850</f>
        <v>0</v>
      </c>
      <c r="AA850">
        <f>+IF(DB!F850="AAAC-35",19.5,33)</f>
        <v>33</v>
      </c>
      <c r="AB850">
        <f>+DB!V850</f>
        <v>0</v>
      </c>
      <c r="AC850" t="str">
        <f t="shared" si="41"/>
        <v>56-4</v>
      </c>
      <c r="AD850" s="21" t="s">
        <v>72</v>
      </c>
      <c r="AE850">
        <f>+DB!X850</f>
        <v>0</v>
      </c>
      <c r="AF850" s="22">
        <f>+DB!Y850</f>
        <v>0</v>
      </c>
      <c r="AG850">
        <f>+DB!AK850</f>
        <v>0</v>
      </c>
    </row>
    <row r="851" spans="1:33" x14ac:dyDescent="0.2">
      <c r="A851">
        <f>+DB!C851</f>
        <v>0</v>
      </c>
      <c r="B851">
        <f>+DB!D851</f>
        <v>0</v>
      </c>
      <c r="C851">
        <f>+DB!E851</f>
        <v>0</v>
      </c>
      <c r="D851">
        <f t="shared" si="39"/>
        <v>0</v>
      </c>
      <c r="E851">
        <f>+DB!G851</f>
        <v>0</v>
      </c>
      <c r="F851">
        <f>+DB!H851</f>
        <v>0</v>
      </c>
      <c r="G851">
        <f>+DB!N851</f>
        <v>0</v>
      </c>
      <c r="H851">
        <f>+DB!O851</f>
        <v>0</v>
      </c>
      <c r="I851">
        <f>+DB!I851</f>
        <v>0</v>
      </c>
      <c r="J851">
        <f>+DB!J851</f>
        <v>0</v>
      </c>
      <c r="K851">
        <f>+DB!L851</f>
        <v>0</v>
      </c>
      <c r="L851" t="str">
        <f t="shared" si="40"/>
        <v/>
      </c>
      <c r="M851" t="str">
        <f>+IF(LEFT(DB!M851,3)="13/","CAC","MAD")</f>
        <v>MAD</v>
      </c>
      <c r="N851" t="str">
        <f>+RIGHT(DB!M851,6)</f>
        <v/>
      </c>
      <c r="O851">
        <v>95</v>
      </c>
      <c r="P851">
        <v>5</v>
      </c>
      <c r="Q851">
        <f>+DB!AB851</f>
        <v>0</v>
      </c>
      <c r="R851">
        <f>+DB!K851</f>
        <v>0</v>
      </c>
      <c r="S851">
        <f>+DB!F851</f>
        <v>0</v>
      </c>
      <c r="T851">
        <f>+IF(DB!F851="AAAC-35",1,3)</f>
        <v>3</v>
      </c>
      <c r="U851">
        <f>+DB!R851</f>
        <v>0</v>
      </c>
      <c r="V851">
        <f>+IF(DB!P851="1RI",1,0)+IF(DB!P851="2RI",2,0)</f>
        <v>0</v>
      </c>
      <c r="W851">
        <f>+IF(DB!P851="1RV",1,0)+IF(DB!P851="2RV",2,0)</f>
        <v>0</v>
      </c>
      <c r="X851">
        <f>+IF(DB!P851="RYI",1,0)</f>
        <v>0</v>
      </c>
      <c r="Y851">
        <f>+IF(DB!P851="RYV",1,0)</f>
        <v>0</v>
      </c>
      <c r="Z851">
        <f>+DB!U851</f>
        <v>0</v>
      </c>
      <c r="AA851">
        <f>+IF(DB!F851="AAAC-35",19.5,33)</f>
        <v>33</v>
      </c>
      <c r="AB851">
        <f>+DB!V851</f>
        <v>0</v>
      </c>
      <c r="AC851" t="str">
        <f t="shared" si="41"/>
        <v>56-4</v>
      </c>
      <c r="AD851" s="21" t="s">
        <v>72</v>
      </c>
      <c r="AE851">
        <f>+DB!X851</f>
        <v>0</v>
      </c>
      <c r="AF851" s="22">
        <f>+DB!Y851</f>
        <v>0</v>
      </c>
      <c r="AG851">
        <f>+DB!AK851</f>
        <v>0</v>
      </c>
    </row>
    <row r="852" spans="1:33" x14ac:dyDescent="0.2">
      <c r="A852">
        <f>+DB!C852</f>
        <v>0</v>
      </c>
      <c r="B852">
        <f>+DB!D852</f>
        <v>0</v>
      </c>
      <c r="C852">
        <f>+DB!E852</f>
        <v>0</v>
      </c>
      <c r="D852">
        <f t="shared" si="39"/>
        <v>0</v>
      </c>
      <c r="E852">
        <f>+DB!G852</f>
        <v>0</v>
      </c>
      <c r="F852">
        <f>+DB!H852</f>
        <v>0</v>
      </c>
      <c r="G852">
        <f>+DB!N852</f>
        <v>0</v>
      </c>
      <c r="H852">
        <f>+DB!O852</f>
        <v>0</v>
      </c>
      <c r="I852">
        <f>+DB!I852</f>
        <v>0</v>
      </c>
      <c r="J852">
        <f>+DB!J852</f>
        <v>0</v>
      </c>
      <c r="K852">
        <f>+DB!L852</f>
        <v>0</v>
      </c>
      <c r="L852" t="str">
        <f t="shared" si="40"/>
        <v/>
      </c>
      <c r="M852" t="str">
        <f>+IF(LEFT(DB!M852,3)="13/","CAC","MAD")</f>
        <v>MAD</v>
      </c>
      <c r="N852" t="str">
        <f>+RIGHT(DB!M852,6)</f>
        <v/>
      </c>
      <c r="O852">
        <v>95</v>
      </c>
      <c r="P852">
        <v>5</v>
      </c>
      <c r="Q852">
        <f>+DB!AB852</f>
        <v>0</v>
      </c>
      <c r="R852">
        <f>+DB!K852</f>
        <v>0</v>
      </c>
      <c r="S852">
        <f>+DB!F852</f>
        <v>0</v>
      </c>
      <c r="T852">
        <f>+IF(DB!F852="AAAC-35",1,3)</f>
        <v>3</v>
      </c>
      <c r="U852">
        <f>+DB!R852</f>
        <v>0</v>
      </c>
      <c r="V852">
        <f>+IF(DB!P852="1RI",1,0)+IF(DB!P852="2RI",2,0)</f>
        <v>0</v>
      </c>
      <c r="W852">
        <f>+IF(DB!P852="1RV",1,0)+IF(DB!P852="2RV",2,0)</f>
        <v>0</v>
      </c>
      <c r="X852">
        <f>+IF(DB!P852="RYI",1,0)</f>
        <v>0</v>
      </c>
      <c r="Y852">
        <f>+IF(DB!P852="RYV",1,0)</f>
        <v>0</v>
      </c>
      <c r="Z852">
        <f>+DB!U852</f>
        <v>0</v>
      </c>
      <c r="AA852">
        <f>+IF(DB!F852="AAAC-35",19.5,33)</f>
        <v>33</v>
      </c>
      <c r="AB852">
        <f>+DB!V852</f>
        <v>0</v>
      </c>
      <c r="AC852" t="str">
        <f t="shared" si="41"/>
        <v>56-4</v>
      </c>
      <c r="AD852" s="21" t="s">
        <v>72</v>
      </c>
      <c r="AE852">
        <f>+DB!X852</f>
        <v>0</v>
      </c>
      <c r="AF852" s="22">
        <f>+DB!Y852</f>
        <v>0</v>
      </c>
      <c r="AG852">
        <f>+DB!AK852</f>
        <v>0</v>
      </c>
    </row>
    <row r="853" spans="1:33" x14ac:dyDescent="0.2">
      <c r="A853">
        <f>+DB!C853</f>
        <v>0</v>
      </c>
      <c r="B853">
        <f>+DB!D853</f>
        <v>0</v>
      </c>
      <c r="C853">
        <f>+DB!E853</f>
        <v>0</v>
      </c>
      <c r="D853">
        <f t="shared" si="39"/>
        <v>0</v>
      </c>
      <c r="E853">
        <f>+DB!G853</f>
        <v>0</v>
      </c>
      <c r="F853">
        <f>+DB!H853</f>
        <v>0</v>
      </c>
      <c r="G853">
        <f>+DB!N853</f>
        <v>0</v>
      </c>
      <c r="H853">
        <f>+DB!O853</f>
        <v>0</v>
      </c>
      <c r="I853">
        <f>+DB!I853</f>
        <v>0</v>
      </c>
      <c r="J853">
        <f>+DB!J853</f>
        <v>0</v>
      </c>
      <c r="K853">
        <f>+DB!L853</f>
        <v>0</v>
      </c>
      <c r="L853" t="str">
        <f t="shared" si="40"/>
        <v/>
      </c>
      <c r="M853" t="str">
        <f>+IF(LEFT(DB!M853,3)="13/","CAC","MAD")</f>
        <v>MAD</v>
      </c>
      <c r="N853" t="str">
        <f>+RIGHT(DB!M853,6)</f>
        <v/>
      </c>
      <c r="O853">
        <v>95</v>
      </c>
      <c r="P853">
        <v>5</v>
      </c>
      <c r="Q853">
        <f>+DB!AB853</f>
        <v>0</v>
      </c>
      <c r="R853">
        <f>+DB!K853</f>
        <v>0</v>
      </c>
      <c r="S853">
        <f>+DB!F853</f>
        <v>0</v>
      </c>
      <c r="T853">
        <f>+IF(DB!F853="AAAC-35",1,3)</f>
        <v>3</v>
      </c>
      <c r="U853">
        <f>+DB!R853</f>
        <v>0</v>
      </c>
      <c r="V853">
        <f>+IF(DB!P853="1RI",1,0)+IF(DB!P853="2RI",2,0)</f>
        <v>0</v>
      </c>
      <c r="W853">
        <f>+IF(DB!P853="1RV",1,0)+IF(DB!P853="2RV",2,0)</f>
        <v>0</v>
      </c>
      <c r="X853">
        <f>+IF(DB!P853="RYI",1,0)</f>
        <v>0</v>
      </c>
      <c r="Y853">
        <f>+IF(DB!P853="RYV",1,0)</f>
        <v>0</v>
      </c>
      <c r="Z853">
        <f>+DB!U853</f>
        <v>0</v>
      </c>
      <c r="AA853">
        <f>+IF(DB!F853="AAAC-35",19.5,33)</f>
        <v>33</v>
      </c>
      <c r="AB853">
        <f>+DB!V853</f>
        <v>0</v>
      </c>
      <c r="AC853" t="str">
        <f t="shared" si="41"/>
        <v>56-4</v>
      </c>
      <c r="AD853" s="21" t="s">
        <v>72</v>
      </c>
      <c r="AE853">
        <f>+DB!X853</f>
        <v>0</v>
      </c>
      <c r="AF853" s="22">
        <f>+DB!Y853</f>
        <v>0</v>
      </c>
      <c r="AG853">
        <f>+DB!AK853</f>
        <v>0</v>
      </c>
    </row>
    <row r="854" spans="1:33" x14ac:dyDescent="0.2">
      <c r="A854">
        <f>+DB!C854</f>
        <v>0</v>
      </c>
      <c r="B854">
        <f>+DB!D854</f>
        <v>0</v>
      </c>
      <c r="C854">
        <f>+DB!E854</f>
        <v>0</v>
      </c>
      <c r="D854">
        <f t="shared" si="39"/>
        <v>0</v>
      </c>
      <c r="E854">
        <f>+DB!G854</f>
        <v>0</v>
      </c>
      <c r="F854">
        <f>+DB!H854</f>
        <v>0</v>
      </c>
      <c r="G854">
        <f>+DB!N854</f>
        <v>0</v>
      </c>
      <c r="H854">
        <f>+DB!O854</f>
        <v>0</v>
      </c>
      <c r="I854">
        <f>+DB!I854</f>
        <v>0</v>
      </c>
      <c r="J854">
        <f>+DB!J854</f>
        <v>0</v>
      </c>
      <c r="K854">
        <f>+DB!L854</f>
        <v>0</v>
      </c>
      <c r="L854" t="str">
        <f t="shared" si="40"/>
        <v/>
      </c>
      <c r="M854" t="str">
        <f>+IF(LEFT(DB!M854,3)="13/","CAC","MAD")</f>
        <v>MAD</v>
      </c>
      <c r="N854" t="str">
        <f>+RIGHT(DB!M854,6)</f>
        <v/>
      </c>
      <c r="O854">
        <v>95</v>
      </c>
      <c r="P854">
        <v>5</v>
      </c>
      <c r="Q854">
        <f>+DB!AB854</f>
        <v>0</v>
      </c>
      <c r="R854">
        <f>+DB!K854</f>
        <v>0</v>
      </c>
      <c r="S854">
        <f>+DB!F854</f>
        <v>0</v>
      </c>
      <c r="T854">
        <f>+IF(DB!F854="AAAC-35",1,3)</f>
        <v>3</v>
      </c>
      <c r="U854">
        <f>+DB!R854</f>
        <v>0</v>
      </c>
      <c r="V854">
        <f>+IF(DB!P854="1RI",1,0)+IF(DB!P854="2RI",2,0)</f>
        <v>0</v>
      </c>
      <c r="W854">
        <f>+IF(DB!P854="1RV",1,0)+IF(DB!P854="2RV",2,0)</f>
        <v>0</v>
      </c>
      <c r="X854">
        <f>+IF(DB!P854="RYI",1,0)</f>
        <v>0</v>
      </c>
      <c r="Y854">
        <f>+IF(DB!P854="RYV",1,0)</f>
        <v>0</v>
      </c>
      <c r="Z854">
        <f>+DB!U854</f>
        <v>0</v>
      </c>
      <c r="AA854">
        <f>+IF(DB!F854="AAAC-35",19.5,33)</f>
        <v>33</v>
      </c>
      <c r="AB854">
        <f>+DB!V854</f>
        <v>0</v>
      </c>
      <c r="AC854" t="str">
        <f t="shared" si="41"/>
        <v>56-4</v>
      </c>
      <c r="AD854" s="21" t="s">
        <v>72</v>
      </c>
      <c r="AE854">
        <f>+DB!X854</f>
        <v>0</v>
      </c>
      <c r="AF854" s="22">
        <f>+DB!Y854</f>
        <v>0</v>
      </c>
      <c r="AG854">
        <f>+DB!AK854</f>
        <v>0</v>
      </c>
    </row>
    <row r="855" spans="1:33" x14ac:dyDescent="0.2">
      <c r="A855">
        <f>+DB!C855</f>
        <v>0</v>
      </c>
      <c r="B855">
        <f>+DB!D855</f>
        <v>0</v>
      </c>
      <c r="C855">
        <f>+DB!E855</f>
        <v>0</v>
      </c>
      <c r="D855">
        <f t="shared" si="39"/>
        <v>0</v>
      </c>
      <c r="E855">
        <f>+DB!G855</f>
        <v>0</v>
      </c>
      <c r="F855">
        <f>+DB!H855</f>
        <v>0</v>
      </c>
      <c r="G855">
        <f>+DB!N855</f>
        <v>0</v>
      </c>
      <c r="H855">
        <f>+DB!O855</f>
        <v>0</v>
      </c>
      <c r="I855">
        <f>+DB!I855</f>
        <v>0</v>
      </c>
      <c r="J855">
        <f>+DB!J855</f>
        <v>0</v>
      </c>
      <c r="K855">
        <f>+DB!L855</f>
        <v>0</v>
      </c>
      <c r="L855" t="str">
        <f t="shared" si="40"/>
        <v/>
      </c>
      <c r="M855" t="str">
        <f>+IF(LEFT(DB!M855,3)="13/","CAC","MAD")</f>
        <v>MAD</v>
      </c>
      <c r="N855" t="str">
        <f>+RIGHT(DB!M855,6)</f>
        <v/>
      </c>
      <c r="O855">
        <v>95</v>
      </c>
      <c r="P855">
        <v>5</v>
      </c>
      <c r="Q855">
        <f>+DB!AB855</f>
        <v>0</v>
      </c>
      <c r="R855">
        <f>+DB!K855</f>
        <v>0</v>
      </c>
      <c r="S855">
        <f>+DB!F855</f>
        <v>0</v>
      </c>
      <c r="T855">
        <f>+IF(DB!F855="AAAC-35",1,3)</f>
        <v>3</v>
      </c>
      <c r="U855">
        <f>+DB!R855</f>
        <v>0</v>
      </c>
      <c r="V855">
        <f>+IF(DB!P855="1RI",1,0)+IF(DB!P855="2RI",2,0)</f>
        <v>0</v>
      </c>
      <c r="W855">
        <f>+IF(DB!P855="1RV",1,0)+IF(DB!P855="2RV",2,0)</f>
        <v>0</v>
      </c>
      <c r="X855">
        <f>+IF(DB!P855="RYI",1,0)</f>
        <v>0</v>
      </c>
      <c r="Y855">
        <f>+IF(DB!P855="RYV",1,0)</f>
        <v>0</v>
      </c>
      <c r="Z855">
        <f>+DB!U855</f>
        <v>0</v>
      </c>
      <c r="AA855">
        <f>+IF(DB!F855="AAAC-35",19.5,33)</f>
        <v>33</v>
      </c>
      <c r="AB855">
        <f>+DB!V855</f>
        <v>0</v>
      </c>
      <c r="AC855" t="str">
        <f t="shared" si="41"/>
        <v>56-4</v>
      </c>
      <c r="AD855" s="21" t="s">
        <v>72</v>
      </c>
      <c r="AE855">
        <f>+DB!X855</f>
        <v>0</v>
      </c>
      <c r="AF855" s="22">
        <f>+DB!Y855</f>
        <v>0</v>
      </c>
      <c r="AG855">
        <f>+DB!AK855</f>
        <v>0</v>
      </c>
    </row>
    <row r="856" spans="1:33" x14ac:dyDescent="0.2">
      <c r="A856">
        <f>+DB!C856</f>
        <v>0</v>
      </c>
      <c r="B856">
        <f>+DB!D856</f>
        <v>0</v>
      </c>
      <c r="C856">
        <f>+DB!E856</f>
        <v>0</v>
      </c>
      <c r="D856">
        <f t="shared" si="39"/>
        <v>0</v>
      </c>
      <c r="E856">
        <f>+DB!G856</f>
        <v>0</v>
      </c>
      <c r="F856">
        <f>+DB!H856</f>
        <v>0</v>
      </c>
      <c r="G856">
        <f>+DB!N856</f>
        <v>0</v>
      </c>
      <c r="H856">
        <f>+DB!O856</f>
        <v>0</v>
      </c>
      <c r="I856">
        <f>+DB!I856</f>
        <v>0</v>
      </c>
      <c r="J856">
        <f>+DB!J856</f>
        <v>0</v>
      </c>
      <c r="K856">
        <f>+DB!L856</f>
        <v>0</v>
      </c>
      <c r="L856" t="str">
        <f t="shared" si="40"/>
        <v/>
      </c>
      <c r="M856" t="str">
        <f>+IF(LEFT(DB!M856,3)="13/","CAC","MAD")</f>
        <v>MAD</v>
      </c>
      <c r="N856" t="str">
        <f>+RIGHT(DB!M856,6)</f>
        <v/>
      </c>
      <c r="O856">
        <v>95</v>
      </c>
      <c r="P856">
        <v>5</v>
      </c>
      <c r="Q856">
        <f>+DB!AB856</f>
        <v>0</v>
      </c>
      <c r="R856">
        <f>+DB!K856</f>
        <v>0</v>
      </c>
      <c r="S856">
        <f>+DB!F856</f>
        <v>0</v>
      </c>
      <c r="T856">
        <f>+IF(DB!F856="AAAC-35",1,3)</f>
        <v>3</v>
      </c>
      <c r="U856">
        <f>+DB!R856</f>
        <v>0</v>
      </c>
      <c r="V856">
        <f>+IF(DB!P856="1RI",1,0)+IF(DB!P856="2RI",2,0)</f>
        <v>0</v>
      </c>
      <c r="W856">
        <f>+IF(DB!P856="1RV",1,0)+IF(DB!P856="2RV",2,0)</f>
        <v>0</v>
      </c>
      <c r="X856">
        <f>+IF(DB!P856="RYI",1,0)</f>
        <v>0</v>
      </c>
      <c r="Y856">
        <f>+IF(DB!P856="RYV",1,0)</f>
        <v>0</v>
      </c>
      <c r="Z856">
        <f>+DB!U856</f>
        <v>0</v>
      </c>
      <c r="AA856">
        <f>+IF(DB!F856="AAAC-35",19.5,33)</f>
        <v>33</v>
      </c>
      <c r="AB856">
        <f>+DB!V856</f>
        <v>0</v>
      </c>
      <c r="AC856" t="str">
        <f t="shared" si="41"/>
        <v>56-4</v>
      </c>
      <c r="AD856" s="21" t="s">
        <v>72</v>
      </c>
      <c r="AE856">
        <f>+DB!X856</f>
        <v>0</v>
      </c>
      <c r="AF856" s="22">
        <f>+DB!Y856</f>
        <v>0</v>
      </c>
      <c r="AG856">
        <f>+DB!AK856</f>
        <v>0</v>
      </c>
    </row>
    <row r="857" spans="1:33" x14ac:dyDescent="0.2">
      <c r="A857">
        <f>+DB!C857</f>
        <v>0</v>
      </c>
      <c r="B857">
        <f>+DB!D857</f>
        <v>0</v>
      </c>
      <c r="C857">
        <f>+DB!E857</f>
        <v>0</v>
      </c>
      <c r="D857">
        <f t="shared" si="39"/>
        <v>0</v>
      </c>
      <c r="E857">
        <f>+DB!G857</f>
        <v>0</v>
      </c>
      <c r="F857">
        <f>+DB!H857</f>
        <v>0</v>
      </c>
      <c r="G857">
        <f>+DB!N857</f>
        <v>0</v>
      </c>
      <c r="H857">
        <f>+DB!O857</f>
        <v>0</v>
      </c>
      <c r="I857">
        <f>+DB!I857</f>
        <v>0</v>
      </c>
      <c r="J857">
        <f>+DB!J857</f>
        <v>0</v>
      </c>
      <c r="K857">
        <f>+DB!L857</f>
        <v>0</v>
      </c>
      <c r="L857" t="str">
        <f t="shared" si="40"/>
        <v/>
      </c>
      <c r="M857" t="str">
        <f>+IF(LEFT(DB!M857,3)="13/","CAC","MAD")</f>
        <v>MAD</v>
      </c>
      <c r="N857" t="str">
        <f>+RIGHT(DB!M857,6)</f>
        <v/>
      </c>
      <c r="O857">
        <v>95</v>
      </c>
      <c r="P857">
        <v>5</v>
      </c>
      <c r="Q857">
        <f>+DB!AB857</f>
        <v>0</v>
      </c>
      <c r="R857">
        <f>+DB!K857</f>
        <v>0</v>
      </c>
      <c r="S857">
        <f>+DB!F857</f>
        <v>0</v>
      </c>
      <c r="T857">
        <f>+IF(DB!F857="AAAC-35",1,3)</f>
        <v>3</v>
      </c>
      <c r="U857">
        <f>+DB!R857</f>
        <v>0</v>
      </c>
      <c r="V857">
        <f>+IF(DB!P857="1RI",1,0)+IF(DB!P857="2RI",2,0)</f>
        <v>0</v>
      </c>
      <c r="W857">
        <f>+IF(DB!P857="1RV",1,0)+IF(DB!P857="2RV",2,0)</f>
        <v>0</v>
      </c>
      <c r="X857">
        <f>+IF(DB!P857="RYI",1,0)</f>
        <v>0</v>
      </c>
      <c r="Y857">
        <f>+IF(DB!P857="RYV",1,0)</f>
        <v>0</v>
      </c>
      <c r="Z857">
        <f>+DB!U857</f>
        <v>0</v>
      </c>
      <c r="AA857">
        <f>+IF(DB!F857="AAAC-35",19.5,33)</f>
        <v>33</v>
      </c>
      <c r="AB857">
        <f>+DB!V857</f>
        <v>0</v>
      </c>
      <c r="AC857" t="str">
        <f t="shared" si="41"/>
        <v>56-4</v>
      </c>
      <c r="AD857" s="21" t="s">
        <v>72</v>
      </c>
      <c r="AE857">
        <f>+DB!X857</f>
        <v>0</v>
      </c>
      <c r="AF857" s="22">
        <f>+DB!Y857</f>
        <v>0</v>
      </c>
      <c r="AG857">
        <f>+DB!AK857</f>
        <v>0</v>
      </c>
    </row>
    <row r="858" spans="1:33" x14ac:dyDescent="0.2">
      <c r="A858">
        <f>+DB!C858</f>
        <v>0</v>
      </c>
      <c r="B858">
        <f>+DB!D858</f>
        <v>0</v>
      </c>
      <c r="C858">
        <f>+DB!E858</f>
        <v>0</v>
      </c>
      <c r="D858">
        <f t="shared" si="39"/>
        <v>0</v>
      </c>
      <c r="E858">
        <f>+DB!G858</f>
        <v>0</v>
      </c>
      <c r="F858">
        <f>+DB!H858</f>
        <v>0</v>
      </c>
      <c r="G858">
        <f>+DB!N858</f>
        <v>0</v>
      </c>
      <c r="H858">
        <f>+DB!O858</f>
        <v>0</v>
      </c>
      <c r="I858">
        <f>+DB!I858</f>
        <v>0</v>
      </c>
      <c r="J858">
        <f>+DB!J858</f>
        <v>0</v>
      </c>
      <c r="K858">
        <f>+DB!L858</f>
        <v>0</v>
      </c>
      <c r="L858" t="str">
        <f t="shared" si="40"/>
        <v/>
      </c>
      <c r="M858" t="str">
        <f>+IF(LEFT(DB!M858,3)="13/","CAC","MAD")</f>
        <v>MAD</v>
      </c>
      <c r="N858" t="str">
        <f>+RIGHT(DB!M858,6)</f>
        <v/>
      </c>
      <c r="O858">
        <v>95</v>
      </c>
      <c r="P858">
        <v>5</v>
      </c>
      <c r="Q858">
        <f>+DB!AB858</f>
        <v>0</v>
      </c>
      <c r="R858">
        <f>+DB!K858</f>
        <v>0</v>
      </c>
      <c r="S858">
        <f>+DB!F858</f>
        <v>0</v>
      </c>
      <c r="T858">
        <f>+IF(DB!F858="AAAC-35",1,3)</f>
        <v>3</v>
      </c>
      <c r="U858">
        <f>+DB!R858</f>
        <v>0</v>
      </c>
      <c r="V858">
        <f>+IF(DB!P858="1RI",1,0)+IF(DB!P858="2RI",2,0)</f>
        <v>0</v>
      </c>
      <c r="W858">
        <f>+IF(DB!P858="1RV",1,0)+IF(DB!P858="2RV",2,0)</f>
        <v>0</v>
      </c>
      <c r="X858">
        <f>+IF(DB!P858="RYI",1,0)</f>
        <v>0</v>
      </c>
      <c r="Y858">
        <f>+IF(DB!P858="RYV",1,0)</f>
        <v>0</v>
      </c>
      <c r="Z858">
        <f>+DB!U858</f>
        <v>0</v>
      </c>
      <c r="AA858">
        <f>+IF(DB!F858="AAAC-35",19.5,33)</f>
        <v>33</v>
      </c>
      <c r="AB858">
        <f>+DB!V858</f>
        <v>0</v>
      </c>
      <c r="AC858" t="str">
        <f t="shared" si="41"/>
        <v>56-4</v>
      </c>
      <c r="AD858" s="21" t="s">
        <v>72</v>
      </c>
      <c r="AE858">
        <f>+DB!X858</f>
        <v>0</v>
      </c>
      <c r="AF858" s="22">
        <f>+DB!Y858</f>
        <v>0</v>
      </c>
      <c r="AG858">
        <f>+DB!AK858</f>
        <v>0</v>
      </c>
    </row>
    <row r="859" spans="1:33" x14ac:dyDescent="0.2">
      <c r="A859">
        <f>+DB!C859</f>
        <v>0</v>
      </c>
      <c r="B859">
        <f>+DB!D859</f>
        <v>0</v>
      </c>
      <c r="C859">
        <f>+DB!E859</f>
        <v>0</v>
      </c>
      <c r="D859">
        <f t="shared" si="39"/>
        <v>0</v>
      </c>
      <c r="E859">
        <f>+DB!G859</f>
        <v>0</v>
      </c>
      <c r="F859">
        <f>+DB!H859</f>
        <v>0</v>
      </c>
      <c r="G859">
        <f>+DB!N859</f>
        <v>0</v>
      </c>
      <c r="H859">
        <f>+DB!O859</f>
        <v>0</v>
      </c>
      <c r="I859">
        <f>+DB!I859</f>
        <v>0</v>
      </c>
      <c r="J859">
        <f>+DB!J859</f>
        <v>0</v>
      </c>
      <c r="K859">
        <f>+DB!L859</f>
        <v>0</v>
      </c>
      <c r="L859" t="str">
        <f t="shared" si="40"/>
        <v/>
      </c>
      <c r="M859" t="str">
        <f>+IF(LEFT(DB!M859,3)="13/","CAC","MAD")</f>
        <v>MAD</v>
      </c>
      <c r="N859" t="str">
        <f>+RIGHT(DB!M859,6)</f>
        <v/>
      </c>
      <c r="O859">
        <v>95</v>
      </c>
      <c r="P859">
        <v>5</v>
      </c>
      <c r="Q859">
        <f>+DB!AB859</f>
        <v>0</v>
      </c>
      <c r="R859">
        <f>+DB!K859</f>
        <v>0</v>
      </c>
      <c r="S859">
        <f>+DB!F859</f>
        <v>0</v>
      </c>
      <c r="T859">
        <f>+IF(DB!F859="AAAC-35",1,3)</f>
        <v>3</v>
      </c>
      <c r="U859">
        <f>+DB!R859</f>
        <v>0</v>
      </c>
      <c r="V859">
        <f>+IF(DB!P859="1RI",1,0)+IF(DB!P859="2RI",2,0)</f>
        <v>0</v>
      </c>
      <c r="W859">
        <f>+IF(DB!P859="1RV",1,0)+IF(DB!P859="2RV",2,0)</f>
        <v>0</v>
      </c>
      <c r="X859">
        <f>+IF(DB!P859="RYI",1,0)</f>
        <v>0</v>
      </c>
      <c r="Y859">
        <f>+IF(DB!P859="RYV",1,0)</f>
        <v>0</v>
      </c>
      <c r="Z859">
        <f>+DB!U859</f>
        <v>0</v>
      </c>
      <c r="AA859">
        <f>+IF(DB!F859="AAAC-35",19.5,33)</f>
        <v>33</v>
      </c>
      <c r="AB859">
        <f>+DB!V859</f>
        <v>0</v>
      </c>
      <c r="AC859" t="str">
        <f t="shared" si="41"/>
        <v>56-4</v>
      </c>
      <c r="AD859" s="21" t="s">
        <v>72</v>
      </c>
      <c r="AE859">
        <f>+DB!X859</f>
        <v>0</v>
      </c>
      <c r="AF859" s="22">
        <f>+DB!Y859</f>
        <v>0</v>
      </c>
      <c r="AG859">
        <f>+DB!AK859</f>
        <v>0</v>
      </c>
    </row>
    <row r="860" spans="1:33" x14ac:dyDescent="0.2">
      <c r="A860">
        <f>+DB!C860</f>
        <v>0</v>
      </c>
      <c r="B860">
        <f>+DB!D860</f>
        <v>0</v>
      </c>
      <c r="C860">
        <f>+DB!E860</f>
        <v>0</v>
      </c>
      <c r="D860">
        <f t="shared" si="39"/>
        <v>0</v>
      </c>
      <c r="E860">
        <f>+DB!G860</f>
        <v>0</v>
      </c>
      <c r="F860">
        <f>+DB!H860</f>
        <v>0</v>
      </c>
      <c r="G860">
        <f>+DB!N860</f>
        <v>0</v>
      </c>
      <c r="H860">
        <f>+DB!O860</f>
        <v>0</v>
      </c>
      <c r="I860">
        <f>+DB!I860</f>
        <v>0</v>
      </c>
      <c r="J860">
        <f>+DB!J860</f>
        <v>0</v>
      </c>
      <c r="K860">
        <f>+DB!L860</f>
        <v>0</v>
      </c>
      <c r="L860" t="str">
        <f t="shared" si="40"/>
        <v/>
      </c>
      <c r="M860" t="str">
        <f>+IF(LEFT(DB!M860,3)="13/","CAC","MAD")</f>
        <v>MAD</v>
      </c>
      <c r="N860" t="str">
        <f>+RIGHT(DB!M860,6)</f>
        <v/>
      </c>
      <c r="O860">
        <v>95</v>
      </c>
      <c r="P860">
        <v>5</v>
      </c>
      <c r="Q860">
        <f>+DB!AB860</f>
        <v>0</v>
      </c>
      <c r="R860">
        <f>+DB!K860</f>
        <v>0</v>
      </c>
      <c r="S860">
        <f>+DB!F860</f>
        <v>0</v>
      </c>
      <c r="T860">
        <f>+IF(DB!F860="AAAC-35",1,3)</f>
        <v>3</v>
      </c>
      <c r="U860">
        <f>+DB!R860</f>
        <v>0</v>
      </c>
      <c r="V860">
        <f>+IF(DB!P860="1RI",1,0)+IF(DB!P860="2RI",2,0)</f>
        <v>0</v>
      </c>
      <c r="W860">
        <f>+IF(DB!P860="1RV",1,0)+IF(DB!P860="2RV",2,0)</f>
        <v>0</v>
      </c>
      <c r="X860">
        <f>+IF(DB!P860="RYI",1,0)</f>
        <v>0</v>
      </c>
      <c r="Y860">
        <f>+IF(DB!P860="RYV",1,0)</f>
        <v>0</v>
      </c>
      <c r="Z860">
        <f>+DB!U860</f>
        <v>0</v>
      </c>
      <c r="AA860">
        <f>+IF(DB!F860="AAAC-35",19.5,33)</f>
        <v>33</v>
      </c>
      <c r="AB860">
        <f>+DB!V860</f>
        <v>0</v>
      </c>
      <c r="AC860" t="str">
        <f t="shared" si="41"/>
        <v>56-4</v>
      </c>
      <c r="AD860" s="21" t="s">
        <v>72</v>
      </c>
      <c r="AE860">
        <f>+DB!X860</f>
        <v>0</v>
      </c>
      <c r="AF860" s="22">
        <f>+DB!Y860</f>
        <v>0</v>
      </c>
      <c r="AG860">
        <f>+DB!AK860</f>
        <v>0</v>
      </c>
    </row>
    <row r="861" spans="1:33" x14ac:dyDescent="0.2">
      <c r="A861">
        <f>+DB!C861</f>
        <v>0</v>
      </c>
      <c r="B861">
        <f>+DB!D861</f>
        <v>0</v>
      </c>
      <c r="C861">
        <f>+DB!E861</f>
        <v>0</v>
      </c>
      <c r="D861">
        <f t="shared" si="39"/>
        <v>0</v>
      </c>
      <c r="E861">
        <f>+DB!G861</f>
        <v>0</v>
      </c>
      <c r="F861">
        <f>+DB!H861</f>
        <v>0</v>
      </c>
      <c r="G861">
        <f>+DB!N861</f>
        <v>0</v>
      </c>
      <c r="H861">
        <f>+DB!O861</f>
        <v>0</v>
      </c>
      <c r="I861">
        <f>+DB!I861</f>
        <v>0</v>
      </c>
      <c r="J861">
        <f>+DB!J861</f>
        <v>0</v>
      </c>
      <c r="K861">
        <f>+DB!L861</f>
        <v>0</v>
      </c>
      <c r="L861" t="str">
        <f t="shared" si="40"/>
        <v/>
      </c>
      <c r="M861" t="str">
        <f>+IF(LEFT(DB!M861,3)="13/","CAC","MAD")</f>
        <v>MAD</v>
      </c>
      <c r="N861" t="str">
        <f>+RIGHT(DB!M861,6)</f>
        <v/>
      </c>
      <c r="O861">
        <v>95</v>
      </c>
      <c r="P861">
        <v>5</v>
      </c>
      <c r="Q861">
        <f>+DB!AB861</f>
        <v>0</v>
      </c>
      <c r="R861">
        <f>+DB!K861</f>
        <v>0</v>
      </c>
      <c r="S861">
        <f>+DB!F861</f>
        <v>0</v>
      </c>
      <c r="T861">
        <f>+IF(DB!F861="AAAC-35",1,3)</f>
        <v>3</v>
      </c>
      <c r="U861">
        <f>+DB!R861</f>
        <v>0</v>
      </c>
      <c r="V861">
        <f>+IF(DB!P861="1RI",1,0)+IF(DB!P861="2RI",2,0)</f>
        <v>0</v>
      </c>
      <c r="W861">
        <f>+IF(DB!P861="1RV",1,0)+IF(DB!P861="2RV",2,0)</f>
        <v>0</v>
      </c>
      <c r="X861">
        <f>+IF(DB!P861="RYI",1,0)</f>
        <v>0</v>
      </c>
      <c r="Y861">
        <f>+IF(DB!P861="RYV",1,0)</f>
        <v>0</v>
      </c>
      <c r="Z861">
        <f>+DB!U861</f>
        <v>0</v>
      </c>
      <c r="AA861">
        <f>+IF(DB!F861="AAAC-35",19.5,33)</f>
        <v>33</v>
      </c>
      <c r="AB861">
        <f>+DB!V861</f>
        <v>0</v>
      </c>
      <c r="AC861" t="str">
        <f t="shared" si="41"/>
        <v>56-4</v>
      </c>
      <c r="AD861" s="21" t="s">
        <v>72</v>
      </c>
      <c r="AE861">
        <f>+DB!X861</f>
        <v>0</v>
      </c>
      <c r="AF861" s="22">
        <f>+DB!Y861</f>
        <v>0</v>
      </c>
      <c r="AG861">
        <f>+DB!AK861</f>
        <v>0</v>
      </c>
    </row>
    <row r="862" spans="1:33" x14ac:dyDescent="0.2">
      <c r="A862">
        <f>+DB!C862</f>
        <v>0</v>
      </c>
      <c r="B862">
        <f>+DB!D862</f>
        <v>0</v>
      </c>
      <c r="C862">
        <f>+DB!E862</f>
        <v>0</v>
      </c>
      <c r="D862">
        <f t="shared" si="39"/>
        <v>0</v>
      </c>
      <c r="E862">
        <f>+DB!G862</f>
        <v>0</v>
      </c>
      <c r="F862">
        <f>+DB!H862</f>
        <v>0</v>
      </c>
      <c r="G862">
        <f>+DB!N862</f>
        <v>0</v>
      </c>
      <c r="H862">
        <f>+DB!O862</f>
        <v>0</v>
      </c>
      <c r="I862">
        <f>+DB!I862</f>
        <v>0</v>
      </c>
      <c r="J862">
        <f>+DB!J862</f>
        <v>0</v>
      </c>
      <c r="K862">
        <f>+DB!L862</f>
        <v>0</v>
      </c>
      <c r="L862" t="str">
        <f t="shared" si="40"/>
        <v/>
      </c>
      <c r="M862" t="str">
        <f>+IF(LEFT(DB!M862,3)="13/","CAC","MAD")</f>
        <v>MAD</v>
      </c>
      <c r="N862" t="str">
        <f>+RIGHT(DB!M862,6)</f>
        <v/>
      </c>
      <c r="O862">
        <v>95</v>
      </c>
      <c r="P862">
        <v>5</v>
      </c>
      <c r="Q862">
        <f>+DB!AB862</f>
        <v>0</v>
      </c>
      <c r="R862">
        <f>+DB!K862</f>
        <v>0</v>
      </c>
      <c r="S862">
        <f>+DB!F862</f>
        <v>0</v>
      </c>
      <c r="T862">
        <f>+IF(DB!F862="AAAC-35",1,3)</f>
        <v>3</v>
      </c>
      <c r="U862">
        <f>+DB!R862</f>
        <v>0</v>
      </c>
      <c r="V862">
        <f>+IF(DB!P862="1RI",1,0)+IF(DB!P862="2RI",2,0)</f>
        <v>0</v>
      </c>
      <c r="W862">
        <f>+IF(DB!P862="1RV",1,0)+IF(DB!P862="2RV",2,0)</f>
        <v>0</v>
      </c>
      <c r="X862">
        <f>+IF(DB!P862="RYI",1,0)</f>
        <v>0</v>
      </c>
      <c r="Y862">
        <f>+IF(DB!P862="RYV",1,0)</f>
        <v>0</v>
      </c>
      <c r="Z862">
        <f>+DB!U862</f>
        <v>0</v>
      </c>
      <c r="AA862">
        <f>+IF(DB!F862="AAAC-35",19.5,33)</f>
        <v>33</v>
      </c>
      <c r="AB862">
        <f>+DB!V862</f>
        <v>0</v>
      </c>
      <c r="AC862" t="str">
        <f t="shared" si="41"/>
        <v>56-4</v>
      </c>
      <c r="AD862" s="21" t="s">
        <v>72</v>
      </c>
      <c r="AE862">
        <f>+DB!X862</f>
        <v>0</v>
      </c>
      <c r="AF862" s="22">
        <f>+DB!Y862</f>
        <v>0</v>
      </c>
      <c r="AG862">
        <f>+DB!AK862</f>
        <v>0</v>
      </c>
    </row>
    <row r="863" spans="1:33" x14ac:dyDescent="0.2">
      <c r="A863">
        <f>+DB!C863</f>
        <v>0</v>
      </c>
      <c r="B863">
        <f>+DB!D863</f>
        <v>0</v>
      </c>
      <c r="C863">
        <f>+DB!E863</f>
        <v>0</v>
      </c>
      <c r="D863">
        <f t="shared" si="39"/>
        <v>0</v>
      </c>
      <c r="E863">
        <f>+DB!G863</f>
        <v>0</v>
      </c>
      <c r="F863">
        <f>+DB!H863</f>
        <v>0</v>
      </c>
      <c r="G863">
        <f>+DB!N863</f>
        <v>0</v>
      </c>
      <c r="H863">
        <f>+DB!O863</f>
        <v>0</v>
      </c>
      <c r="I863">
        <f>+DB!I863</f>
        <v>0</v>
      </c>
      <c r="J863">
        <f>+DB!J863</f>
        <v>0</v>
      </c>
      <c r="K863">
        <f>+DB!L863</f>
        <v>0</v>
      </c>
      <c r="L863" t="str">
        <f t="shared" si="40"/>
        <v/>
      </c>
      <c r="M863" t="str">
        <f>+IF(LEFT(DB!M863,3)="13/","CAC","MAD")</f>
        <v>MAD</v>
      </c>
      <c r="N863" t="str">
        <f>+RIGHT(DB!M863,6)</f>
        <v/>
      </c>
      <c r="O863">
        <v>95</v>
      </c>
      <c r="P863">
        <v>5</v>
      </c>
      <c r="Q863">
        <f>+DB!AB863</f>
        <v>0</v>
      </c>
      <c r="R863">
        <f>+DB!K863</f>
        <v>0</v>
      </c>
      <c r="S863">
        <f>+DB!F863</f>
        <v>0</v>
      </c>
      <c r="T863">
        <f>+IF(DB!F863="AAAC-35",1,3)</f>
        <v>3</v>
      </c>
      <c r="U863">
        <f>+DB!R863</f>
        <v>0</v>
      </c>
      <c r="V863">
        <f>+IF(DB!P863="1RI",1,0)+IF(DB!P863="2RI",2,0)</f>
        <v>0</v>
      </c>
      <c r="W863">
        <f>+IF(DB!P863="1RV",1,0)+IF(DB!P863="2RV",2,0)</f>
        <v>0</v>
      </c>
      <c r="X863">
        <f>+IF(DB!P863="RYI",1,0)</f>
        <v>0</v>
      </c>
      <c r="Y863">
        <f>+IF(DB!P863="RYV",1,0)</f>
        <v>0</v>
      </c>
      <c r="Z863">
        <f>+DB!U863</f>
        <v>0</v>
      </c>
      <c r="AA863">
        <f>+IF(DB!F863="AAAC-35",19.5,33)</f>
        <v>33</v>
      </c>
      <c r="AB863">
        <f>+DB!V863</f>
        <v>0</v>
      </c>
      <c r="AC863" t="str">
        <f t="shared" si="41"/>
        <v>56-4</v>
      </c>
      <c r="AD863" s="21" t="s">
        <v>72</v>
      </c>
      <c r="AE863">
        <f>+DB!X863</f>
        <v>0</v>
      </c>
      <c r="AF863" s="22">
        <f>+DB!Y863</f>
        <v>0</v>
      </c>
      <c r="AG863">
        <f>+DB!AK863</f>
        <v>0</v>
      </c>
    </row>
    <row r="864" spans="1:33" x14ac:dyDescent="0.2">
      <c r="A864">
        <f>+DB!C864</f>
        <v>0</v>
      </c>
      <c r="B864">
        <f>+DB!D864</f>
        <v>0</v>
      </c>
      <c r="C864">
        <f>+DB!E864</f>
        <v>0</v>
      </c>
      <c r="D864">
        <f t="shared" si="39"/>
        <v>0</v>
      </c>
      <c r="E864">
        <f>+DB!G864</f>
        <v>0</v>
      </c>
      <c r="F864">
        <f>+DB!H864</f>
        <v>0</v>
      </c>
      <c r="G864">
        <f>+DB!N864</f>
        <v>0</v>
      </c>
      <c r="H864">
        <f>+DB!O864</f>
        <v>0</v>
      </c>
      <c r="I864">
        <f>+DB!I864</f>
        <v>0</v>
      </c>
      <c r="J864">
        <f>+DB!J864</f>
        <v>0</v>
      </c>
      <c r="K864">
        <f>+DB!L864</f>
        <v>0</v>
      </c>
      <c r="L864" t="str">
        <f t="shared" si="40"/>
        <v/>
      </c>
      <c r="M864" t="str">
        <f>+IF(LEFT(DB!M864,3)="13/","CAC","MAD")</f>
        <v>MAD</v>
      </c>
      <c r="N864" t="str">
        <f>+RIGHT(DB!M864,6)</f>
        <v/>
      </c>
      <c r="O864">
        <v>95</v>
      </c>
      <c r="P864">
        <v>5</v>
      </c>
      <c r="Q864">
        <f>+DB!AB864</f>
        <v>0</v>
      </c>
      <c r="R864">
        <f>+DB!K864</f>
        <v>0</v>
      </c>
      <c r="S864">
        <f>+DB!F864</f>
        <v>0</v>
      </c>
      <c r="T864">
        <f>+IF(DB!F864="AAAC-35",1,3)</f>
        <v>3</v>
      </c>
      <c r="U864">
        <f>+DB!R864</f>
        <v>0</v>
      </c>
      <c r="V864">
        <f>+IF(DB!P864="1RI",1,0)+IF(DB!P864="2RI",2,0)</f>
        <v>0</v>
      </c>
      <c r="W864">
        <f>+IF(DB!P864="1RV",1,0)+IF(DB!P864="2RV",2,0)</f>
        <v>0</v>
      </c>
      <c r="X864">
        <f>+IF(DB!P864="RYI",1,0)</f>
        <v>0</v>
      </c>
      <c r="Y864">
        <f>+IF(DB!P864="RYV",1,0)</f>
        <v>0</v>
      </c>
      <c r="Z864">
        <f>+DB!U864</f>
        <v>0</v>
      </c>
      <c r="AA864">
        <f>+IF(DB!F864="AAAC-35",19.5,33)</f>
        <v>33</v>
      </c>
      <c r="AB864">
        <f>+DB!V864</f>
        <v>0</v>
      </c>
      <c r="AC864" t="str">
        <f t="shared" si="41"/>
        <v>56-4</v>
      </c>
      <c r="AD864" s="21" t="s">
        <v>72</v>
      </c>
      <c r="AE864">
        <f>+DB!X864</f>
        <v>0</v>
      </c>
      <c r="AF864" s="22">
        <f>+DB!Y864</f>
        <v>0</v>
      </c>
      <c r="AG864">
        <f>+DB!AK864</f>
        <v>0</v>
      </c>
    </row>
    <row r="865" spans="1:33" x14ac:dyDescent="0.2">
      <c r="A865">
        <f>+DB!C865</f>
        <v>0</v>
      </c>
      <c r="B865">
        <f>+DB!D865</f>
        <v>0</v>
      </c>
      <c r="C865">
        <f>+DB!E865</f>
        <v>0</v>
      </c>
      <c r="D865">
        <f t="shared" si="39"/>
        <v>0</v>
      </c>
      <c r="E865">
        <f>+DB!G865</f>
        <v>0</v>
      </c>
      <c r="F865">
        <f>+DB!H865</f>
        <v>0</v>
      </c>
      <c r="G865">
        <f>+DB!N865</f>
        <v>0</v>
      </c>
      <c r="H865">
        <f>+DB!O865</f>
        <v>0</v>
      </c>
      <c r="I865">
        <f>+DB!I865</f>
        <v>0</v>
      </c>
      <c r="J865">
        <f>+DB!J865</f>
        <v>0</v>
      </c>
      <c r="K865">
        <f>+DB!L865</f>
        <v>0</v>
      </c>
      <c r="L865" t="str">
        <f t="shared" si="40"/>
        <v/>
      </c>
      <c r="M865" t="str">
        <f>+IF(LEFT(DB!M865,3)="13/","CAC","MAD")</f>
        <v>MAD</v>
      </c>
      <c r="N865" t="str">
        <f>+RIGHT(DB!M865,6)</f>
        <v/>
      </c>
      <c r="O865">
        <v>95</v>
      </c>
      <c r="P865">
        <v>5</v>
      </c>
      <c r="Q865">
        <f>+DB!AB865</f>
        <v>0</v>
      </c>
      <c r="R865">
        <f>+DB!K865</f>
        <v>0</v>
      </c>
      <c r="S865">
        <f>+DB!F865</f>
        <v>0</v>
      </c>
      <c r="T865">
        <f>+IF(DB!F865="AAAC-35",1,3)</f>
        <v>3</v>
      </c>
      <c r="U865">
        <f>+DB!R865</f>
        <v>0</v>
      </c>
      <c r="V865">
        <f>+IF(DB!P865="1RI",1,0)+IF(DB!P865="2RI",2,0)</f>
        <v>0</v>
      </c>
      <c r="W865">
        <f>+IF(DB!P865="1RV",1,0)+IF(DB!P865="2RV",2,0)</f>
        <v>0</v>
      </c>
      <c r="X865">
        <f>+IF(DB!P865="RYI",1,0)</f>
        <v>0</v>
      </c>
      <c r="Y865">
        <f>+IF(DB!P865="RYV",1,0)</f>
        <v>0</v>
      </c>
      <c r="Z865">
        <f>+DB!U865</f>
        <v>0</v>
      </c>
      <c r="AA865">
        <f>+IF(DB!F865="AAAC-35",19.5,33)</f>
        <v>33</v>
      </c>
      <c r="AB865">
        <f>+DB!V865</f>
        <v>0</v>
      </c>
      <c r="AC865" t="str">
        <f t="shared" si="41"/>
        <v>56-4</v>
      </c>
      <c r="AD865" s="21" t="s">
        <v>72</v>
      </c>
      <c r="AE865">
        <f>+DB!X865</f>
        <v>0</v>
      </c>
      <c r="AF865" s="22">
        <f>+DB!Y865</f>
        <v>0</v>
      </c>
      <c r="AG865">
        <f>+DB!AK865</f>
        <v>0</v>
      </c>
    </row>
    <row r="866" spans="1:33" x14ac:dyDescent="0.2">
      <c r="A866">
        <f>+DB!C866</f>
        <v>0</v>
      </c>
      <c r="B866">
        <f>+DB!D866</f>
        <v>0</v>
      </c>
      <c r="C866">
        <f>+DB!E866</f>
        <v>0</v>
      </c>
      <c r="D866">
        <f t="shared" si="39"/>
        <v>0</v>
      </c>
      <c r="E866">
        <f>+DB!G866</f>
        <v>0</v>
      </c>
      <c r="F866">
        <f>+DB!H866</f>
        <v>0</v>
      </c>
      <c r="G866">
        <f>+DB!N866</f>
        <v>0</v>
      </c>
      <c r="H866">
        <f>+DB!O866</f>
        <v>0</v>
      </c>
      <c r="I866">
        <f>+DB!I866</f>
        <v>0</v>
      </c>
      <c r="J866">
        <f>+DB!J866</f>
        <v>0</v>
      </c>
      <c r="K866">
        <f>+DB!L866</f>
        <v>0</v>
      </c>
      <c r="L866" t="str">
        <f t="shared" si="40"/>
        <v/>
      </c>
      <c r="M866" t="str">
        <f>+IF(LEFT(DB!M866,3)="13/","CAC","MAD")</f>
        <v>MAD</v>
      </c>
      <c r="N866" t="str">
        <f>+RIGHT(DB!M866,6)</f>
        <v/>
      </c>
      <c r="O866">
        <v>95</v>
      </c>
      <c r="P866">
        <v>5</v>
      </c>
      <c r="Q866">
        <f>+DB!AB866</f>
        <v>0</v>
      </c>
      <c r="R866">
        <f>+DB!K866</f>
        <v>0</v>
      </c>
      <c r="S866">
        <f>+DB!F866</f>
        <v>0</v>
      </c>
      <c r="T866">
        <f>+IF(DB!F866="AAAC-35",1,3)</f>
        <v>3</v>
      </c>
      <c r="U866">
        <f>+DB!R866</f>
        <v>0</v>
      </c>
      <c r="V866">
        <f>+IF(DB!P866="1RI",1,0)+IF(DB!P866="2RI",2,0)</f>
        <v>0</v>
      </c>
      <c r="W866">
        <f>+IF(DB!P866="1RV",1,0)+IF(DB!P866="2RV",2,0)</f>
        <v>0</v>
      </c>
      <c r="X866">
        <f>+IF(DB!P866="RYI",1,0)</f>
        <v>0</v>
      </c>
      <c r="Y866">
        <f>+IF(DB!P866="RYV",1,0)</f>
        <v>0</v>
      </c>
      <c r="Z866">
        <f>+DB!U866</f>
        <v>0</v>
      </c>
      <c r="AA866">
        <f>+IF(DB!F866="AAAC-35",19.5,33)</f>
        <v>33</v>
      </c>
      <c r="AB866">
        <f>+DB!V866</f>
        <v>0</v>
      </c>
      <c r="AC866" t="str">
        <f t="shared" si="41"/>
        <v>56-4</v>
      </c>
      <c r="AD866" s="21" t="s">
        <v>72</v>
      </c>
      <c r="AE866">
        <f>+DB!X866</f>
        <v>0</v>
      </c>
      <c r="AF866" s="22">
        <f>+DB!Y866</f>
        <v>0</v>
      </c>
      <c r="AG866">
        <f>+DB!AK866</f>
        <v>0</v>
      </c>
    </row>
    <row r="867" spans="1:33" x14ac:dyDescent="0.2">
      <c r="A867">
        <f>+DB!C867</f>
        <v>0</v>
      </c>
      <c r="B867">
        <f>+DB!D867</f>
        <v>0</v>
      </c>
      <c r="C867">
        <f>+DB!E867</f>
        <v>0</v>
      </c>
      <c r="D867">
        <f t="shared" si="39"/>
        <v>0</v>
      </c>
      <c r="E867">
        <f>+DB!G867</f>
        <v>0</v>
      </c>
      <c r="F867">
        <f>+DB!H867</f>
        <v>0</v>
      </c>
      <c r="G867">
        <f>+DB!N867</f>
        <v>0</v>
      </c>
      <c r="H867">
        <f>+DB!O867</f>
        <v>0</v>
      </c>
      <c r="I867">
        <f>+DB!I867</f>
        <v>0</v>
      </c>
      <c r="J867">
        <f>+DB!J867</f>
        <v>0</v>
      </c>
      <c r="K867">
        <f>+DB!L867</f>
        <v>0</v>
      </c>
      <c r="L867" t="str">
        <f t="shared" si="40"/>
        <v/>
      </c>
      <c r="M867" t="str">
        <f>+IF(LEFT(DB!M867,3)="13/","CAC","MAD")</f>
        <v>MAD</v>
      </c>
      <c r="N867" t="str">
        <f>+RIGHT(DB!M867,6)</f>
        <v/>
      </c>
      <c r="O867">
        <v>95</v>
      </c>
      <c r="P867">
        <v>5</v>
      </c>
      <c r="Q867">
        <f>+DB!AB867</f>
        <v>0</v>
      </c>
      <c r="R867">
        <f>+DB!K867</f>
        <v>0</v>
      </c>
      <c r="S867">
        <f>+DB!F867</f>
        <v>0</v>
      </c>
      <c r="T867">
        <f>+IF(DB!F867="AAAC-35",1,3)</f>
        <v>3</v>
      </c>
      <c r="U867">
        <f>+DB!R867</f>
        <v>0</v>
      </c>
      <c r="V867">
        <f>+IF(DB!P867="1RI",1,0)+IF(DB!P867="2RI",2,0)</f>
        <v>0</v>
      </c>
      <c r="W867">
        <f>+IF(DB!P867="1RV",1,0)+IF(DB!P867="2RV",2,0)</f>
        <v>0</v>
      </c>
      <c r="X867">
        <f>+IF(DB!P867="RYI",1,0)</f>
        <v>0</v>
      </c>
      <c r="Y867">
        <f>+IF(DB!P867="RYV",1,0)</f>
        <v>0</v>
      </c>
      <c r="Z867">
        <f>+DB!U867</f>
        <v>0</v>
      </c>
      <c r="AA867">
        <f>+IF(DB!F867="AAAC-35",19.5,33)</f>
        <v>33</v>
      </c>
      <c r="AB867">
        <f>+DB!V867</f>
        <v>0</v>
      </c>
      <c r="AC867" t="str">
        <f t="shared" si="41"/>
        <v>56-4</v>
      </c>
      <c r="AD867" s="21" t="s">
        <v>72</v>
      </c>
      <c r="AE867">
        <f>+DB!X867</f>
        <v>0</v>
      </c>
      <c r="AF867" s="22">
        <f>+DB!Y867</f>
        <v>0</v>
      </c>
      <c r="AG867">
        <f>+DB!AK867</f>
        <v>0</v>
      </c>
    </row>
    <row r="868" spans="1:33" x14ac:dyDescent="0.2">
      <c r="A868">
        <f>+DB!C868</f>
        <v>0</v>
      </c>
      <c r="B868">
        <f>+DB!D868</f>
        <v>0</v>
      </c>
      <c r="C868">
        <f>+DB!E868</f>
        <v>0</v>
      </c>
      <c r="D868">
        <f t="shared" si="39"/>
        <v>0</v>
      </c>
      <c r="E868">
        <f>+DB!G868</f>
        <v>0</v>
      </c>
      <c r="F868">
        <f>+DB!H868</f>
        <v>0</v>
      </c>
      <c r="G868">
        <f>+DB!N868</f>
        <v>0</v>
      </c>
      <c r="H868">
        <f>+DB!O868</f>
        <v>0</v>
      </c>
      <c r="I868">
        <f>+DB!I868</f>
        <v>0</v>
      </c>
      <c r="J868">
        <f>+DB!J868</f>
        <v>0</v>
      </c>
      <c r="K868">
        <f>+DB!L868</f>
        <v>0</v>
      </c>
      <c r="L868" t="str">
        <f t="shared" si="40"/>
        <v/>
      </c>
      <c r="M868" t="str">
        <f>+IF(LEFT(DB!M868,3)="13/","CAC","MAD")</f>
        <v>MAD</v>
      </c>
      <c r="N868" t="str">
        <f>+RIGHT(DB!M868,6)</f>
        <v/>
      </c>
      <c r="O868">
        <v>95</v>
      </c>
      <c r="P868">
        <v>5</v>
      </c>
      <c r="Q868">
        <f>+DB!AB868</f>
        <v>0</v>
      </c>
      <c r="R868">
        <f>+DB!K868</f>
        <v>0</v>
      </c>
      <c r="S868">
        <f>+DB!F868</f>
        <v>0</v>
      </c>
      <c r="T868">
        <f>+IF(DB!F868="AAAC-35",1,3)</f>
        <v>3</v>
      </c>
      <c r="U868">
        <f>+DB!R868</f>
        <v>0</v>
      </c>
      <c r="V868">
        <f>+IF(DB!P868="1RI",1,0)+IF(DB!P868="2RI",2,0)</f>
        <v>0</v>
      </c>
      <c r="W868">
        <f>+IF(DB!P868="1RV",1,0)+IF(DB!P868="2RV",2,0)</f>
        <v>0</v>
      </c>
      <c r="X868">
        <f>+IF(DB!P868="RYI",1,0)</f>
        <v>0</v>
      </c>
      <c r="Y868">
        <f>+IF(DB!P868="RYV",1,0)</f>
        <v>0</v>
      </c>
      <c r="Z868">
        <f>+DB!U868</f>
        <v>0</v>
      </c>
      <c r="AA868">
        <f>+IF(DB!F868="AAAC-35",19.5,33)</f>
        <v>33</v>
      </c>
      <c r="AB868">
        <f>+DB!V868</f>
        <v>0</v>
      </c>
      <c r="AC868" t="str">
        <f t="shared" si="41"/>
        <v>56-4</v>
      </c>
      <c r="AD868" s="21" t="s">
        <v>72</v>
      </c>
      <c r="AE868">
        <f>+DB!X868</f>
        <v>0</v>
      </c>
      <c r="AF868" s="22">
        <f>+DB!Y868</f>
        <v>0</v>
      </c>
      <c r="AG868">
        <f>+DB!AK868</f>
        <v>0</v>
      </c>
    </row>
    <row r="869" spans="1:33" x14ac:dyDescent="0.2">
      <c r="A869">
        <f>+DB!C869</f>
        <v>0</v>
      </c>
      <c r="B869">
        <f>+DB!D869</f>
        <v>0</v>
      </c>
      <c r="C869">
        <f>+DB!E869</f>
        <v>0</v>
      </c>
      <c r="D869">
        <f t="shared" si="39"/>
        <v>0</v>
      </c>
      <c r="E869">
        <f>+DB!G869</f>
        <v>0</v>
      </c>
      <c r="F869">
        <f>+DB!H869</f>
        <v>0</v>
      </c>
      <c r="G869">
        <f>+DB!N869</f>
        <v>0</v>
      </c>
      <c r="H869">
        <f>+DB!O869</f>
        <v>0</v>
      </c>
      <c r="I869">
        <f>+DB!I869</f>
        <v>0</v>
      </c>
      <c r="J869">
        <f>+DB!J869</f>
        <v>0</v>
      </c>
      <c r="K869">
        <f>+DB!L869</f>
        <v>0</v>
      </c>
      <c r="L869" t="str">
        <f t="shared" si="40"/>
        <v/>
      </c>
      <c r="M869" t="str">
        <f>+IF(LEFT(DB!M869,3)="13/","CAC","MAD")</f>
        <v>MAD</v>
      </c>
      <c r="N869" t="str">
        <f>+RIGHT(DB!M869,6)</f>
        <v/>
      </c>
      <c r="O869">
        <v>95</v>
      </c>
      <c r="P869">
        <v>5</v>
      </c>
      <c r="Q869">
        <f>+DB!AB869</f>
        <v>0</v>
      </c>
      <c r="R869">
        <f>+DB!K869</f>
        <v>0</v>
      </c>
      <c r="S869">
        <f>+DB!F869</f>
        <v>0</v>
      </c>
      <c r="T869">
        <f>+IF(DB!F869="AAAC-35",1,3)</f>
        <v>3</v>
      </c>
      <c r="U869">
        <f>+DB!R869</f>
        <v>0</v>
      </c>
      <c r="V869">
        <f>+IF(DB!P869="1RI",1,0)+IF(DB!P869="2RI",2,0)</f>
        <v>0</v>
      </c>
      <c r="W869">
        <f>+IF(DB!P869="1RV",1,0)+IF(DB!P869="2RV",2,0)</f>
        <v>0</v>
      </c>
      <c r="X869">
        <f>+IF(DB!P869="RYI",1,0)</f>
        <v>0</v>
      </c>
      <c r="Y869">
        <f>+IF(DB!P869="RYV",1,0)</f>
        <v>0</v>
      </c>
      <c r="Z869">
        <f>+DB!U869</f>
        <v>0</v>
      </c>
      <c r="AA869">
        <f>+IF(DB!F869="AAAC-35",19.5,33)</f>
        <v>33</v>
      </c>
      <c r="AB869">
        <f>+DB!V869</f>
        <v>0</v>
      </c>
      <c r="AC869" t="str">
        <f t="shared" si="41"/>
        <v>56-4</v>
      </c>
      <c r="AD869" s="21" t="s">
        <v>72</v>
      </c>
      <c r="AE869">
        <f>+DB!X869</f>
        <v>0</v>
      </c>
      <c r="AF869" s="22">
        <f>+DB!Y869</f>
        <v>0</v>
      </c>
      <c r="AG869">
        <f>+DB!AK869</f>
        <v>0</v>
      </c>
    </row>
    <row r="870" spans="1:33" x14ac:dyDescent="0.2">
      <c r="A870">
        <f>+DB!C870</f>
        <v>0</v>
      </c>
      <c r="B870">
        <f>+DB!D870</f>
        <v>0</v>
      </c>
      <c r="C870">
        <f>+DB!E870</f>
        <v>0</v>
      </c>
      <c r="D870">
        <f t="shared" si="39"/>
        <v>0</v>
      </c>
      <c r="E870">
        <f>+DB!G870</f>
        <v>0</v>
      </c>
      <c r="F870">
        <f>+DB!H870</f>
        <v>0</v>
      </c>
      <c r="G870">
        <f>+DB!N870</f>
        <v>0</v>
      </c>
      <c r="H870">
        <f>+DB!O870</f>
        <v>0</v>
      </c>
      <c r="I870">
        <f>+DB!I870</f>
        <v>0</v>
      </c>
      <c r="J870">
        <f>+DB!J870</f>
        <v>0</v>
      </c>
      <c r="K870">
        <f>+DB!L870</f>
        <v>0</v>
      </c>
      <c r="L870" t="str">
        <f t="shared" si="40"/>
        <v/>
      </c>
      <c r="M870" t="str">
        <f>+IF(LEFT(DB!M870,3)="13/","CAC","MAD")</f>
        <v>MAD</v>
      </c>
      <c r="N870" t="str">
        <f>+RIGHT(DB!M870,6)</f>
        <v/>
      </c>
      <c r="O870">
        <v>95</v>
      </c>
      <c r="P870">
        <v>5</v>
      </c>
      <c r="Q870">
        <f>+DB!AB870</f>
        <v>0</v>
      </c>
      <c r="R870">
        <f>+DB!K870</f>
        <v>0</v>
      </c>
      <c r="S870">
        <f>+DB!F870</f>
        <v>0</v>
      </c>
      <c r="T870">
        <f>+IF(DB!F870="AAAC-35",1,3)</f>
        <v>3</v>
      </c>
      <c r="U870">
        <f>+DB!R870</f>
        <v>0</v>
      </c>
      <c r="V870">
        <f>+IF(DB!P870="1RI",1,0)+IF(DB!P870="2RI",2,0)</f>
        <v>0</v>
      </c>
      <c r="W870">
        <f>+IF(DB!P870="1RV",1,0)+IF(DB!P870="2RV",2,0)</f>
        <v>0</v>
      </c>
      <c r="X870">
        <f>+IF(DB!P870="RYI",1,0)</f>
        <v>0</v>
      </c>
      <c r="Y870">
        <f>+IF(DB!P870="RYV",1,0)</f>
        <v>0</v>
      </c>
      <c r="Z870">
        <f>+DB!U870</f>
        <v>0</v>
      </c>
      <c r="AA870">
        <f>+IF(DB!F870="AAAC-35",19.5,33)</f>
        <v>33</v>
      </c>
      <c r="AB870">
        <f>+DB!V870</f>
        <v>0</v>
      </c>
      <c r="AC870" t="str">
        <f t="shared" si="41"/>
        <v>56-4</v>
      </c>
      <c r="AD870" s="21" t="s">
        <v>72</v>
      </c>
      <c r="AE870">
        <f>+DB!X870</f>
        <v>0</v>
      </c>
      <c r="AF870" s="22">
        <f>+DB!Y870</f>
        <v>0</v>
      </c>
      <c r="AG870">
        <f>+DB!AK870</f>
        <v>0</v>
      </c>
    </row>
    <row r="871" spans="1:33" x14ac:dyDescent="0.2">
      <c r="A871">
        <f>+DB!C871</f>
        <v>0</v>
      </c>
      <c r="B871">
        <f>+DB!D871</f>
        <v>0</v>
      </c>
      <c r="C871">
        <f>+DB!E871</f>
        <v>0</v>
      </c>
      <c r="D871">
        <f t="shared" si="39"/>
        <v>0</v>
      </c>
      <c r="E871">
        <f>+DB!G871</f>
        <v>0</v>
      </c>
      <c r="F871">
        <f>+DB!H871</f>
        <v>0</v>
      </c>
      <c r="G871">
        <f>+DB!N871</f>
        <v>0</v>
      </c>
      <c r="H871">
        <f>+DB!O871</f>
        <v>0</v>
      </c>
      <c r="I871">
        <f>+DB!I871</f>
        <v>0</v>
      </c>
      <c r="J871">
        <f>+DB!J871</f>
        <v>0</v>
      </c>
      <c r="K871">
        <f>+DB!L871</f>
        <v>0</v>
      </c>
      <c r="L871" t="str">
        <f t="shared" si="40"/>
        <v/>
      </c>
      <c r="M871" t="str">
        <f>+IF(LEFT(DB!M871,3)="13/","CAC","MAD")</f>
        <v>MAD</v>
      </c>
      <c r="N871" t="str">
        <f>+RIGHT(DB!M871,6)</f>
        <v/>
      </c>
      <c r="O871">
        <v>95</v>
      </c>
      <c r="P871">
        <v>5</v>
      </c>
      <c r="Q871">
        <f>+DB!AB871</f>
        <v>0</v>
      </c>
      <c r="R871">
        <f>+DB!K871</f>
        <v>0</v>
      </c>
      <c r="S871">
        <f>+DB!F871</f>
        <v>0</v>
      </c>
      <c r="T871">
        <f>+IF(DB!F871="AAAC-35",1,3)</f>
        <v>3</v>
      </c>
      <c r="U871">
        <f>+DB!R871</f>
        <v>0</v>
      </c>
      <c r="V871">
        <f>+IF(DB!P871="1RI",1,0)+IF(DB!P871="2RI",2,0)</f>
        <v>0</v>
      </c>
      <c r="W871">
        <f>+IF(DB!P871="1RV",1,0)+IF(DB!P871="2RV",2,0)</f>
        <v>0</v>
      </c>
      <c r="X871">
        <f>+IF(DB!P871="RYI",1,0)</f>
        <v>0</v>
      </c>
      <c r="Y871">
        <f>+IF(DB!P871="RYV",1,0)</f>
        <v>0</v>
      </c>
      <c r="Z871">
        <f>+DB!U871</f>
        <v>0</v>
      </c>
      <c r="AA871">
        <f>+IF(DB!F871="AAAC-35",19.5,33)</f>
        <v>33</v>
      </c>
      <c r="AB871">
        <f>+DB!V871</f>
        <v>0</v>
      </c>
      <c r="AC871" t="str">
        <f t="shared" si="41"/>
        <v>56-4</v>
      </c>
      <c r="AD871" s="21" t="s">
        <v>72</v>
      </c>
      <c r="AE871">
        <f>+DB!X871</f>
        <v>0</v>
      </c>
      <c r="AF871" s="22">
        <f>+DB!Y871</f>
        <v>0</v>
      </c>
      <c r="AG871">
        <f>+DB!AK871</f>
        <v>0</v>
      </c>
    </row>
    <row r="872" spans="1:33" x14ac:dyDescent="0.2">
      <c r="A872">
        <f>+DB!C872</f>
        <v>0</v>
      </c>
      <c r="B872">
        <f>+DB!D872</f>
        <v>0</v>
      </c>
      <c r="C872">
        <f>+DB!E872</f>
        <v>0</v>
      </c>
      <c r="D872">
        <f t="shared" si="39"/>
        <v>0</v>
      </c>
      <c r="E872">
        <f>+DB!G872</f>
        <v>0</v>
      </c>
      <c r="F872">
        <f>+DB!H872</f>
        <v>0</v>
      </c>
      <c r="G872">
        <f>+DB!N872</f>
        <v>0</v>
      </c>
      <c r="H872">
        <f>+DB!O872</f>
        <v>0</v>
      </c>
      <c r="I872">
        <f>+DB!I872</f>
        <v>0</v>
      </c>
      <c r="J872">
        <f>+DB!J872</f>
        <v>0</v>
      </c>
      <c r="K872">
        <f>+DB!L872</f>
        <v>0</v>
      </c>
      <c r="L872" t="str">
        <f t="shared" si="40"/>
        <v/>
      </c>
      <c r="M872" t="str">
        <f>+IF(LEFT(DB!M872,3)="13/","CAC","MAD")</f>
        <v>MAD</v>
      </c>
      <c r="N872" t="str">
        <f>+RIGHT(DB!M872,6)</f>
        <v/>
      </c>
      <c r="O872">
        <v>95</v>
      </c>
      <c r="P872">
        <v>5</v>
      </c>
      <c r="Q872">
        <f>+DB!AB872</f>
        <v>0</v>
      </c>
      <c r="R872">
        <f>+DB!K872</f>
        <v>0</v>
      </c>
      <c r="S872">
        <f>+DB!F872</f>
        <v>0</v>
      </c>
      <c r="T872">
        <f>+IF(DB!F872="AAAC-35",1,3)</f>
        <v>3</v>
      </c>
      <c r="U872">
        <f>+DB!R872</f>
        <v>0</v>
      </c>
      <c r="V872">
        <f>+IF(DB!P872="1RI",1,0)+IF(DB!P872="2RI",2,0)</f>
        <v>0</v>
      </c>
      <c r="W872">
        <f>+IF(DB!P872="1RV",1,0)+IF(DB!P872="2RV",2,0)</f>
        <v>0</v>
      </c>
      <c r="X872">
        <f>+IF(DB!P872="RYI",1,0)</f>
        <v>0</v>
      </c>
      <c r="Y872">
        <f>+IF(DB!P872="RYV",1,0)</f>
        <v>0</v>
      </c>
      <c r="Z872">
        <f>+DB!U872</f>
        <v>0</v>
      </c>
      <c r="AA872">
        <f>+IF(DB!F872="AAAC-35",19.5,33)</f>
        <v>33</v>
      </c>
      <c r="AB872">
        <f>+DB!V872</f>
        <v>0</v>
      </c>
      <c r="AC872" t="str">
        <f t="shared" si="41"/>
        <v>56-4</v>
      </c>
      <c r="AD872" s="21" t="s">
        <v>72</v>
      </c>
      <c r="AE872">
        <f>+DB!X872</f>
        <v>0</v>
      </c>
      <c r="AF872" s="22">
        <f>+DB!Y872</f>
        <v>0</v>
      </c>
      <c r="AG872">
        <f>+DB!AK872</f>
        <v>0</v>
      </c>
    </row>
    <row r="873" spans="1:33" x14ac:dyDescent="0.2">
      <c r="A873">
        <f>+DB!C873</f>
        <v>0</v>
      </c>
      <c r="B873">
        <f>+DB!D873</f>
        <v>0</v>
      </c>
      <c r="C873">
        <f>+DB!E873</f>
        <v>0</v>
      </c>
      <c r="D873">
        <f t="shared" si="39"/>
        <v>0</v>
      </c>
      <c r="E873">
        <f>+DB!G873</f>
        <v>0</v>
      </c>
      <c r="F873">
        <f>+DB!H873</f>
        <v>0</v>
      </c>
      <c r="G873">
        <f>+DB!N873</f>
        <v>0</v>
      </c>
      <c r="H873">
        <f>+DB!O873</f>
        <v>0</v>
      </c>
      <c r="I873">
        <f>+DB!I873</f>
        <v>0</v>
      </c>
      <c r="J873">
        <f>+DB!J873</f>
        <v>0</v>
      </c>
      <c r="K873">
        <f>+DB!L873</f>
        <v>0</v>
      </c>
      <c r="L873" t="str">
        <f t="shared" si="40"/>
        <v/>
      </c>
      <c r="M873" t="str">
        <f>+IF(LEFT(DB!M873,3)="13/","CAC","MAD")</f>
        <v>MAD</v>
      </c>
      <c r="N873" t="str">
        <f>+RIGHT(DB!M873,6)</f>
        <v/>
      </c>
      <c r="O873">
        <v>95</v>
      </c>
      <c r="P873">
        <v>5</v>
      </c>
      <c r="Q873">
        <f>+DB!AB873</f>
        <v>0</v>
      </c>
      <c r="R873">
        <f>+DB!K873</f>
        <v>0</v>
      </c>
      <c r="S873">
        <f>+DB!F873</f>
        <v>0</v>
      </c>
      <c r="T873">
        <f>+IF(DB!F873="AAAC-35",1,3)</f>
        <v>3</v>
      </c>
      <c r="U873">
        <f>+DB!R873</f>
        <v>0</v>
      </c>
      <c r="V873">
        <f>+IF(DB!P873="1RI",1,0)+IF(DB!P873="2RI",2,0)</f>
        <v>0</v>
      </c>
      <c r="W873">
        <f>+IF(DB!P873="1RV",1,0)+IF(DB!P873="2RV",2,0)</f>
        <v>0</v>
      </c>
      <c r="X873">
        <f>+IF(DB!P873="RYI",1,0)</f>
        <v>0</v>
      </c>
      <c r="Y873">
        <f>+IF(DB!P873="RYV",1,0)</f>
        <v>0</v>
      </c>
      <c r="Z873">
        <f>+DB!U873</f>
        <v>0</v>
      </c>
      <c r="AA873">
        <f>+IF(DB!F873="AAAC-35",19.5,33)</f>
        <v>33</v>
      </c>
      <c r="AB873">
        <f>+DB!V873</f>
        <v>0</v>
      </c>
      <c r="AC873" t="str">
        <f t="shared" si="41"/>
        <v>56-4</v>
      </c>
      <c r="AD873" s="21" t="s">
        <v>72</v>
      </c>
      <c r="AE873">
        <f>+DB!X873</f>
        <v>0</v>
      </c>
      <c r="AF873" s="22">
        <f>+DB!Y873</f>
        <v>0</v>
      </c>
      <c r="AG873">
        <f>+DB!AK873</f>
        <v>0</v>
      </c>
    </row>
    <row r="874" spans="1:33" x14ac:dyDescent="0.2">
      <c r="A874">
        <f>+DB!C874</f>
        <v>0</v>
      </c>
      <c r="B874">
        <f>+DB!D874</f>
        <v>0</v>
      </c>
      <c r="C874">
        <f>+DB!E874</f>
        <v>0</v>
      </c>
      <c r="D874">
        <f t="shared" si="39"/>
        <v>0</v>
      </c>
      <c r="E874">
        <f>+DB!G874</f>
        <v>0</v>
      </c>
      <c r="F874">
        <f>+DB!H874</f>
        <v>0</v>
      </c>
      <c r="G874">
        <f>+DB!N874</f>
        <v>0</v>
      </c>
      <c r="H874">
        <f>+DB!O874</f>
        <v>0</v>
      </c>
      <c r="I874">
        <f>+DB!I874</f>
        <v>0</v>
      </c>
      <c r="J874">
        <f>+DB!J874</f>
        <v>0</v>
      </c>
      <c r="K874">
        <f>+DB!L874</f>
        <v>0</v>
      </c>
      <c r="L874" t="str">
        <f t="shared" si="40"/>
        <v/>
      </c>
      <c r="M874" t="str">
        <f>+IF(LEFT(DB!M874,3)="13/","CAC","MAD")</f>
        <v>MAD</v>
      </c>
      <c r="N874" t="str">
        <f>+RIGHT(DB!M874,6)</f>
        <v/>
      </c>
      <c r="O874">
        <v>95</v>
      </c>
      <c r="P874">
        <v>5</v>
      </c>
      <c r="Q874">
        <f>+DB!AB874</f>
        <v>0</v>
      </c>
      <c r="R874">
        <f>+DB!K874</f>
        <v>0</v>
      </c>
      <c r="S874">
        <f>+DB!F874</f>
        <v>0</v>
      </c>
      <c r="T874">
        <f>+IF(DB!F874="AAAC-35",1,3)</f>
        <v>3</v>
      </c>
      <c r="U874">
        <f>+DB!R874</f>
        <v>0</v>
      </c>
      <c r="V874">
        <f>+IF(DB!P874="1RI",1,0)+IF(DB!P874="2RI",2,0)</f>
        <v>0</v>
      </c>
      <c r="W874">
        <f>+IF(DB!P874="1RV",1,0)+IF(DB!P874="2RV",2,0)</f>
        <v>0</v>
      </c>
      <c r="X874">
        <f>+IF(DB!P874="RYI",1,0)</f>
        <v>0</v>
      </c>
      <c r="Y874">
        <f>+IF(DB!P874="RYV",1,0)</f>
        <v>0</v>
      </c>
      <c r="Z874">
        <f>+DB!U874</f>
        <v>0</v>
      </c>
      <c r="AA874">
        <f>+IF(DB!F874="AAAC-35",19.5,33)</f>
        <v>33</v>
      </c>
      <c r="AB874">
        <f>+DB!V874</f>
        <v>0</v>
      </c>
      <c r="AC874" t="str">
        <f t="shared" si="41"/>
        <v>56-4</v>
      </c>
      <c r="AD874" s="21" t="s">
        <v>72</v>
      </c>
      <c r="AE874">
        <f>+DB!X874</f>
        <v>0</v>
      </c>
      <c r="AF874" s="22">
        <f>+DB!Y874</f>
        <v>0</v>
      </c>
      <c r="AG874">
        <f>+DB!AK874</f>
        <v>0</v>
      </c>
    </row>
    <row r="875" spans="1:33" x14ac:dyDescent="0.2">
      <c r="A875">
        <f>+DB!C875</f>
        <v>0</v>
      </c>
      <c r="B875">
        <f>+DB!D875</f>
        <v>0</v>
      </c>
      <c r="C875">
        <f>+DB!E875</f>
        <v>0</v>
      </c>
      <c r="D875">
        <f t="shared" si="39"/>
        <v>0</v>
      </c>
      <c r="E875">
        <f>+DB!G875</f>
        <v>0</v>
      </c>
      <c r="F875">
        <f>+DB!H875</f>
        <v>0</v>
      </c>
      <c r="G875">
        <f>+DB!N875</f>
        <v>0</v>
      </c>
      <c r="H875">
        <f>+DB!O875</f>
        <v>0</v>
      </c>
      <c r="I875">
        <f>+DB!I875</f>
        <v>0</v>
      </c>
      <c r="J875">
        <f>+DB!J875</f>
        <v>0</v>
      </c>
      <c r="K875">
        <f>+DB!L875</f>
        <v>0</v>
      </c>
      <c r="L875" t="str">
        <f t="shared" si="40"/>
        <v/>
      </c>
      <c r="M875" t="str">
        <f>+IF(LEFT(DB!M875,3)="13/","CAC","MAD")</f>
        <v>MAD</v>
      </c>
      <c r="N875" t="str">
        <f>+RIGHT(DB!M875,6)</f>
        <v/>
      </c>
      <c r="O875">
        <v>95</v>
      </c>
      <c r="P875">
        <v>5</v>
      </c>
      <c r="Q875">
        <f>+DB!AB875</f>
        <v>0</v>
      </c>
      <c r="R875">
        <f>+DB!K875</f>
        <v>0</v>
      </c>
      <c r="S875">
        <f>+DB!F875</f>
        <v>0</v>
      </c>
      <c r="T875">
        <f>+IF(DB!F875="AAAC-35",1,3)</f>
        <v>3</v>
      </c>
      <c r="U875">
        <f>+DB!R875</f>
        <v>0</v>
      </c>
      <c r="V875">
        <f>+IF(DB!P875="1RI",1,0)+IF(DB!P875="2RI",2,0)</f>
        <v>0</v>
      </c>
      <c r="W875">
        <f>+IF(DB!P875="1RV",1,0)+IF(DB!P875="2RV",2,0)</f>
        <v>0</v>
      </c>
      <c r="X875">
        <f>+IF(DB!P875="RYI",1,0)</f>
        <v>0</v>
      </c>
      <c r="Y875">
        <f>+IF(DB!P875="RYV",1,0)</f>
        <v>0</v>
      </c>
      <c r="Z875">
        <f>+DB!U875</f>
        <v>0</v>
      </c>
      <c r="AA875">
        <f>+IF(DB!F875="AAAC-35",19.5,33)</f>
        <v>33</v>
      </c>
      <c r="AB875">
        <f>+DB!V875</f>
        <v>0</v>
      </c>
      <c r="AC875" t="str">
        <f t="shared" si="41"/>
        <v>56-4</v>
      </c>
      <c r="AD875" s="21" t="s">
        <v>72</v>
      </c>
      <c r="AE875">
        <f>+DB!X875</f>
        <v>0</v>
      </c>
      <c r="AF875" s="22">
        <f>+DB!Y875</f>
        <v>0</v>
      </c>
      <c r="AG875">
        <f>+DB!AK875</f>
        <v>0</v>
      </c>
    </row>
    <row r="876" spans="1:33" x14ac:dyDescent="0.2">
      <c r="A876">
        <f>+DB!C876</f>
        <v>0</v>
      </c>
      <c r="B876">
        <f>+DB!D876</f>
        <v>0</v>
      </c>
      <c r="C876">
        <f>+DB!E876</f>
        <v>0</v>
      </c>
      <c r="D876">
        <f t="shared" si="39"/>
        <v>0</v>
      </c>
      <c r="E876">
        <f>+DB!G876</f>
        <v>0</v>
      </c>
      <c r="F876">
        <f>+DB!H876</f>
        <v>0</v>
      </c>
      <c r="G876">
        <f>+DB!N876</f>
        <v>0</v>
      </c>
      <c r="H876">
        <f>+DB!O876</f>
        <v>0</v>
      </c>
      <c r="I876">
        <f>+DB!I876</f>
        <v>0</v>
      </c>
      <c r="J876">
        <f>+DB!J876</f>
        <v>0</v>
      </c>
      <c r="K876">
        <f>+DB!L876</f>
        <v>0</v>
      </c>
      <c r="L876" t="str">
        <f t="shared" si="40"/>
        <v/>
      </c>
      <c r="M876" t="str">
        <f>+IF(LEFT(DB!M876,3)="13/","CAC","MAD")</f>
        <v>MAD</v>
      </c>
      <c r="N876" t="str">
        <f>+RIGHT(DB!M876,6)</f>
        <v/>
      </c>
      <c r="O876">
        <v>95</v>
      </c>
      <c r="P876">
        <v>5</v>
      </c>
      <c r="Q876">
        <f>+DB!AB876</f>
        <v>0</v>
      </c>
      <c r="R876">
        <f>+DB!K876</f>
        <v>0</v>
      </c>
      <c r="S876">
        <f>+DB!F876</f>
        <v>0</v>
      </c>
      <c r="T876">
        <f>+IF(DB!F876="AAAC-35",1,3)</f>
        <v>3</v>
      </c>
      <c r="U876">
        <f>+DB!R876</f>
        <v>0</v>
      </c>
      <c r="V876">
        <f>+IF(DB!P876="1RI",1,0)+IF(DB!P876="2RI",2,0)</f>
        <v>0</v>
      </c>
      <c r="W876">
        <f>+IF(DB!P876="1RV",1,0)+IF(DB!P876="2RV",2,0)</f>
        <v>0</v>
      </c>
      <c r="X876">
        <f>+IF(DB!P876="RYI",1,0)</f>
        <v>0</v>
      </c>
      <c r="Y876">
        <f>+IF(DB!P876="RYV",1,0)</f>
        <v>0</v>
      </c>
      <c r="Z876">
        <f>+DB!U876</f>
        <v>0</v>
      </c>
      <c r="AA876">
        <f>+IF(DB!F876="AAAC-35",19.5,33)</f>
        <v>33</v>
      </c>
      <c r="AB876">
        <f>+DB!V876</f>
        <v>0</v>
      </c>
      <c r="AC876" t="str">
        <f t="shared" si="41"/>
        <v>56-4</v>
      </c>
      <c r="AD876" s="21" t="s">
        <v>72</v>
      </c>
      <c r="AE876">
        <f>+DB!X876</f>
        <v>0</v>
      </c>
      <c r="AF876" s="22">
        <f>+DB!Y876</f>
        <v>0</v>
      </c>
      <c r="AG876">
        <f>+DB!AK876</f>
        <v>0</v>
      </c>
    </row>
    <row r="877" spans="1:33" x14ac:dyDescent="0.2">
      <c r="A877">
        <f>+DB!C877</f>
        <v>0</v>
      </c>
      <c r="B877">
        <f>+DB!D877</f>
        <v>0</v>
      </c>
      <c r="C877">
        <f>+DB!E877</f>
        <v>0</v>
      </c>
      <c r="D877">
        <f t="shared" si="39"/>
        <v>0</v>
      </c>
      <c r="E877">
        <f>+DB!G877</f>
        <v>0</v>
      </c>
      <c r="F877">
        <f>+DB!H877</f>
        <v>0</v>
      </c>
      <c r="G877">
        <f>+DB!N877</f>
        <v>0</v>
      </c>
      <c r="H877">
        <f>+DB!O877</f>
        <v>0</v>
      </c>
      <c r="I877">
        <f>+DB!I877</f>
        <v>0</v>
      </c>
      <c r="J877">
        <f>+DB!J877</f>
        <v>0</v>
      </c>
      <c r="K877">
        <f>+DB!L877</f>
        <v>0</v>
      </c>
      <c r="L877" t="str">
        <f t="shared" si="40"/>
        <v/>
      </c>
      <c r="M877" t="str">
        <f>+IF(LEFT(DB!M877,3)="13/","CAC","MAD")</f>
        <v>MAD</v>
      </c>
      <c r="N877" t="str">
        <f>+RIGHT(DB!M877,6)</f>
        <v/>
      </c>
      <c r="O877">
        <v>95</v>
      </c>
      <c r="P877">
        <v>5</v>
      </c>
      <c r="Q877">
        <f>+DB!AB877</f>
        <v>0</v>
      </c>
      <c r="R877">
        <f>+DB!K877</f>
        <v>0</v>
      </c>
      <c r="S877">
        <f>+DB!F877</f>
        <v>0</v>
      </c>
      <c r="T877">
        <f>+IF(DB!F877="AAAC-35",1,3)</f>
        <v>3</v>
      </c>
      <c r="U877">
        <f>+DB!R877</f>
        <v>0</v>
      </c>
      <c r="V877">
        <f>+IF(DB!P877="1RI",1,0)+IF(DB!P877="2RI",2,0)</f>
        <v>0</v>
      </c>
      <c r="W877">
        <f>+IF(DB!P877="1RV",1,0)+IF(DB!P877="2RV",2,0)</f>
        <v>0</v>
      </c>
      <c r="X877">
        <f>+IF(DB!P877="RYI",1,0)</f>
        <v>0</v>
      </c>
      <c r="Y877">
        <f>+IF(DB!P877="RYV",1,0)</f>
        <v>0</v>
      </c>
      <c r="Z877">
        <f>+DB!U877</f>
        <v>0</v>
      </c>
      <c r="AA877">
        <f>+IF(DB!F877="AAAC-35",19.5,33)</f>
        <v>33</v>
      </c>
      <c r="AB877">
        <f>+DB!V877</f>
        <v>0</v>
      </c>
      <c r="AC877" t="str">
        <f t="shared" si="41"/>
        <v>56-4</v>
      </c>
      <c r="AD877" s="21" t="s">
        <v>72</v>
      </c>
      <c r="AE877">
        <f>+DB!X877</f>
        <v>0</v>
      </c>
      <c r="AF877" s="22">
        <f>+DB!Y877</f>
        <v>0</v>
      </c>
      <c r="AG877">
        <f>+DB!AK877</f>
        <v>0</v>
      </c>
    </row>
    <row r="878" spans="1:33" x14ac:dyDescent="0.2">
      <c r="A878">
        <f>+DB!C878</f>
        <v>0</v>
      </c>
      <c r="B878">
        <f>+DB!D878</f>
        <v>0</v>
      </c>
      <c r="C878">
        <f>+DB!E878</f>
        <v>0</v>
      </c>
      <c r="D878">
        <f t="shared" si="39"/>
        <v>0</v>
      </c>
      <c r="E878">
        <f>+DB!G878</f>
        <v>0</v>
      </c>
      <c r="F878">
        <f>+DB!H878</f>
        <v>0</v>
      </c>
      <c r="G878">
        <f>+DB!N878</f>
        <v>0</v>
      </c>
      <c r="H878">
        <f>+DB!O878</f>
        <v>0</v>
      </c>
      <c r="I878">
        <f>+DB!I878</f>
        <v>0</v>
      </c>
      <c r="J878">
        <f>+DB!J878</f>
        <v>0</v>
      </c>
      <c r="K878">
        <f>+DB!L878</f>
        <v>0</v>
      </c>
      <c r="L878" t="str">
        <f t="shared" si="40"/>
        <v/>
      </c>
      <c r="M878" t="str">
        <f>+IF(LEFT(DB!M878,3)="13/","CAC","MAD")</f>
        <v>MAD</v>
      </c>
      <c r="N878" t="str">
        <f>+RIGHT(DB!M878,6)</f>
        <v/>
      </c>
      <c r="O878">
        <v>95</v>
      </c>
      <c r="P878">
        <v>5</v>
      </c>
      <c r="Q878">
        <f>+DB!AB878</f>
        <v>0</v>
      </c>
      <c r="R878">
        <f>+DB!K878</f>
        <v>0</v>
      </c>
      <c r="S878">
        <f>+DB!F878</f>
        <v>0</v>
      </c>
      <c r="T878">
        <f>+IF(DB!F878="AAAC-35",1,3)</f>
        <v>3</v>
      </c>
      <c r="U878">
        <f>+DB!R878</f>
        <v>0</v>
      </c>
      <c r="V878">
        <f>+IF(DB!P878="1RI",1,0)+IF(DB!P878="2RI",2,0)</f>
        <v>0</v>
      </c>
      <c r="W878">
        <f>+IF(DB!P878="1RV",1,0)+IF(DB!P878="2RV",2,0)</f>
        <v>0</v>
      </c>
      <c r="X878">
        <f>+IF(DB!P878="RYI",1,0)</f>
        <v>0</v>
      </c>
      <c r="Y878">
        <f>+IF(DB!P878="RYV",1,0)</f>
        <v>0</v>
      </c>
      <c r="Z878">
        <f>+DB!U878</f>
        <v>0</v>
      </c>
      <c r="AA878">
        <f>+IF(DB!F878="AAAC-35",19.5,33)</f>
        <v>33</v>
      </c>
      <c r="AB878">
        <f>+DB!V878</f>
        <v>0</v>
      </c>
      <c r="AC878" t="str">
        <f t="shared" si="41"/>
        <v>56-4</v>
      </c>
      <c r="AD878" s="21" t="s">
        <v>72</v>
      </c>
      <c r="AE878">
        <f>+DB!X878</f>
        <v>0</v>
      </c>
      <c r="AF878" s="22">
        <f>+DB!Y878</f>
        <v>0</v>
      </c>
      <c r="AG878">
        <f>+DB!AK878</f>
        <v>0</v>
      </c>
    </row>
    <row r="879" spans="1:33" x14ac:dyDescent="0.2">
      <c r="A879">
        <f>+DB!C879</f>
        <v>0</v>
      </c>
      <c r="B879">
        <f>+DB!D879</f>
        <v>0</v>
      </c>
      <c r="C879">
        <f>+DB!E879</f>
        <v>0</v>
      </c>
      <c r="D879">
        <f t="shared" si="39"/>
        <v>0</v>
      </c>
      <c r="E879">
        <f>+DB!G879</f>
        <v>0</v>
      </c>
      <c r="F879">
        <f>+DB!H879</f>
        <v>0</v>
      </c>
      <c r="G879">
        <f>+DB!N879</f>
        <v>0</v>
      </c>
      <c r="H879">
        <f>+DB!O879</f>
        <v>0</v>
      </c>
      <c r="I879">
        <f>+DB!I879</f>
        <v>0</v>
      </c>
      <c r="J879">
        <f>+DB!J879</f>
        <v>0</v>
      </c>
      <c r="K879">
        <f>+DB!L879</f>
        <v>0</v>
      </c>
      <c r="L879" t="str">
        <f t="shared" si="40"/>
        <v/>
      </c>
      <c r="M879" t="str">
        <f>+IF(LEFT(DB!M879,3)="13/","CAC","MAD")</f>
        <v>MAD</v>
      </c>
      <c r="N879" t="str">
        <f>+RIGHT(DB!M879,6)</f>
        <v/>
      </c>
      <c r="O879">
        <v>95</v>
      </c>
      <c r="P879">
        <v>5</v>
      </c>
      <c r="Q879">
        <f>+DB!AB879</f>
        <v>0</v>
      </c>
      <c r="R879">
        <f>+DB!K879</f>
        <v>0</v>
      </c>
      <c r="S879">
        <f>+DB!F879</f>
        <v>0</v>
      </c>
      <c r="T879">
        <f>+IF(DB!F879="AAAC-35",1,3)</f>
        <v>3</v>
      </c>
      <c r="U879">
        <f>+DB!R879</f>
        <v>0</v>
      </c>
      <c r="V879">
        <f>+IF(DB!P879="1RI",1,0)+IF(DB!P879="2RI",2,0)</f>
        <v>0</v>
      </c>
      <c r="W879">
        <f>+IF(DB!P879="1RV",1,0)+IF(DB!P879="2RV",2,0)</f>
        <v>0</v>
      </c>
      <c r="X879">
        <f>+IF(DB!P879="RYI",1,0)</f>
        <v>0</v>
      </c>
      <c r="Y879">
        <f>+IF(DB!P879="RYV",1,0)</f>
        <v>0</v>
      </c>
      <c r="Z879">
        <f>+DB!U879</f>
        <v>0</v>
      </c>
      <c r="AA879">
        <f>+IF(DB!F879="AAAC-35",19.5,33)</f>
        <v>33</v>
      </c>
      <c r="AB879">
        <f>+DB!V879</f>
        <v>0</v>
      </c>
      <c r="AC879" t="str">
        <f t="shared" si="41"/>
        <v>56-4</v>
      </c>
      <c r="AD879" s="21" t="s">
        <v>72</v>
      </c>
      <c r="AE879">
        <f>+DB!X879</f>
        <v>0</v>
      </c>
      <c r="AF879" s="22">
        <f>+DB!Y879</f>
        <v>0</v>
      </c>
      <c r="AG879">
        <f>+DB!AK879</f>
        <v>0</v>
      </c>
    </row>
    <row r="880" spans="1:33" x14ac:dyDescent="0.2">
      <c r="AD880" s="21"/>
      <c r="AF880" s="22"/>
    </row>
    <row r="881" spans="30:32" x14ac:dyDescent="0.2">
      <c r="AD881" s="21"/>
      <c r="AF881" s="22"/>
    </row>
    <row r="882" spans="30:32" x14ac:dyDescent="0.2">
      <c r="AD882" s="21"/>
      <c r="AF882" s="22"/>
    </row>
    <row r="883" spans="30:32" x14ac:dyDescent="0.2">
      <c r="AD883" s="21"/>
      <c r="AF883" s="22"/>
    </row>
    <row r="884" spans="30:32" x14ac:dyDescent="0.2">
      <c r="AD884" s="21"/>
      <c r="AF884" s="22"/>
    </row>
    <row r="885" spans="30:32" x14ac:dyDescent="0.2">
      <c r="AD885" s="21"/>
      <c r="AF885" s="22"/>
    </row>
    <row r="886" spans="30:32" x14ac:dyDescent="0.2">
      <c r="AD886" s="21"/>
      <c r="AF886" s="22"/>
    </row>
    <row r="887" spans="30:32" x14ac:dyDescent="0.2">
      <c r="AD887" s="21"/>
      <c r="AF887" s="22"/>
    </row>
    <row r="888" spans="30:32" x14ac:dyDescent="0.2">
      <c r="AD888" s="21"/>
      <c r="AF888" s="22"/>
    </row>
    <row r="889" spans="30:32" x14ac:dyDescent="0.2">
      <c r="AD889" s="21"/>
      <c r="AF889" s="22"/>
    </row>
    <row r="890" spans="30:32" x14ac:dyDescent="0.2">
      <c r="AD890" s="21"/>
      <c r="AF890" s="22"/>
    </row>
    <row r="891" spans="30:32" x14ac:dyDescent="0.2">
      <c r="AD891" s="21"/>
      <c r="AF891" s="22"/>
    </row>
    <row r="892" spans="30:32" x14ac:dyDescent="0.2">
      <c r="AD892" s="21"/>
      <c r="AF892" s="22"/>
    </row>
    <row r="893" spans="30:32" x14ac:dyDescent="0.2">
      <c r="AD893" s="21"/>
      <c r="AF893" s="22"/>
    </row>
    <row r="894" spans="30:32" x14ac:dyDescent="0.2">
      <c r="AD894" s="21"/>
      <c r="AF894" s="22"/>
    </row>
    <row r="895" spans="30:32" x14ac:dyDescent="0.2">
      <c r="AD895" s="21"/>
      <c r="AF895" s="22"/>
    </row>
    <row r="896" spans="30:32" x14ac:dyDescent="0.2">
      <c r="AD896" s="21"/>
      <c r="AF896" s="22"/>
    </row>
    <row r="897" spans="30:32" x14ac:dyDescent="0.2">
      <c r="AD897" s="21"/>
      <c r="AF897" s="22"/>
    </row>
    <row r="898" spans="30:32" x14ac:dyDescent="0.2">
      <c r="AD898" s="21"/>
      <c r="AF898" s="22"/>
    </row>
    <row r="899" spans="30:32" x14ac:dyDescent="0.2">
      <c r="AD899" s="21"/>
      <c r="AF899" s="22"/>
    </row>
    <row r="900" spans="30:32" x14ac:dyDescent="0.2">
      <c r="AD900" s="21"/>
      <c r="AF900" s="22"/>
    </row>
    <row r="901" spans="30:32" x14ac:dyDescent="0.2">
      <c r="AD901" s="21"/>
      <c r="AF901" s="22"/>
    </row>
    <row r="902" spans="30:32" x14ac:dyDescent="0.2">
      <c r="AD902" s="21"/>
      <c r="AF902" s="22"/>
    </row>
    <row r="903" spans="30:32" x14ac:dyDescent="0.2">
      <c r="AD903" s="21"/>
      <c r="AF903" s="22"/>
    </row>
    <row r="904" spans="30:32" x14ac:dyDescent="0.2">
      <c r="AD904" s="21"/>
      <c r="AF904" s="22"/>
    </row>
    <row r="905" spans="30:32" x14ac:dyDescent="0.2">
      <c r="AD905" s="21"/>
      <c r="AF905" s="22"/>
    </row>
    <row r="906" spans="30:32" x14ac:dyDescent="0.2">
      <c r="AD906" s="21"/>
      <c r="AF906" s="22"/>
    </row>
    <row r="907" spans="30:32" x14ac:dyDescent="0.2">
      <c r="AD907" s="21"/>
      <c r="AF907" s="22"/>
    </row>
    <row r="908" spans="30:32" x14ac:dyDescent="0.2">
      <c r="AD908" s="21"/>
      <c r="AF908" s="22"/>
    </row>
    <row r="909" spans="30:32" x14ac:dyDescent="0.2">
      <c r="AD909" s="21"/>
      <c r="AF909" s="22"/>
    </row>
    <row r="910" spans="30:32" x14ac:dyDescent="0.2">
      <c r="AD910" s="21"/>
      <c r="AF910" s="22"/>
    </row>
    <row r="911" spans="30:32" x14ac:dyDescent="0.2">
      <c r="AD911" s="21"/>
      <c r="AF911" s="22"/>
    </row>
    <row r="912" spans="30:32" x14ac:dyDescent="0.2">
      <c r="AD912" s="21"/>
      <c r="AF912" s="22"/>
    </row>
    <row r="913" spans="30:32" x14ac:dyDescent="0.2">
      <c r="AD913" s="21"/>
      <c r="AF913" s="22"/>
    </row>
    <row r="914" spans="30:32" x14ac:dyDescent="0.2">
      <c r="AD914" s="21"/>
      <c r="AF914" s="22"/>
    </row>
    <row r="915" spans="30:32" x14ac:dyDescent="0.2">
      <c r="AD915" s="21"/>
      <c r="AF915" s="22"/>
    </row>
    <row r="916" spans="30:32" x14ac:dyDescent="0.2">
      <c r="AD916" s="21"/>
      <c r="AF916" s="22"/>
    </row>
    <row r="917" spans="30:32" x14ac:dyDescent="0.2">
      <c r="AD917" s="21"/>
      <c r="AF917" s="22"/>
    </row>
    <row r="918" spans="30:32" x14ac:dyDescent="0.2">
      <c r="AD918" s="21"/>
      <c r="AF918" s="22"/>
    </row>
    <row r="919" spans="30:32" x14ac:dyDescent="0.2">
      <c r="AD919" s="21"/>
      <c r="AF919" s="22"/>
    </row>
    <row r="920" spans="30:32" x14ac:dyDescent="0.2">
      <c r="AD920" s="21"/>
      <c r="AF920" s="22"/>
    </row>
    <row r="921" spans="30:32" x14ac:dyDescent="0.2">
      <c r="AD921" s="21"/>
      <c r="AF921" s="22"/>
    </row>
    <row r="922" spans="30:32" x14ac:dyDescent="0.2">
      <c r="AD922" s="21"/>
      <c r="AF922" s="22"/>
    </row>
    <row r="923" spans="30:32" x14ac:dyDescent="0.2">
      <c r="AD923" s="21"/>
      <c r="AF923" s="22"/>
    </row>
    <row r="924" spans="30:32" x14ac:dyDescent="0.2">
      <c r="AD924" s="21"/>
      <c r="AF924" s="22"/>
    </row>
    <row r="925" spans="30:32" x14ac:dyDescent="0.2">
      <c r="AD925" s="21"/>
      <c r="AF925" s="22"/>
    </row>
    <row r="926" spans="30:32" x14ac:dyDescent="0.2">
      <c r="AD926" s="21"/>
      <c r="AF926" s="22"/>
    </row>
    <row r="927" spans="30:32" x14ac:dyDescent="0.2">
      <c r="AD927" s="21"/>
      <c r="AF927" s="22"/>
    </row>
    <row r="928" spans="30:32" x14ac:dyDescent="0.2">
      <c r="AD928" s="21"/>
      <c r="AF928" s="22"/>
    </row>
    <row r="929" spans="30:32" x14ac:dyDescent="0.2">
      <c r="AD929" s="21"/>
      <c r="AF929" s="22"/>
    </row>
    <row r="930" spans="30:32" x14ac:dyDescent="0.2">
      <c r="AD930" s="21"/>
      <c r="AF930" s="22"/>
    </row>
    <row r="931" spans="30:32" x14ac:dyDescent="0.2">
      <c r="AD931" s="21"/>
      <c r="AF931" s="22"/>
    </row>
    <row r="932" spans="30:32" x14ac:dyDescent="0.2">
      <c r="AD932" s="21"/>
      <c r="AF932" s="22"/>
    </row>
    <row r="933" spans="30:32" x14ac:dyDescent="0.2">
      <c r="AD933" s="21"/>
      <c r="AF933" s="22"/>
    </row>
    <row r="934" spans="30:32" x14ac:dyDescent="0.2">
      <c r="AD934" s="21"/>
      <c r="AF934" s="22"/>
    </row>
    <row r="935" spans="30:32" x14ac:dyDescent="0.2">
      <c r="AD935" s="21"/>
      <c r="AF935" s="22"/>
    </row>
    <row r="936" spans="30:32" x14ac:dyDescent="0.2">
      <c r="AD936" s="21"/>
      <c r="AF936" s="22"/>
    </row>
    <row r="937" spans="30:32" x14ac:dyDescent="0.2">
      <c r="AD937" s="21"/>
      <c r="AF937" s="22"/>
    </row>
    <row r="938" spans="30:32" x14ac:dyDescent="0.2">
      <c r="AD938" s="21"/>
      <c r="AF938" s="22"/>
    </row>
    <row r="939" spans="30:32" x14ac:dyDescent="0.2">
      <c r="AD939" s="21"/>
      <c r="AF939" s="22"/>
    </row>
    <row r="940" spans="30:32" x14ac:dyDescent="0.2">
      <c r="AD940" s="21"/>
      <c r="AF940" s="22"/>
    </row>
    <row r="941" spans="30:32" x14ac:dyDescent="0.2">
      <c r="AD941" s="21"/>
      <c r="AF941" s="22"/>
    </row>
    <row r="942" spans="30:32" x14ac:dyDescent="0.2">
      <c r="AD942" s="21"/>
      <c r="AF942" s="22"/>
    </row>
    <row r="943" spans="30:32" x14ac:dyDescent="0.2">
      <c r="AD943" s="21"/>
      <c r="AF943" s="22"/>
    </row>
    <row r="944" spans="30:32" x14ac:dyDescent="0.2">
      <c r="AD944" s="21"/>
      <c r="AF944" s="22"/>
    </row>
    <row r="945" spans="30:32" x14ac:dyDescent="0.2">
      <c r="AD945" s="21"/>
      <c r="AF945" s="22"/>
    </row>
    <row r="946" spans="30:32" x14ac:dyDescent="0.2">
      <c r="AD946" s="21"/>
      <c r="AF946" s="22"/>
    </row>
    <row r="947" spans="30:32" x14ac:dyDescent="0.2">
      <c r="AD947" s="21"/>
      <c r="AF947" s="22"/>
    </row>
    <row r="948" spans="30:32" x14ac:dyDescent="0.2">
      <c r="AD948" s="21"/>
      <c r="AF948" s="22"/>
    </row>
    <row r="949" spans="30:32" x14ac:dyDescent="0.2">
      <c r="AD949" s="21"/>
      <c r="AF949" s="22"/>
    </row>
    <row r="950" spans="30:32" x14ac:dyDescent="0.2">
      <c r="AD950" s="21"/>
      <c r="AF950" s="22"/>
    </row>
    <row r="951" spans="30:32" x14ac:dyDescent="0.2">
      <c r="AD951" s="21"/>
      <c r="AF951" s="22"/>
    </row>
    <row r="952" spans="30:32" x14ac:dyDescent="0.2">
      <c r="AD952" s="21"/>
      <c r="AF952" s="22"/>
    </row>
    <row r="953" spans="30:32" x14ac:dyDescent="0.2">
      <c r="AD953" s="21"/>
      <c r="AF953" s="22"/>
    </row>
    <row r="954" spans="30:32" x14ac:dyDescent="0.2">
      <c r="AD954" s="21"/>
      <c r="AF954" s="22"/>
    </row>
    <row r="955" spans="30:32" x14ac:dyDescent="0.2">
      <c r="AD955" s="21"/>
      <c r="AF955" s="22"/>
    </row>
    <row r="956" spans="30:32" x14ac:dyDescent="0.2">
      <c r="AD956" s="21"/>
      <c r="AF956" s="22"/>
    </row>
    <row r="957" spans="30:32" x14ac:dyDescent="0.2">
      <c r="AD957" s="21"/>
      <c r="AF957" s="22"/>
    </row>
    <row r="958" spans="30:32" x14ac:dyDescent="0.2">
      <c r="AD958" s="21"/>
      <c r="AF958" s="22"/>
    </row>
    <row r="959" spans="30:32" x14ac:dyDescent="0.2">
      <c r="AD959" s="21"/>
      <c r="AF959" s="22"/>
    </row>
    <row r="960" spans="30:32" x14ac:dyDescent="0.2">
      <c r="AD960" s="21"/>
      <c r="AF960" s="22"/>
    </row>
    <row r="961" spans="30:32" x14ac:dyDescent="0.2">
      <c r="AD961" s="21"/>
      <c r="AF961" s="22"/>
    </row>
    <row r="962" spans="30:32" x14ac:dyDescent="0.2">
      <c r="AD962" s="21"/>
      <c r="AF962" s="22"/>
    </row>
    <row r="963" spans="30:32" x14ac:dyDescent="0.2">
      <c r="AD963" s="21"/>
      <c r="AF963" s="22"/>
    </row>
    <row r="964" spans="30:32" x14ac:dyDescent="0.2">
      <c r="AD964" s="21"/>
      <c r="AF964" s="22"/>
    </row>
    <row r="965" spans="30:32" x14ac:dyDescent="0.2">
      <c r="AD965" s="21"/>
      <c r="AF965" s="22"/>
    </row>
    <row r="966" spans="30:32" x14ac:dyDescent="0.2">
      <c r="AD966" s="21"/>
      <c r="AF966" s="22"/>
    </row>
    <row r="967" spans="30:32" x14ac:dyDescent="0.2">
      <c r="AD967" s="21"/>
      <c r="AF967" s="22"/>
    </row>
    <row r="968" spans="30:32" x14ac:dyDescent="0.2">
      <c r="AD968" s="21"/>
      <c r="AF968" s="22"/>
    </row>
    <row r="969" spans="30:32" x14ac:dyDescent="0.2">
      <c r="AD969" s="21"/>
      <c r="AF969" s="22"/>
    </row>
    <row r="970" spans="30:32" x14ac:dyDescent="0.2">
      <c r="AD970" s="21"/>
      <c r="AF970" s="22"/>
    </row>
    <row r="971" spans="30:32" x14ac:dyDescent="0.2">
      <c r="AD971" s="21"/>
      <c r="AF971" s="22"/>
    </row>
    <row r="972" spans="30:32" x14ac:dyDescent="0.2">
      <c r="AD972" s="21"/>
      <c r="AF972" s="22"/>
    </row>
    <row r="973" spans="30:32" x14ac:dyDescent="0.2">
      <c r="AD973" s="21"/>
      <c r="AF973" s="22"/>
    </row>
    <row r="974" spans="30:32" x14ac:dyDescent="0.2">
      <c r="AD974" s="21"/>
      <c r="AF974" s="22"/>
    </row>
    <row r="975" spans="30:32" x14ac:dyDescent="0.2">
      <c r="AD975" s="21"/>
      <c r="AF975" s="22"/>
    </row>
    <row r="976" spans="30:32" x14ac:dyDescent="0.2">
      <c r="AD976" s="21"/>
      <c r="AF976" s="22"/>
    </row>
    <row r="977" spans="30:32" x14ac:dyDescent="0.2">
      <c r="AD977" s="21"/>
      <c r="AF977" s="22"/>
    </row>
    <row r="978" spans="30:32" x14ac:dyDescent="0.2">
      <c r="AD978" s="21"/>
      <c r="AF978" s="22"/>
    </row>
    <row r="979" spans="30:32" x14ac:dyDescent="0.2">
      <c r="AD979" s="21"/>
      <c r="AF979" s="22"/>
    </row>
    <row r="980" spans="30:32" x14ac:dyDescent="0.2">
      <c r="AD980" s="21"/>
      <c r="AF980" s="22"/>
    </row>
    <row r="981" spans="30:32" x14ac:dyDescent="0.2">
      <c r="AD981" s="21"/>
      <c r="AF981" s="22"/>
    </row>
    <row r="982" spans="30:32" x14ac:dyDescent="0.2">
      <c r="AD982" s="21"/>
      <c r="AF982" s="22"/>
    </row>
    <row r="983" spans="30:32" x14ac:dyDescent="0.2">
      <c r="AD983" s="21"/>
      <c r="AF983" s="22"/>
    </row>
    <row r="984" spans="30:32" x14ac:dyDescent="0.2">
      <c r="AD984" s="21"/>
      <c r="AF984" s="22"/>
    </row>
    <row r="985" spans="30:32" x14ac:dyDescent="0.2">
      <c r="AD985" s="21"/>
      <c r="AF985" s="22"/>
    </row>
    <row r="986" spans="30:32" x14ac:dyDescent="0.2">
      <c r="AD986" s="21"/>
      <c r="AF986" s="22"/>
    </row>
    <row r="987" spans="30:32" x14ac:dyDescent="0.2">
      <c r="AD987" s="21"/>
      <c r="AF987" s="22"/>
    </row>
    <row r="988" spans="30:32" x14ac:dyDescent="0.2">
      <c r="AD988" s="21"/>
      <c r="AF988" s="22"/>
    </row>
    <row r="989" spans="30:32" x14ac:dyDescent="0.2">
      <c r="AD989" s="21"/>
      <c r="AF989" s="22"/>
    </row>
    <row r="990" spans="30:32" x14ac:dyDescent="0.2">
      <c r="AD990" s="21"/>
      <c r="AF990" s="22"/>
    </row>
    <row r="991" spans="30:32" x14ac:dyDescent="0.2">
      <c r="AD991" s="21"/>
      <c r="AF991" s="22"/>
    </row>
    <row r="992" spans="30:32" x14ac:dyDescent="0.2">
      <c r="AD992" s="21"/>
      <c r="AF992" s="22"/>
    </row>
    <row r="993" spans="30:32" x14ac:dyDescent="0.2">
      <c r="AD993" s="21"/>
      <c r="AF993" s="22"/>
    </row>
    <row r="994" spans="30:32" x14ac:dyDescent="0.2">
      <c r="AD994" s="21"/>
      <c r="AF994" s="22"/>
    </row>
    <row r="995" spans="30:32" x14ac:dyDescent="0.2">
      <c r="AD995" s="21"/>
      <c r="AF995" s="22"/>
    </row>
    <row r="996" spans="30:32" x14ac:dyDescent="0.2">
      <c r="AD996" s="21"/>
      <c r="AF996" s="22"/>
    </row>
    <row r="997" spans="30:32" x14ac:dyDescent="0.2">
      <c r="AD997" s="21"/>
      <c r="AF997" s="22"/>
    </row>
    <row r="998" spans="30:32" x14ac:dyDescent="0.2">
      <c r="AD998" s="21"/>
      <c r="AF998" s="22"/>
    </row>
    <row r="999" spans="30:32" x14ac:dyDescent="0.2">
      <c r="AD999" s="21"/>
      <c r="AF999" s="22"/>
    </row>
    <row r="1000" spans="30:32" x14ac:dyDescent="0.2">
      <c r="AD1000" s="21"/>
      <c r="AF1000" s="22"/>
    </row>
    <row r="1001" spans="30:32" x14ac:dyDescent="0.2">
      <c r="AD1001" s="21"/>
      <c r="AF1001" s="22"/>
    </row>
    <row r="1002" spans="30:32" x14ac:dyDescent="0.2">
      <c r="AD1002" s="21"/>
      <c r="AF1002" s="22"/>
    </row>
    <row r="1003" spans="30:32" x14ac:dyDescent="0.2">
      <c r="AD1003" s="21"/>
      <c r="AF1003" s="22"/>
    </row>
    <row r="1004" spans="30:32" x14ac:dyDescent="0.2">
      <c r="AD1004" s="21"/>
      <c r="AF1004" s="22"/>
    </row>
    <row r="1005" spans="30:32" x14ac:dyDescent="0.2">
      <c r="AD1005" s="21"/>
      <c r="AF1005" s="22"/>
    </row>
    <row r="1006" spans="30:32" x14ac:dyDescent="0.2">
      <c r="AD1006" s="21"/>
      <c r="AF1006" s="22"/>
    </row>
    <row r="1007" spans="30:32" x14ac:dyDescent="0.2">
      <c r="AD1007" s="21"/>
      <c r="AF1007" s="22"/>
    </row>
    <row r="1008" spans="30:32" x14ac:dyDescent="0.2">
      <c r="AD1008" s="21"/>
      <c r="AF1008" s="22"/>
    </row>
    <row r="1009" spans="30:32" x14ac:dyDescent="0.2">
      <c r="AD1009" s="21"/>
      <c r="AF1009" s="22"/>
    </row>
    <row r="1010" spans="30:32" x14ac:dyDescent="0.2">
      <c r="AD1010" s="21"/>
      <c r="AF1010" s="22"/>
    </row>
    <row r="1011" spans="30:32" x14ac:dyDescent="0.2">
      <c r="AD1011" s="21"/>
      <c r="AF1011" s="22"/>
    </row>
    <row r="1012" spans="30:32" x14ac:dyDescent="0.2">
      <c r="AD1012" s="21"/>
      <c r="AF1012" s="22"/>
    </row>
    <row r="1013" spans="30:32" x14ac:dyDescent="0.2">
      <c r="AD1013" s="21"/>
      <c r="AF1013" s="22"/>
    </row>
    <row r="1014" spans="30:32" x14ac:dyDescent="0.2">
      <c r="AD1014" s="21"/>
      <c r="AF1014" s="22"/>
    </row>
    <row r="1015" spans="30:32" x14ac:dyDescent="0.2">
      <c r="AD1015" s="21"/>
      <c r="AF1015" s="22"/>
    </row>
    <row r="1016" spans="30:32" x14ac:dyDescent="0.2">
      <c r="AD1016" s="21"/>
      <c r="AF1016" s="22"/>
    </row>
    <row r="1017" spans="30:32" x14ac:dyDescent="0.2">
      <c r="AD1017" s="21"/>
      <c r="AF1017" s="22"/>
    </row>
    <row r="1018" spans="30:32" x14ac:dyDescent="0.2">
      <c r="AD1018" s="21"/>
      <c r="AF1018" s="22"/>
    </row>
    <row r="1019" spans="30:32" x14ac:dyDescent="0.2">
      <c r="AD1019" s="21"/>
      <c r="AF1019" s="22"/>
    </row>
    <row r="1020" spans="30:32" x14ac:dyDescent="0.2">
      <c r="AD1020" s="21"/>
      <c r="AF1020" s="22"/>
    </row>
    <row r="1021" spans="30:32" x14ac:dyDescent="0.2">
      <c r="AD1021" s="21"/>
      <c r="AF1021" s="22"/>
    </row>
    <row r="1022" spans="30:32" x14ac:dyDescent="0.2">
      <c r="AD1022" s="21"/>
      <c r="AF1022" s="22"/>
    </row>
    <row r="1023" spans="30:32" x14ac:dyDescent="0.2">
      <c r="AD1023" s="21"/>
      <c r="AF1023" s="22"/>
    </row>
    <row r="1024" spans="30:32" x14ac:dyDescent="0.2">
      <c r="AD1024" s="21"/>
      <c r="AF1024" s="22"/>
    </row>
    <row r="1025" spans="30:32" x14ac:dyDescent="0.2">
      <c r="AD1025" s="21"/>
      <c r="AF1025" s="22"/>
    </row>
    <row r="1026" spans="30:32" x14ac:dyDescent="0.2">
      <c r="AD1026" s="21"/>
      <c r="AF1026" s="22"/>
    </row>
    <row r="1027" spans="30:32" x14ac:dyDescent="0.2">
      <c r="AD1027" s="21"/>
      <c r="AF1027" s="22"/>
    </row>
    <row r="1028" spans="30:32" x14ac:dyDescent="0.2">
      <c r="AD1028" s="21"/>
      <c r="AF1028" s="22"/>
    </row>
    <row r="1029" spans="30:32" x14ac:dyDescent="0.2">
      <c r="AD1029" s="21"/>
      <c r="AF1029" s="22"/>
    </row>
    <row r="1030" spans="30:32" x14ac:dyDescent="0.2">
      <c r="AD1030" s="21"/>
      <c r="AF1030" s="22"/>
    </row>
    <row r="1031" spans="30:32" x14ac:dyDescent="0.2">
      <c r="AD1031" s="21"/>
      <c r="AF1031" s="22"/>
    </row>
    <row r="1032" spans="30:32" x14ac:dyDescent="0.2">
      <c r="AD1032" s="21"/>
      <c r="AF1032" s="22"/>
    </row>
    <row r="1033" spans="30:32" x14ac:dyDescent="0.2">
      <c r="AD1033" s="21"/>
      <c r="AF1033" s="22"/>
    </row>
    <row r="1034" spans="30:32" x14ac:dyDescent="0.2">
      <c r="AD1034" s="21"/>
      <c r="AF1034" s="22"/>
    </row>
    <row r="1035" spans="30:32" x14ac:dyDescent="0.2">
      <c r="AD1035" s="21"/>
      <c r="AF1035" s="22"/>
    </row>
    <row r="1036" spans="30:32" x14ac:dyDescent="0.2">
      <c r="AD1036" s="21"/>
      <c r="AF1036" s="22"/>
    </row>
    <row r="1037" spans="30:32" x14ac:dyDescent="0.2">
      <c r="AD1037" s="21"/>
      <c r="AF1037" s="22"/>
    </row>
    <row r="1038" spans="30:32" x14ac:dyDescent="0.2">
      <c r="AD1038" s="21"/>
      <c r="AF1038" s="22"/>
    </row>
    <row r="1039" spans="30:32" x14ac:dyDescent="0.2">
      <c r="AD1039" s="21"/>
      <c r="AF1039" s="22"/>
    </row>
    <row r="1040" spans="30:32" x14ac:dyDescent="0.2">
      <c r="AD1040" s="21"/>
      <c r="AF1040" s="22"/>
    </row>
    <row r="1041" spans="30:32" x14ac:dyDescent="0.2">
      <c r="AD1041" s="21"/>
      <c r="AF1041" s="22"/>
    </row>
    <row r="1042" spans="30:32" x14ac:dyDescent="0.2">
      <c r="AD1042" s="21"/>
      <c r="AF1042" s="22"/>
    </row>
    <row r="1043" spans="30:32" x14ac:dyDescent="0.2">
      <c r="AD1043" s="21"/>
      <c r="AF1043" s="22"/>
    </row>
    <row r="1044" spans="30:32" x14ac:dyDescent="0.2">
      <c r="AD1044" s="21"/>
      <c r="AF1044" s="22"/>
    </row>
    <row r="1045" spans="30:32" x14ac:dyDescent="0.2">
      <c r="AD1045" s="21"/>
      <c r="AF1045" s="22"/>
    </row>
    <row r="1046" spans="30:32" x14ac:dyDescent="0.2">
      <c r="AD1046" s="21"/>
      <c r="AF1046" s="22"/>
    </row>
    <row r="1047" spans="30:32" x14ac:dyDescent="0.2">
      <c r="AD1047" s="21"/>
      <c r="AF1047" s="22"/>
    </row>
    <row r="1048" spans="30:32" x14ac:dyDescent="0.2">
      <c r="AD1048" s="21"/>
      <c r="AF1048" s="22"/>
    </row>
    <row r="1049" spans="30:32" x14ac:dyDescent="0.2">
      <c r="AD1049" s="21"/>
      <c r="AF1049" s="22"/>
    </row>
    <row r="1050" spans="30:32" x14ac:dyDescent="0.2">
      <c r="AD1050" s="21"/>
      <c r="AF1050" s="22"/>
    </row>
    <row r="1051" spans="30:32" x14ac:dyDescent="0.2">
      <c r="AD1051" s="21"/>
      <c r="AF1051" s="22"/>
    </row>
    <row r="1052" spans="30:32" x14ac:dyDescent="0.2">
      <c r="AD1052" s="21"/>
      <c r="AF1052" s="22"/>
    </row>
    <row r="1053" spans="30:32" x14ac:dyDescent="0.2">
      <c r="AD1053" s="21"/>
      <c r="AF1053" s="22"/>
    </row>
    <row r="1054" spans="30:32" x14ac:dyDescent="0.2">
      <c r="AD1054" s="21"/>
      <c r="AF1054" s="22"/>
    </row>
    <row r="1055" spans="30:32" x14ac:dyDescent="0.2">
      <c r="AD1055" s="21"/>
      <c r="AF1055" s="22"/>
    </row>
    <row r="1056" spans="30:32" x14ac:dyDescent="0.2">
      <c r="AD1056" s="21"/>
      <c r="AF1056" s="22"/>
    </row>
    <row r="1057" spans="30:32" x14ac:dyDescent="0.2">
      <c r="AD1057" s="21"/>
      <c r="AF1057" s="22"/>
    </row>
    <row r="1058" spans="30:32" x14ac:dyDescent="0.2">
      <c r="AD1058" s="21"/>
      <c r="AF1058" s="22"/>
    </row>
    <row r="1059" spans="30:32" x14ac:dyDescent="0.2">
      <c r="AD1059" s="21"/>
      <c r="AF1059" s="22"/>
    </row>
    <row r="1060" spans="30:32" x14ac:dyDescent="0.2">
      <c r="AD1060" s="21"/>
      <c r="AF1060" s="22"/>
    </row>
    <row r="1061" spans="30:32" x14ac:dyDescent="0.2">
      <c r="AD1061" s="21"/>
      <c r="AF1061" s="22"/>
    </row>
    <row r="1062" spans="30:32" x14ac:dyDescent="0.2">
      <c r="AD1062" s="21"/>
      <c r="AF1062" s="22"/>
    </row>
    <row r="1063" spans="30:32" x14ac:dyDescent="0.2">
      <c r="AD1063" s="21"/>
      <c r="AF1063" s="22"/>
    </row>
    <row r="1064" spans="30:32" x14ac:dyDescent="0.2">
      <c r="AD1064" s="21"/>
      <c r="AF1064" s="22"/>
    </row>
    <row r="1065" spans="30:32" x14ac:dyDescent="0.2">
      <c r="AD1065" s="21"/>
      <c r="AF1065" s="22"/>
    </row>
    <row r="1066" spans="30:32" x14ac:dyDescent="0.2">
      <c r="AD1066" s="21"/>
      <c r="AF1066" s="22"/>
    </row>
    <row r="1067" spans="30:32" x14ac:dyDescent="0.2">
      <c r="AD1067" s="21"/>
      <c r="AF1067" s="22"/>
    </row>
    <row r="1068" spans="30:32" x14ac:dyDescent="0.2">
      <c r="AD1068" s="21"/>
      <c r="AF1068" s="22"/>
    </row>
    <row r="1069" spans="30:32" x14ac:dyDescent="0.2">
      <c r="AD1069" s="21"/>
      <c r="AF1069" s="22"/>
    </row>
    <row r="1070" spans="30:32" x14ac:dyDescent="0.2">
      <c r="AD1070" s="21"/>
      <c r="AF1070" s="22"/>
    </row>
    <row r="1071" spans="30:32" x14ac:dyDescent="0.2">
      <c r="AD1071" s="21"/>
      <c r="AF1071" s="22"/>
    </row>
    <row r="1072" spans="30:32" x14ac:dyDescent="0.2">
      <c r="AD1072" s="21"/>
      <c r="AF1072" s="22"/>
    </row>
    <row r="1073" spans="30:32" x14ac:dyDescent="0.2">
      <c r="AD1073" s="21"/>
      <c r="AF1073" s="22"/>
    </row>
    <row r="1074" spans="30:32" x14ac:dyDescent="0.2">
      <c r="AD1074" s="21"/>
      <c r="AF1074" s="22"/>
    </row>
    <row r="1075" spans="30:32" x14ac:dyDescent="0.2">
      <c r="AD1075" s="21"/>
      <c r="AF1075" s="22"/>
    </row>
    <row r="1076" spans="30:32" x14ac:dyDescent="0.2">
      <c r="AD1076" s="21"/>
      <c r="AF1076" s="22"/>
    </row>
    <row r="1077" spans="30:32" x14ac:dyDescent="0.2">
      <c r="AD1077" s="21"/>
      <c r="AF1077" s="22"/>
    </row>
    <row r="1078" spans="30:32" x14ac:dyDescent="0.2">
      <c r="AD1078" s="21"/>
      <c r="AF1078" s="22"/>
    </row>
    <row r="1079" spans="30:32" x14ac:dyDescent="0.2">
      <c r="AD1079" s="21"/>
      <c r="AF1079" s="22"/>
    </row>
    <row r="1080" spans="30:32" x14ac:dyDescent="0.2">
      <c r="AD1080" s="21"/>
      <c r="AF1080" s="22"/>
    </row>
    <row r="1081" spans="30:32" x14ac:dyDescent="0.2">
      <c r="AD1081" s="21"/>
      <c r="AF1081" s="22"/>
    </row>
    <row r="1082" spans="30:32" x14ac:dyDescent="0.2">
      <c r="AD1082" s="21"/>
      <c r="AF1082" s="22"/>
    </row>
    <row r="1083" spans="30:32" x14ac:dyDescent="0.2">
      <c r="AD1083" s="21"/>
      <c r="AF1083" s="22"/>
    </row>
    <row r="1084" spans="30:32" x14ac:dyDescent="0.2">
      <c r="AD1084" s="21"/>
      <c r="AF1084" s="22"/>
    </row>
    <row r="1085" spans="30:32" x14ac:dyDescent="0.2">
      <c r="AD1085" s="21"/>
      <c r="AF1085" s="22"/>
    </row>
    <row r="1086" spans="30:32" x14ac:dyDescent="0.2">
      <c r="AD1086" s="21"/>
      <c r="AF1086" s="22"/>
    </row>
    <row r="1087" spans="30:32" x14ac:dyDescent="0.2">
      <c r="AD1087" s="21"/>
      <c r="AF1087" s="22"/>
    </row>
    <row r="1088" spans="30:32" x14ac:dyDescent="0.2">
      <c r="AD1088" s="21"/>
      <c r="AF1088" s="22"/>
    </row>
    <row r="1089" spans="30:32" x14ac:dyDescent="0.2">
      <c r="AD1089" s="21"/>
      <c r="AF1089" s="22"/>
    </row>
    <row r="1090" spans="30:32" x14ac:dyDescent="0.2">
      <c r="AD1090" s="21"/>
      <c r="AF1090" s="22"/>
    </row>
    <row r="1091" spans="30:32" x14ac:dyDescent="0.2">
      <c r="AD1091" s="21"/>
      <c r="AF1091" s="22"/>
    </row>
    <row r="1092" spans="30:32" x14ac:dyDescent="0.2">
      <c r="AD1092" s="21"/>
      <c r="AF1092" s="22"/>
    </row>
    <row r="1093" spans="30:32" x14ac:dyDescent="0.2">
      <c r="AD1093" s="21"/>
      <c r="AF1093" s="22"/>
    </row>
    <row r="1094" spans="30:32" x14ac:dyDescent="0.2">
      <c r="AD1094" s="21"/>
      <c r="AF1094" s="22"/>
    </row>
    <row r="1095" spans="30:32" x14ac:dyDescent="0.2">
      <c r="AD1095" s="21"/>
      <c r="AF1095" s="22"/>
    </row>
    <row r="1096" spans="30:32" x14ac:dyDescent="0.2">
      <c r="AD1096" s="21"/>
      <c r="AF1096" s="22"/>
    </row>
    <row r="1097" spans="30:32" x14ac:dyDescent="0.2">
      <c r="AD1097" s="21"/>
      <c r="AF1097" s="22"/>
    </row>
    <row r="1098" spans="30:32" x14ac:dyDescent="0.2">
      <c r="AD1098" s="21"/>
      <c r="AF1098" s="22"/>
    </row>
    <row r="1099" spans="30:32" x14ac:dyDescent="0.2">
      <c r="AD1099" s="21"/>
      <c r="AF1099" s="22"/>
    </row>
    <row r="1100" spans="30:32" x14ac:dyDescent="0.2">
      <c r="AD1100" s="21"/>
      <c r="AF1100" s="22"/>
    </row>
    <row r="1101" spans="30:32" x14ac:dyDescent="0.2">
      <c r="AD1101" s="21"/>
      <c r="AF1101" s="22"/>
    </row>
    <row r="1102" spans="30:32" x14ac:dyDescent="0.2">
      <c r="AD1102" s="21"/>
      <c r="AF1102" s="22"/>
    </row>
    <row r="1103" spans="30:32" x14ac:dyDescent="0.2">
      <c r="AD1103" s="21"/>
      <c r="AF1103" s="22"/>
    </row>
    <row r="1104" spans="30:32" x14ac:dyDescent="0.2">
      <c r="AD1104" s="21"/>
      <c r="AF1104" s="22"/>
    </row>
    <row r="1105" spans="30:32" x14ac:dyDescent="0.2">
      <c r="AD1105" s="21"/>
      <c r="AF1105" s="22"/>
    </row>
    <row r="1106" spans="30:32" x14ac:dyDescent="0.2">
      <c r="AD1106" s="21"/>
      <c r="AF1106" s="22"/>
    </row>
    <row r="1107" spans="30:32" x14ac:dyDescent="0.2">
      <c r="AD1107" s="21"/>
      <c r="AF1107" s="22"/>
    </row>
    <row r="1108" spans="30:32" x14ac:dyDescent="0.2">
      <c r="AD1108" s="21"/>
      <c r="AF1108" s="22"/>
    </row>
    <row r="1109" spans="30:32" x14ac:dyDescent="0.2">
      <c r="AD1109" s="21"/>
      <c r="AF1109" s="22"/>
    </row>
    <row r="1110" spans="30:32" x14ac:dyDescent="0.2">
      <c r="AD1110" s="21"/>
      <c r="AF1110" s="22"/>
    </row>
    <row r="1111" spans="30:32" x14ac:dyDescent="0.2">
      <c r="AD1111" s="21"/>
      <c r="AF1111" s="22"/>
    </row>
    <row r="1112" spans="30:32" x14ac:dyDescent="0.2">
      <c r="AD1112" s="21"/>
      <c r="AF1112" s="22"/>
    </row>
    <row r="1113" spans="30:32" x14ac:dyDescent="0.2">
      <c r="AD1113" s="21"/>
      <c r="AF1113" s="22"/>
    </row>
    <row r="1114" spans="30:32" x14ac:dyDescent="0.2">
      <c r="AD1114" s="21"/>
      <c r="AF1114" s="22"/>
    </row>
    <row r="1115" spans="30:32" x14ac:dyDescent="0.2">
      <c r="AD1115" s="21"/>
      <c r="AF1115" s="22"/>
    </row>
    <row r="1116" spans="30:32" x14ac:dyDescent="0.2">
      <c r="AD1116" s="21"/>
      <c r="AF1116" s="22"/>
    </row>
    <row r="1117" spans="30:32" x14ac:dyDescent="0.2">
      <c r="AD1117" s="21"/>
      <c r="AF1117" s="22"/>
    </row>
    <row r="1118" spans="30:32" x14ac:dyDescent="0.2">
      <c r="AD1118" s="21"/>
      <c r="AF1118" s="22"/>
    </row>
    <row r="1119" spans="30:32" x14ac:dyDescent="0.2">
      <c r="AD1119" s="21"/>
      <c r="AF1119" s="22"/>
    </row>
    <row r="1120" spans="30:32" x14ac:dyDescent="0.2">
      <c r="AD1120" s="21"/>
      <c r="AF1120" s="22"/>
    </row>
    <row r="1121" spans="30:32" x14ac:dyDescent="0.2">
      <c r="AD1121" s="21"/>
      <c r="AF1121" s="22"/>
    </row>
    <row r="1122" spans="30:32" x14ac:dyDescent="0.2">
      <c r="AD1122" s="21"/>
      <c r="AF1122" s="22"/>
    </row>
    <row r="1123" spans="30:32" x14ac:dyDescent="0.2">
      <c r="AD1123" s="21"/>
      <c r="AF1123" s="22"/>
    </row>
    <row r="1124" spans="30:32" x14ac:dyDescent="0.2">
      <c r="AD1124" s="21"/>
      <c r="AF1124" s="22"/>
    </row>
    <row r="1125" spans="30:32" x14ac:dyDescent="0.2">
      <c r="AD1125" s="21"/>
      <c r="AF1125" s="22"/>
    </row>
    <row r="1126" spans="30:32" x14ac:dyDescent="0.2">
      <c r="AD1126" s="21"/>
      <c r="AF1126" s="22"/>
    </row>
    <row r="1127" spans="30:32" x14ac:dyDescent="0.2">
      <c r="AD1127" s="21"/>
      <c r="AF1127" s="22"/>
    </row>
    <row r="1128" spans="30:32" x14ac:dyDescent="0.2">
      <c r="AD1128" s="21"/>
      <c r="AF1128" s="22"/>
    </row>
    <row r="1129" spans="30:32" x14ac:dyDescent="0.2">
      <c r="AD1129" s="21"/>
      <c r="AF1129" s="22"/>
    </row>
    <row r="1130" spans="30:32" x14ac:dyDescent="0.2">
      <c r="AD1130" s="21"/>
      <c r="AF1130" s="22"/>
    </row>
    <row r="1131" spans="30:32" x14ac:dyDescent="0.2">
      <c r="AD1131" s="21"/>
      <c r="AF1131" s="22"/>
    </row>
    <row r="1132" spans="30:32" x14ac:dyDescent="0.2">
      <c r="AD1132" s="21"/>
      <c r="AF1132" s="22"/>
    </row>
    <row r="1133" spans="30:32" x14ac:dyDescent="0.2">
      <c r="AD1133" s="21"/>
      <c r="AF1133" s="22"/>
    </row>
    <row r="1134" spans="30:32" x14ac:dyDescent="0.2">
      <c r="AD1134" s="21"/>
      <c r="AF1134" s="22"/>
    </row>
    <row r="1135" spans="30:32" x14ac:dyDescent="0.2">
      <c r="AD1135" s="21"/>
      <c r="AF1135" s="22"/>
    </row>
    <row r="1136" spans="30:32" x14ac:dyDescent="0.2">
      <c r="AD1136" s="21"/>
      <c r="AF1136" s="22"/>
    </row>
    <row r="1137" spans="30:32" x14ac:dyDescent="0.2">
      <c r="AD1137" s="21"/>
      <c r="AF1137" s="22"/>
    </row>
    <row r="1138" spans="30:32" x14ac:dyDescent="0.2">
      <c r="AD1138" s="21"/>
      <c r="AF1138" s="22"/>
    </row>
    <row r="1139" spans="30:32" x14ac:dyDescent="0.2">
      <c r="AD1139" s="21"/>
      <c r="AF1139" s="22"/>
    </row>
    <row r="1140" spans="30:32" x14ac:dyDescent="0.2">
      <c r="AD1140" s="21"/>
      <c r="AF1140" s="22"/>
    </row>
    <row r="1141" spans="30:32" x14ac:dyDescent="0.2">
      <c r="AD1141" s="21"/>
      <c r="AF1141" s="22"/>
    </row>
    <row r="1142" spans="30:32" x14ac:dyDescent="0.2">
      <c r="AD1142" s="21"/>
      <c r="AF1142" s="22"/>
    </row>
    <row r="1143" spans="30:32" x14ac:dyDescent="0.2">
      <c r="AD1143" s="21"/>
      <c r="AF1143" s="22"/>
    </row>
    <row r="1144" spans="30:32" x14ac:dyDescent="0.2">
      <c r="AD1144" s="21"/>
      <c r="AF1144" s="22"/>
    </row>
    <row r="1145" spans="30:32" x14ac:dyDescent="0.2">
      <c r="AD1145" s="21"/>
      <c r="AF1145" s="22"/>
    </row>
    <row r="1146" spans="30:32" x14ac:dyDescent="0.2">
      <c r="AD1146" s="21"/>
      <c r="AF1146" s="22"/>
    </row>
    <row r="1147" spans="30:32" x14ac:dyDescent="0.2">
      <c r="AD1147" s="21"/>
      <c r="AF1147" s="22"/>
    </row>
    <row r="1148" spans="30:32" x14ac:dyDescent="0.2">
      <c r="AD1148" s="21"/>
      <c r="AF1148" s="22"/>
    </row>
    <row r="1149" spans="30:32" x14ac:dyDescent="0.2">
      <c r="AD1149" s="21"/>
      <c r="AF1149" s="22"/>
    </row>
    <row r="1150" spans="30:32" x14ac:dyDescent="0.2">
      <c r="AD1150" s="21"/>
      <c r="AF1150" s="22"/>
    </row>
    <row r="1151" spans="30:32" x14ac:dyDescent="0.2">
      <c r="AD1151" s="21"/>
      <c r="AF1151" s="22"/>
    </row>
    <row r="1152" spans="30:32" x14ac:dyDescent="0.2">
      <c r="AD1152" s="21"/>
      <c r="AF1152" s="22"/>
    </row>
    <row r="1153" spans="30:32" x14ac:dyDescent="0.2">
      <c r="AD1153" s="21"/>
      <c r="AF1153" s="22"/>
    </row>
    <row r="1154" spans="30:32" x14ac:dyDescent="0.2">
      <c r="AD1154" s="21"/>
      <c r="AF1154" s="22"/>
    </row>
    <row r="1155" spans="30:32" x14ac:dyDescent="0.2">
      <c r="AD1155" s="21"/>
      <c r="AF1155" s="22"/>
    </row>
    <row r="1156" spans="30:32" x14ac:dyDescent="0.2">
      <c r="AD1156" s="21"/>
      <c r="AF1156" s="22"/>
    </row>
    <row r="1157" spans="30:32" x14ac:dyDescent="0.2">
      <c r="AD1157" s="21"/>
      <c r="AF1157" s="22"/>
    </row>
    <row r="1158" spans="30:32" x14ac:dyDescent="0.2">
      <c r="AD1158" s="21"/>
      <c r="AF1158" s="22"/>
    </row>
    <row r="1159" spans="30:32" x14ac:dyDescent="0.2">
      <c r="AD1159" s="21"/>
      <c r="AF1159" s="22"/>
    </row>
    <row r="1160" spans="30:32" x14ac:dyDescent="0.2">
      <c r="AD1160" s="21"/>
      <c r="AF1160" s="22"/>
    </row>
    <row r="1161" spans="30:32" x14ac:dyDescent="0.2">
      <c r="AD1161" s="21"/>
      <c r="AF1161" s="22"/>
    </row>
    <row r="1162" spans="30:32" x14ac:dyDescent="0.2">
      <c r="AD1162" s="21"/>
      <c r="AF1162" s="22"/>
    </row>
    <row r="1163" spans="30:32" x14ac:dyDescent="0.2">
      <c r="AD1163" s="21"/>
      <c r="AF1163" s="22"/>
    </row>
    <row r="1164" spans="30:32" x14ac:dyDescent="0.2">
      <c r="AD1164" s="21"/>
      <c r="AF1164" s="22"/>
    </row>
    <row r="1165" spans="30:32" x14ac:dyDescent="0.2">
      <c r="AD1165" s="21"/>
      <c r="AF1165" s="22"/>
    </row>
    <row r="1166" spans="30:32" x14ac:dyDescent="0.2">
      <c r="AD1166" s="21"/>
      <c r="AF1166" s="22"/>
    </row>
    <row r="1167" spans="30:32" x14ac:dyDescent="0.2">
      <c r="AD1167" s="21"/>
      <c r="AF1167" s="22"/>
    </row>
    <row r="1168" spans="30:32" x14ac:dyDescent="0.2">
      <c r="AD1168" s="21"/>
      <c r="AF1168" s="22"/>
    </row>
    <row r="1169" spans="30:32" x14ac:dyDescent="0.2">
      <c r="AD1169" s="21"/>
      <c r="AF1169" s="22"/>
    </row>
    <row r="1170" spans="30:32" x14ac:dyDescent="0.2">
      <c r="AD1170" s="21"/>
      <c r="AF1170" s="22"/>
    </row>
    <row r="1171" spans="30:32" x14ac:dyDescent="0.2">
      <c r="AD1171" s="21"/>
      <c r="AF1171" s="22"/>
    </row>
    <row r="1172" spans="30:32" x14ac:dyDescent="0.2">
      <c r="AD1172" s="21"/>
      <c r="AF1172" s="22"/>
    </row>
    <row r="1173" spans="30:32" x14ac:dyDescent="0.2">
      <c r="AD1173" s="21"/>
      <c r="AF1173" s="22"/>
    </row>
    <row r="1174" spans="30:32" x14ac:dyDescent="0.2">
      <c r="AD1174" s="21"/>
      <c r="AF1174" s="22"/>
    </row>
    <row r="1175" spans="30:32" x14ac:dyDescent="0.2">
      <c r="AD1175" s="21"/>
      <c r="AF1175" s="22"/>
    </row>
    <row r="1176" spans="30:32" x14ac:dyDescent="0.2">
      <c r="AD1176" s="21"/>
      <c r="AF1176" s="22"/>
    </row>
    <row r="1177" spans="30:32" x14ac:dyDescent="0.2">
      <c r="AD1177" s="21"/>
      <c r="AF1177" s="22"/>
    </row>
    <row r="1178" spans="30:32" x14ac:dyDescent="0.2">
      <c r="AD1178" s="21"/>
      <c r="AF1178" s="22"/>
    </row>
    <row r="1179" spans="30:32" x14ac:dyDescent="0.2">
      <c r="AD1179" s="21"/>
      <c r="AF1179" s="22"/>
    </row>
    <row r="1180" spans="30:32" x14ac:dyDescent="0.2">
      <c r="AD1180" s="21"/>
      <c r="AF1180" s="22"/>
    </row>
    <row r="1181" spans="30:32" x14ac:dyDescent="0.2">
      <c r="AD1181" s="21"/>
      <c r="AF1181" s="22"/>
    </row>
    <row r="1182" spans="30:32" x14ac:dyDescent="0.2">
      <c r="AD1182" s="21"/>
      <c r="AF1182" s="22"/>
    </row>
    <row r="1183" spans="30:32" x14ac:dyDescent="0.2">
      <c r="AD1183" s="21"/>
      <c r="AF1183" s="22"/>
    </row>
    <row r="1184" spans="30:32" x14ac:dyDescent="0.2">
      <c r="AD1184" s="21"/>
      <c r="AF1184" s="22"/>
    </row>
    <row r="1185" spans="30:32" x14ac:dyDescent="0.2">
      <c r="AD1185" s="21"/>
      <c r="AF1185" s="22"/>
    </row>
    <row r="1186" spans="30:32" x14ac:dyDescent="0.2">
      <c r="AD1186" s="21"/>
      <c r="AF1186" s="22"/>
    </row>
    <row r="1187" spans="30:32" x14ac:dyDescent="0.2">
      <c r="AD1187" s="21"/>
      <c r="AF1187" s="22"/>
    </row>
    <row r="1188" spans="30:32" x14ac:dyDescent="0.2">
      <c r="AD1188" s="21"/>
      <c r="AF1188" s="22"/>
    </row>
    <row r="1189" spans="30:32" x14ac:dyDescent="0.2">
      <c r="AD1189" s="21"/>
      <c r="AF1189" s="22"/>
    </row>
    <row r="1190" spans="30:32" x14ac:dyDescent="0.2">
      <c r="AD1190" s="21"/>
      <c r="AF1190" s="22"/>
    </row>
    <row r="1191" spans="30:32" x14ac:dyDescent="0.2">
      <c r="AD1191" s="21"/>
      <c r="AF1191" s="22"/>
    </row>
    <row r="1192" spans="30:32" x14ac:dyDescent="0.2">
      <c r="AD1192" s="21"/>
      <c r="AF1192" s="22"/>
    </row>
    <row r="1193" spans="30:32" x14ac:dyDescent="0.2">
      <c r="AD1193" s="21"/>
      <c r="AF1193" s="22"/>
    </row>
    <row r="1194" spans="30:32" x14ac:dyDescent="0.2">
      <c r="AD1194" s="21"/>
      <c r="AF1194" s="22"/>
    </row>
    <row r="1195" spans="30:32" x14ac:dyDescent="0.2">
      <c r="AD1195" s="21"/>
      <c r="AF1195" s="22"/>
    </row>
    <row r="1196" spans="30:32" x14ac:dyDescent="0.2">
      <c r="AD1196" s="21"/>
      <c r="AF1196" s="22"/>
    </row>
    <row r="1197" spans="30:32" x14ac:dyDescent="0.2">
      <c r="AD1197" s="21"/>
      <c r="AF1197" s="22"/>
    </row>
    <row r="1198" spans="30:32" x14ac:dyDescent="0.2">
      <c r="AD1198" s="21"/>
      <c r="AF1198" s="22"/>
    </row>
    <row r="1199" spans="30:32" x14ac:dyDescent="0.2">
      <c r="AD1199" s="21"/>
      <c r="AF1199" s="22"/>
    </row>
    <row r="1200" spans="30:32" x14ac:dyDescent="0.2">
      <c r="AD1200" s="21"/>
      <c r="AF1200" s="22"/>
    </row>
    <row r="1201" spans="30:32" x14ac:dyDescent="0.2">
      <c r="AD1201" s="21"/>
      <c r="AF1201" s="22"/>
    </row>
    <row r="1202" spans="30:32" x14ac:dyDescent="0.2">
      <c r="AD1202" s="21"/>
      <c r="AF1202" s="22"/>
    </row>
    <row r="1203" spans="30:32" x14ac:dyDescent="0.2">
      <c r="AD1203" s="21"/>
      <c r="AF1203" s="22"/>
    </row>
    <row r="1204" spans="30:32" x14ac:dyDescent="0.2">
      <c r="AD1204" s="21"/>
      <c r="AF1204" s="22"/>
    </row>
    <row r="1205" spans="30:32" x14ac:dyDescent="0.2">
      <c r="AD1205" s="21"/>
      <c r="AF1205" s="22"/>
    </row>
    <row r="1206" spans="30:32" x14ac:dyDescent="0.2">
      <c r="AD1206" s="21"/>
      <c r="AF1206" s="22"/>
    </row>
    <row r="1207" spans="30:32" x14ac:dyDescent="0.2">
      <c r="AD1207" s="21"/>
      <c r="AF1207" s="22"/>
    </row>
    <row r="1208" spans="30:32" x14ac:dyDescent="0.2">
      <c r="AD1208" s="21"/>
      <c r="AF1208" s="22"/>
    </row>
    <row r="1209" spans="30:32" x14ac:dyDescent="0.2">
      <c r="AD1209" s="21"/>
      <c r="AF1209" s="22"/>
    </row>
    <row r="1210" spans="30:32" x14ac:dyDescent="0.2">
      <c r="AD1210" s="21"/>
      <c r="AF1210" s="22"/>
    </row>
    <row r="1211" spans="30:32" x14ac:dyDescent="0.2">
      <c r="AD1211" s="21"/>
      <c r="AF1211" s="22"/>
    </row>
    <row r="1212" spans="30:32" x14ac:dyDescent="0.2">
      <c r="AD1212" s="21"/>
      <c r="AF1212" s="22"/>
    </row>
    <row r="1213" spans="30:32" x14ac:dyDescent="0.2">
      <c r="AD1213" s="21"/>
      <c r="AF1213" s="22"/>
    </row>
    <row r="1214" spans="30:32" x14ac:dyDescent="0.2">
      <c r="AD1214" s="21"/>
      <c r="AF1214" s="22"/>
    </row>
    <row r="1215" spans="30:32" x14ac:dyDescent="0.2">
      <c r="AD1215" s="21"/>
      <c r="AF1215" s="22"/>
    </row>
    <row r="1216" spans="30:32" x14ac:dyDescent="0.2">
      <c r="AD1216" s="21"/>
      <c r="AF1216" s="22"/>
    </row>
    <row r="1217" spans="30:32" x14ac:dyDescent="0.2">
      <c r="AD1217" s="21"/>
      <c r="AF1217" s="22"/>
    </row>
    <row r="1218" spans="30:32" x14ac:dyDescent="0.2">
      <c r="AD1218" s="21"/>
      <c r="AF1218" s="22"/>
    </row>
    <row r="1219" spans="30:32" x14ac:dyDescent="0.2">
      <c r="AD1219" s="21"/>
      <c r="AF1219" s="22"/>
    </row>
    <row r="1220" spans="30:32" x14ac:dyDescent="0.2">
      <c r="AD1220" s="21"/>
      <c r="AF1220" s="22"/>
    </row>
    <row r="1221" spans="30:32" x14ac:dyDescent="0.2">
      <c r="AD1221" s="21"/>
      <c r="AF1221" s="22"/>
    </row>
    <row r="1222" spans="30:32" x14ac:dyDescent="0.2">
      <c r="AD1222" s="21"/>
      <c r="AF1222" s="22"/>
    </row>
    <row r="1223" spans="30:32" x14ac:dyDescent="0.2">
      <c r="AD1223" s="21"/>
      <c r="AF1223" s="22"/>
    </row>
    <row r="1224" spans="30:32" x14ac:dyDescent="0.2">
      <c r="AD1224" s="21"/>
      <c r="AF1224" s="22"/>
    </row>
    <row r="1225" spans="30:32" x14ac:dyDescent="0.2">
      <c r="AD1225" s="21"/>
      <c r="AF1225" s="22"/>
    </row>
    <row r="1226" spans="30:32" x14ac:dyDescent="0.2">
      <c r="AD1226" s="21"/>
      <c r="AF1226" s="22"/>
    </row>
    <row r="1227" spans="30:32" x14ac:dyDescent="0.2">
      <c r="AD1227" s="21"/>
      <c r="AF1227" s="22"/>
    </row>
    <row r="1228" spans="30:32" x14ac:dyDescent="0.2">
      <c r="AD1228" s="21"/>
      <c r="AF1228" s="22"/>
    </row>
    <row r="1229" spans="30:32" x14ac:dyDescent="0.2">
      <c r="AD1229" s="21"/>
      <c r="AF1229" s="22"/>
    </row>
    <row r="1230" spans="30:32" x14ac:dyDescent="0.2">
      <c r="AD1230" s="21"/>
      <c r="AF1230" s="22"/>
    </row>
    <row r="1231" spans="30:32" x14ac:dyDescent="0.2">
      <c r="AD1231" s="21"/>
      <c r="AF1231" s="22"/>
    </row>
    <row r="1232" spans="30:32" x14ac:dyDescent="0.2">
      <c r="AD1232" s="21"/>
      <c r="AF1232" s="22"/>
    </row>
    <row r="1233" spans="30:32" x14ac:dyDescent="0.2">
      <c r="AD1233" s="21"/>
      <c r="AF1233" s="22"/>
    </row>
    <row r="1234" spans="30:32" x14ac:dyDescent="0.2">
      <c r="AD1234" s="21"/>
      <c r="AF1234" s="22"/>
    </row>
    <row r="1235" spans="30:32" x14ac:dyDescent="0.2">
      <c r="AD1235" s="21"/>
      <c r="AF1235" s="22"/>
    </row>
    <row r="1236" spans="30:32" x14ac:dyDescent="0.2">
      <c r="AD1236" s="21"/>
      <c r="AF1236" s="22"/>
    </row>
    <row r="1237" spans="30:32" x14ac:dyDescent="0.2">
      <c r="AD1237" s="21"/>
      <c r="AF1237" s="22"/>
    </row>
    <row r="1238" spans="30:32" x14ac:dyDescent="0.2">
      <c r="AD1238" s="21"/>
      <c r="AF1238" s="22"/>
    </row>
    <row r="1239" spans="30:32" x14ac:dyDescent="0.2">
      <c r="AD1239" s="21"/>
      <c r="AF1239" s="22"/>
    </row>
    <row r="1240" spans="30:32" x14ac:dyDescent="0.2">
      <c r="AD1240" s="21"/>
      <c r="AF1240" s="22"/>
    </row>
    <row r="1241" spans="30:32" x14ac:dyDescent="0.2">
      <c r="AD1241" s="21"/>
      <c r="AF1241" s="22"/>
    </row>
    <row r="1242" spans="30:32" x14ac:dyDescent="0.2">
      <c r="AD1242" s="21"/>
      <c r="AF1242" s="22"/>
    </row>
    <row r="1243" spans="30:32" x14ac:dyDescent="0.2">
      <c r="AD1243" s="21"/>
      <c r="AF1243" s="22"/>
    </row>
    <row r="1244" spans="30:32" x14ac:dyDescent="0.2">
      <c r="AD1244" s="21"/>
      <c r="AF1244" s="22"/>
    </row>
    <row r="1245" spans="30:32" x14ac:dyDescent="0.2">
      <c r="AD1245" s="21"/>
      <c r="AF1245" s="22"/>
    </row>
    <row r="1246" spans="30:32" x14ac:dyDescent="0.2">
      <c r="AD1246" s="21"/>
      <c r="AF1246" s="22"/>
    </row>
    <row r="1247" spans="30:32" x14ac:dyDescent="0.2">
      <c r="AD1247" s="21"/>
      <c r="AF1247" s="22"/>
    </row>
    <row r="1248" spans="30:32" x14ac:dyDescent="0.2">
      <c r="AD1248" s="21"/>
      <c r="AF1248" s="22"/>
    </row>
    <row r="1249" spans="30:32" x14ac:dyDescent="0.2">
      <c r="AD1249" s="21"/>
      <c r="AF1249" s="22"/>
    </row>
    <row r="1250" spans="30:32" x14ac:dyDescent="0.2">
      <c r="AD1250" s="21"/>
      <c r="AF1250" s="22"/>
    </row>
    <row r="1251" spans="30:32" x14ac:dyDescent="0.2">
      <c r="AD1251" s="21"/>
      <c r="AF1251" s="22"/>
    </row>
    <row r="1252" spans="30:32" x14ac:dyDescent="0.2">
      <c r="AD1252" s="21"/>
      <c r="AF1252" s="22"/>
    </row>
    <row r="1253" spans="30:32" x14ac:dyDescent="0.2">
      <c r="AD1253" s="21"/>
      <c r="AF1253" s="22"/>
    </row>
    <row r="1254" spans="30:32" x14ac:dyDescent="0.2">
      <c r="AD1254" s="21"/>
      <c r="AF1254" s="22"/>
    </row>
    <row r="1255" spans="30:32" x14ac:dyDescent="0.2">
      <c r="AD1255" s="21"/>
      <c r="AF1255" s="22"/>
    </row>
    <row r="1256" spans="30:32" x14ac:dyDescent="0.2">
      <c r="AD1256" s="21"/>
      <c r="AF1256" s="22"/>
    </row>
    <row r="1257" spans="30:32" x14ac:dyDescent="0.2">
      <c r="AD1257" s="21"/>
      <c r="AF1257" s="22"/>
    </row>
    <row r="1258" spans="30:32" x14ac:dyDescent="0.2">
      <c r="AD1258" s="21"/>
      <c r="AF1258" s="22"/>
    </row>
    <row r="1259" spans="30:32" x14ac:dyDescent="0.2">
      <c r="AD1259" s="21"/>
      <c r="AF1259" s="22"/>
    </row>
    <row r="1260" spans="30:32" x14ac:dyDescent="0.2">
      <c r="AD1260" s="21"/>
      <c r="AF1260" s="22"/>
    </row>
    <row r="1261" spans="30:32" x14ac:dyDescent="0.2">
      <c r="AD1261" s="21"/>
      <c r="AF1261" s="22"/>
    </row>
    <row r="1262" spans="30:32" x14ac:dyDescent="0.2">
      <c r="AD1262" s="21"/>
      <c r="AF1262" s="22"/>
    </row>
    <row r="1263" spans="30:32" x14ac:dyDescent="0.2">
      <c r="AD1263" s="21"/>
      <c r="AF1263" s="22"/>
    </row>
    <row r="1264" spans="30:32" x14ac:dyDescent="0.2">
      <c r="AD1264" s="21"/>
      <c r="AF1264" s="22"/>
    </row>
    <row r="1265" spans="30:32" x14ac:dyDescent="0.2">
      <c r="AD1265" s="21"/>
      <c r="AF1265" s="22"/>
    </row>
    <row r="1266" spans="30:32" x14ac:dyDescent="0.2">
      <c r="AD1266" s="21"/>
      <c r="AF1266" s="22"/>
    </row>
    <row r="1267" spans="30:32" x14ac:dyDescent="0.2">
      <c r="AD1267" s="21"/>
      <c r="AF1267" s="22"/>
    </row>
    <row r="1268" spans="30:32" x14ac:dyDescent="0.2">
      <c r="AD1268" s="21"/>
      <c r="AF1268" s="22"/>
    </row>
    <row r="1269" spans="30:32" x14ac:dyDescent="0.2">
      <c r="AD1269" s="21"/>
      <c r="AF1269" s="22"/>
    </row>
    <row r="1270" spans="30:32" x14ac:dyDescent="0.2">
      <c r="AD1270" s="21"/>
      <c r="AF1270" s="22"/>
    </row>
    <row r="1271" spans="30:32" x14ac:dyDescent="0.2">
      <c r="AD1271" s="21"/>
      <c r="AF1271" s="22"/>
    </row>
    <row r="1272" spans="30:32" x14ac:dyDescent="0.2">
      <c r="AD1272" s="21"/>
      <c r="AF1272" s="22"/>
    </row>
    <row r="1273" spans="30:32" x14ac:dyDescent="0.2">
      <c r="AD1273" s="21"/>
      <c r="AF1273" s="22"/>
    </row>
    <row r="1274" spans="30:32" x14ac:dyDescent="0.2">
      <c r="AD1274" s="21"/>
      <c r="AF1274" s="22"/>
    </row>
    <row r="1275" spans="30:32" x14ac:dyDescent="0.2">
      <c r="AD1275" s="21"/>
      <c r="AF1275" s="22"/>
    </row>
    <row r="1276" spans="30:32" x14ac:dyDescent="0.2">
      <c r="AD1276" s="21"/>
      <c r="AF1276" s="22"/>
    </row>
    <row r="1277" spans="30:32" x14ac:dyDescent="0.2">
      <c r="AD1277" s="21"/>
      <c r="AF1277" s="22"/>
    </row>
    <row r="1278" spans="30:32" x14ac:dyDescent="0.2">
      <c r="AD1278" s="21"/>
      <c r="AF1278" s="22"/>
    </row>
    <row r="1279" spans="30:32" x14ac:dyDescent="0.2">
      <c r="AD1279" s="21"/>
      <c r="AF1279" s="22"/>
    </row>
    <row r="1280" spans="30:32" x14ac:dyDescent="0.2">
      <c r="AD1280" s="21"/>
      <c r="AF1280" s="22"/>
    </row>
    <row r="1281" spans="30:32" x14ac:dyDescent="0.2">
      <c r="AD1281" s="21"/>
      <c r="AF1281" s="22"/>
    </row>
    <row r="1282" spans="30:32" x14ac:dyDescent="0.2">
      <c r="AD1282" s="21"/>
      <c r="AF1282" s="22"/>
    </row>
    <row r="1283" spans="30:32" x14ac:dyDescent="0.2">
      <c r="AD1283" s="21"/>
      <c r="AF1283" s="22"/>
    </row>
    <row r="1284" spans="30:32" x14ac:dyDescent="0.2">
      <c r="AD1284" s="21"/>
      <c r="AF1284" s="22"/>
    </row>
    <row r="1285" spans="30:32" x14ac:dyDescent="0.2">
      <c r="AD1285" s="21"/>
      <c r="AF1285" s="22"/>
    </row>
    <row r="1286" spans="30:32" x14ac:dyDescent="0.2">
      <c r="AD1286" s="21"/>
      <c r="AF1286" s="22"/>
    </row>
    <row r="1287" spans="30:32" x14ac:dyDescent="0.2">
      <c r="AD1287" s="21"/>
      <c r="AF1287" s="22"/>
    </row>
    <row r="1288" spans="30:32" x14ac:dyDescent="0.2">
      <c r="AD1288" s="21"/>
      <c r="AF1288" s="22"/>
    </row>
    <row r="1289" spans="30:32" x14ac:dyDescent="0.2">
      <c r="AD1289" s="21"/>
      <c r="AF1289" s="22"/>
    </row>
    <row r="1290" spans="30:32" x14ac:dyDescent="0.2">
      <c r="AD1290" s="21"/>
      <c r="AF1290" s="22"/>
    </row>
    <row r="1291" spans="30:32" x14ac:dyDescent="0.2">
      <c r="AD1291" s="21"/>
      <c r="AF1291" s="22"/>
    </row>
    <row r="1292" spans="30:32" x14ac:dyDescent="0.2">
      <c r="AD1292" s="21"/>
      <c r="AF1292" s="22"/>
    </row>
    <row r="1293" spans="30:32" x14ac:dyDescent="0.2">
      <c r="AD1293" s="21"/>
      <c r="AF1293" s="22"/>
    </row>
    <row r="1294" spans="30:32" x14ac:dyDescent="0.2">
      <c r="AD1294" s="21"/>
      <c r="AF1294" s="22"/>
    </row>
    <row r="1295" spans="30:32" x14ac:dyDescent="0.2">
      <c r="AD1295" s="21"/>
      <c r="AF1295" s="22"/>
    </row>
    <row r="1296" spans="30:32" x14ac:dyDescent="0.2">
      <c r="AD1296" s="21"/>
      <c r="AF1296" s="22"/>
    </row>
    <row r="1297" spans="30:32" x14ac:dyDescent="0.2">
      <c r="AD1297" s="21"/>
      <c r="AF1297" s="22"/>
    </row>
    <row r="1298" spans="30:32" x14ac:dyDescent="0.2">
      <c r="AD1298" s="21"/>
      <c r="AF1298" s="22"/>
    </row>
    <row r="1299" spans="30:32" x14ac:dyDescent="0.2">
      <c r="AD1299" s="21"/>
      <c r="AF1299" s="22"/>
    </row>
    <row r="1300" spans="30:32" x14ac:dyDescent="0.2">
      <c r="AD1300" s="21"/>
      <c r="AF130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DB</vt:lpstr>
      <vt:lpstr>PLANILLA</vt:lpstr>
      <vt:lpstr>LP_1</vt:lpstr>
    </vt:vector>
  </TitlesOfParts>
  <Company>SKYNET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Angel Huayas</cp:lastModifiedBy>
  <cp:lastPrinted>2015-04-30T22:34:55Z</cp:lastPrinted>
  <dcterms:created xsi:type="dcterms:W3CDTF">2012-05-22T15:39:10Z</dcterms:created>
  <dcterms:modified xsi:type="dcterms:W3CDTF">2023-12-10T02:13:54Z</dcterms:modified>
</cp:coreProperties>
</file>