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isco ccc\Desktop\Metroplex\dist\"/>
    </mc:Choice>
  </mc:AlternateContent>
  <xr:revisionPtr revIDLastSave="0" documentId="13_ncr:1_{DDC1A1F8-5323-450B-AC0A-D14FCEDF8D99}" xr6:coauthVersionLast="47" xr6:coauthVersionMax="47" xr10:uidLastSave="{00000000-0000-0000-0000-000000000000}"/>
  <bookViews>
    <workbookView xWindow="-120" yWindow="-120" windowWidth="29040" windowHeight="15840" tabRatio="451" activeTab="6" xr2:uid="{00000000-000D-0000-FFFF-FFFF00000000}"/>
  </bookViews>
  <sheets>
    <sheet name="DATOS" sheetId="33" r:id="rId1"/>
    <sheet name="BD_LP" sheetId="666" r:id="rId2"/>
    <sheet name="P_0" sheetId="668" r:id="rId3"/>
    <sheet name="M_0" sheetId="373" r:id="rId4"/>
    <sheet name="Heaths" sheetId="667" r:id="rId5"/>
    <sheet name="General" sheetId="669" r:id="rId6"/>
    <sheet name="Configuracion" sheetId="67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A">[1]A!$D$9:$D$53</definedName>
    <definedName name="__123Graph_A" hidden="1">[2]EVAL!#REF!</definedName>
    <definedName name="__123Graph_ACORNU" hidden="1">[2]EVAL!#REF!</definedName>
    <definedName name="__123Graph_B" hidden="1">[3]FlujoTJ!#REF!</definedName>
    <definedName name="__123Graph_BCHART1" hidden="1">[3]FlujoTJ!#REF!</definedName>
    <definedName name="__123Graph_BCHART2" hidden="1">[3]FlujoTJ!#REF!</definedName>
    <definedName name="__123Graph_BCURRENT" hidden="1">[3]FlujoTJ!#REF!</definedName>
    <definedName name="__123Graph_D" hidden="1">[3]FlujoTJ!#REF!</definedName>
    <definedName name="__123Graph_DCHART1" hidden="1">[3]FlujoTJ!#REF!</definedName>
    <definedName name="__123Graph_DCHART2" hidden="1">[3]FlujoTJ!#REF!</definedName>
    <definedName name="__123Graph_DCURRENT" hidden="1">[3]FlujoTJ!#REF!</definedName>
    <definedName name="__123Graph_F" hidden="1">[3]FlujoTJ!#REF!</definedName>
    <definedName name="__123Graph_FCHART1" hidden="1">[3]FlujoTJ!#REF!</definedName>
    <definedName name="__123Graph_FCHART2" hidden="1">[3]FlujoTJ!#REF!</definedName>
    <definedName name="__123Graph_X" hidden="1">[2]EVAL!#REF!</definedName>
    <definedName name="__123Graph_XCHART1" hidden="1">[3]FlujoTJ!#REF!</definedName>
    <definedName name="__123Graph_XCHART2" hidden="1">[3]FlujoTJ!#REF!</definedName>
    <definedName name="__123Graph_XCORNU" hidden="1">[2]EVAL!#REF!</definedName>
    <definedName name="__123Graph_XCURRENT" hidden="1">[3]FlujoTJ!#REF!</definedName>
    <definedName name="__gg1">'[4]#¡REF'!#REF!</definedName>
    <definedName name="__MET1">#REF!</definedName>
    <definedName name="__MET2">#REF!</definedName>
    <definedName name="_1_0EL" localSheetId="6">'[5]#¡REF'!#REF!</definedName>
    <definedName name="_1_0EL">'[6]#¡REF'!#REF!</definedName>
    <definedName name="_10_0HIDRAND" localSheetId="6">'[5]#¡REF'!#REF!</definedName>
    <definedName name="_10_0HIDRAND">'[6]#¡REF'!#REF!</definedName>
    <definedName name="_11_0S" localSheetId="6">'[5]#¡REF'!#REF!</definedName>
    <definedName name="_11_0S">'[6]#¡REF'!#REF!</definedName>
    <definedName name="_12EL" localSheetId="6">'[5]#¡REF'!#REF!</definedName>
    <definedName name="_12EL">'[6]#¡REF'!#REF!</definedName>
    <definedName name="_13ELCEN" localSheetId="6">'[5]#¡REF'!#REF!</definedName>
    <definedName name="_13ELCEN">'[6]#¡REF'!#REF!</definedName>
    <definedName name="_14ELECSURE" localSheetId="6">'[5]#¡REF'!#REF!</definedName>
    <definedName name="_14ELECSURE">'[6]#¡REF'!#REF!</definedName>
    <definedName name="_15ELECSURME" localSheetId="6">'[5]#¡REF'!#REF!</definedName>
    <definedName name="_15ELECSURME">'[6]#¡REF'!#REF!</definedName>
    <definedName name="_16ELECT" localSheetId="6">'[5]#¡REF'!#REF!</definedName>
    <definedName name="_16ELECT">'[6]#¡REF'!#REF!</definedName>
    <definedName name="_17ELECTROL" localSheetId="6">'[5]#¡REF'!#REF!</definedName>
    <definedName name="_17ELECTROL">'[6]#¡REF'!#REF!</definedName>
    <definedName name="_18ELEORIE" localSheetId="6">'[5]#¡REF'!#REF!</definedName>
    <definedName name="_18ELEORIE">'[6]#¡REF'!#REF!</definedName>
    <definedName name="_19ELNO" localSheetId="6">'[5]#¡REF'!#REF!</definedName>
    <definedName name="_19ELNO">'[6]#¡REF'!#REF!</definedName>
    <definedName name="_2_0ELCEN" localSheetId="6">'[5]#¡REF'!#REF!</definedName>
    <definedName name="_2_0ELCEN">'[6]#¡REF'!#REF!</definedName>
    <definedName name="_20ELSURE" localSheetId="6">'[5]#¡REF'!#REF!</definedName>
    <definedName name="_20ELSURE">'[6]#¡REF'!#REF!</definedName>
    <definedName name="_21HIDRAND" localSheetId="6">'[5]#¡REF'!#REF!</definedName>
    <definedName name="_21HIDRAND">'[6]#¡REF'!#REF!</definedName>
    <definedName name="_22S" localSheetId="6">'[5]#¡REF'!#REF!</definedName>
    <definedName name="_22S">'[6]#¡REF'!#REF!</definedName>
    <definedName name="_3_0ELECSURE" localSheetId="6">'[5]#¡REF'!#REF!</definedName>
    <definedName name="_3_0ELECSURE">'[6]#¡REF'!#REF!</definedName>
    <definedName name="_4_0ELECSURME" localSheetId="6">'[5]#¡REF'!#REF!</definedName>
    <definedName name="_4_0ELECSURME">'[6]#¡REF'!#REF!</definedName>
    <definedName name="_5_0ELECT" localSheetId="6">'[5]#¡REF'!#REF!</definedName>
    <definedName name="_5_0ELECT">'[6]#¡REF'!#REF!</definedName>
    <definedName name="_6_0ELECTROL" localSheetId="6">'[5]#¡REF'!#REF!</definedName>
    <definedName name="_6_0ELECTROL">'[6]#¡REF'!#REF!</definedName>
    <definedName name="_7_0ELEORIE" localSheetId="6">'[5]#¡REF'!#REF!</definedName>
    <definedName name="_7_0ELEORIE">'[6]#¡REF'!#REF!</definedName>
    <definedName name="_8_0ELNO" localSheetId="6">'[5]#¡REF'!#REF!</definedName>
    <definedName name="_8_0ELNO">'[6]#¡REF'!#REF!</definedName>
    <definedName name="_9_0ELSURE" localSheetId="6">'[5]#¡REF'!#REF!</definedName>
    <definedName name="_9_0ELSURE">'[6]#¡REF'!#REF!</definedName>
    <definedName name="_ANA1">'[7]FORMA-LM1'!$A$1:$Q$71</definedName>
    <definedName name="_ana6">'[7]FORMA-(SE1)'!$A$379:$S$435</definedName>
    <definedName name="_ana7">'[7]FORMA-(SE1)'!$A$458:$S$516</definedName>
    <definedName name="_ana77">'[7]FORMA-(SE1)'!$A$458:$S$516</definedName>
    <definedName name="_Fill" localSheetId="1" hidden="1">#REF!</definedName>
    <definedName name="_Fill" hidden="1">#REF!</definedName>
    <definedName name="_xlnm._FilterDatabase" localSheetId="1" hidden="1">BD_LP!$A$1:$DC$71</definedName>
    <definedName name="_xlnm._FilterDatabase" localSheetId="0" hidden="1">DATOS!$A$2:$A$115</definedName>
    <definedName name="_gg1">'[8]#¡REF'!#REF!</definedName>
    <definedName name="_Key1" localSheetId="1" hidden="1">#REF!</definedName>
    <definedName name="_LM3">'[7]FORMA-LM3'!$B$1:$N$48</definedName>
    <definedName name="_LS1">'[7]FORMA-LS1-LS2'!$A$1:$P$83</definedName>
    <definedName name="_LS2">'[7]FORMA-LS1-LS2'!$A$86:$P$168</definedName>
    <definedName name="_LS3">'[7]FORMA-LS3'!$A$1:$M$53</definedName>
    <definedName name="_MET1">#REF!</definedName>
    <definedName name="_MET2">#REF!</definedName>
    <definedName name="_Order1" hidden="1">0</definedName>
    <definedName name="_Order2" hidden="1">0</definedName>
    <definedName name="_RE1">'[7]FORMA- RE1'!$A$3:$H$52</definedName>
    <definedName name="_Regression_Int" hidden="1">1</definedName>
    <definedName name="_RL1">'[7]FORMA-LM3'!$B$1:$L$46</definedName>
    <definedName name="_SE2">'[7]FORMA-SE2'!$M$5</definedName>
    <definedName name="_Sort" localSheetId="1" hidden="1">#REF!</definedName>
    <definedName name="_vu111">#REF!</definedName>
    <definedName name="A">'[9]#¡REF'!#REF!</definedName>
    <definedName name="A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#REF!</definedName>
    <definedName name="A_6">#REF!</definedName>
    <definedName name="A_7">#REF!</definedName>
    <definedName name="A_8">#REF!</definedName>
    <definedName name="A_9">#REF!</definedName>
    <definedName name="A_IMPRESI_N_IM">#REF!</definedName>
    <definedName name="A_impresión_IM">#REF!</definedName>
    <definedName name="À8">#REF!</definedName>
    <definedName name="aA">#REF!</definedName>
    <definedName name="aAA">#REF!</definedName>
    <definedName name="aB">#REF!</definedName>
    <definedName name="ABC">'[10]#¡REF'!#REF!</definedName>
    <definedName name="ABONADO">#REF!</definedName>
    <definedName name="aC">#REF!</definedName>
    <definedName name="ACE">[1]A!$D$38</definedName>
    <definedName name="ACERO">[1]A!$D$70:$D$71</definedName>
    <definedName name="ACOM_CC">#REF!</definedName>
    <definedName name="ACOM_SC">#REF!</definedName>
    <definedName name="aD">#REF!</definedName>
    <definedName name="ADV">'[11]#¡REF'!#REF!</definedName>
    <definedName name="AISLAMIENTO" localSheetId="2">DATOS!$R$26:$V$38</definedName>
    <definedName name="ana">'[7]FORMA-(SE1)'!$A$301:$S$357</definedName>
    <definedName name="ARA">'[7]FORMA-SE2'!$A$18:$L$18</definedName>
    <definedName name="ARENA">[1]A!$D$55:$D$56</definedName>
    <definedName name="ARMADOS">#REF!</definedName>
    <definedName name="ASAS">#REF!</definedName>
    <definedName name="asdf">#REF!</definedName>
    <definedName name="asdsadasd">#N/A</definedName>
    <definedName name="b">'[9]#¡REF'!#REF!</definedName>
    <definedName name="BASE1" localSheetId="6">[12]POBLACION!$E$6:$AJ$194</definedName>
    <definedName name="BASE1">[13]POBLACION!$E$6:$AJ$194</definedName>
    <definedName name="BB">#REF!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DY">#REF!</definedName>
    <definedName name="BS">#REF!</definedName>
    <definedName name="BSS">#REF!</definedName>
    <definedName name="CalificacionPromedio">'[14]DATOS DE CAMPO'!#REF!</definedName>
    <definedName name="Cambio">#REF!</definedName>
    <definedName name="capterm">#REF!</definedName>
    <definedName name="Cartel">#REF!</definedName>
    <definedName name="CEMENTO">[1]A!$D$61:$D$62</definedName>
    <definedName name="cgv">'[15]#¡REF'!#REF!</definedName>
    <definedName name="CIVIL">'[7]FORMA-LS3'!$A$11:$M$57</definedName>
    <definedName name="CIVILE">'[7]FORMA-LS3'!$A$10:$M$53</definedName>
    <definedName name="Concentrado">#REF!</definedName>
    <definedName name="CONDUC">#REF!</definedName>
    <definedName name="ConsumoPerdidaAP">#REF!</definedName>
    <definedName name="ConsumoPromedioCE">'[14]DATOS DE CAMPO'!#REF!</definedName>
    <definedName name="COSTOS">#REF!</definedName>
    <definedName name="COYMDETORG">#REF!</definedName>
    <definedName name="COYMO4">#REF!</definedName>
    <definedName name="_xlnm.Criteria">#REF!</definedName>
    <definedName name="cuadro_li1">#REF!</definedName>
    <definedName name="cuadro_li2">#REF!</definedName>
    <definedName name="cuadro_li3">#REF!</definedName>
    <definedName name="cuadro_se3">'[7]FORMA-SE2'!#REF!</definedName>
    <definedName name="_xlnm.Database">#REF!</definedName>
    <definedName name="Datos">#REF!</definedName>
    <definedName name="dATOS1">#REF!</definedName>
    <definedName name="DATS">#REF!</definedName>
    <definedName name="DC_1">#REF!</definedName>
    <definedName name="DC_1T">#REF!</definedName>
    <definedName name="DC_2">#REF!</definedName>
    <definedName name="DC_2T">#REF!</definedName>
    <definedName name="Departamento">#REF!</definedName>
    <definedName name="DESCRIPCION">#REF!</definedName>
    <definedName name="df">#REF!</definedName>
    <definedName name="Disperso">#REF!</definedName>
    <definedName name="ds" localSheetId="1" hidden="1">#REF!</definedName>
    <definedName name="DS_2">#REF!</definedName>
    <definedName name="DS_3">#REF!</definedName>
    <definedName name="DSD">#REF!</definedName>
    <definedName name="DT_0">#REF!</definedName>
    <definedName name="DT_2">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LCENTRO">#REF!</definedName>
    <definedName name="ELECSURESTE">#REF!</definedName>
    <definedName name="ELECSURMEDIO">#REF!</definedName>
    <definedName name="ELECTROLIMA">#REF!</definedName>
    <definedName name="ELECTSUR">#REF!</definedName>
    <definedName name="ELEORIENTE">#REF!</definedName>
    <definedName name="Elim_cemen_I_p11">#REF!</definedName>
    <definedName name="Elim_cemen_I_p12">#REF!</definedName>
    <definedName name="Elim_cemen_II_p11">#REF!</definedName>
    <definedName name="Elim_cemen_II_p12">#REF!</definedName>
    <definedName name="Elim_I_p11">#REF!</definedName>
    <definedName name="Elim_I_p12">#REF!</definedName>
    <definedName name="Elim_I_pat1">#REF!</definedName>
    <definedName name="Elim_I_pat1c">#REF!</definedName>
    <definedName name="Elim_I_ri">#REF!</definedName>
    <definedName name="Elim_I_rv">#REF!</definedName>
    <definedName name="Elim_II_p11">#REF!</definedName>
    <definedName name="Elim_II_p12">#REF!</definedName>
    <definedName name="Elim_II_pat1">#REF!</definedName>
    <definedName name="Elim_II_pat1c">#REF!</definedName>
    <definedName name="Elim_II_ri">#REF!</definedName>
    <definedName name="Elim_II_rv">#REF!</definedName>
    <definedName name="Elim_III_p11">#REF!</definedName>
    <definedName name="Elim_III_p12">#REF!</definedName>
    <definedName name="Elim_III_pat1">#REF!</definedName>
    <definedName name="Elim_III_pat1c">#REF!</definedName>
    <definedName name="Elim_III_ri">#REF!</definedName>
    <definedName name="Elim_III_rv">#REF!</definedName>
    <definedName name="ELIMA">#REF!</definedName>
    <definedName name="ELNORTE">#REF!</definedName>
    <definedName name="ELSUR">#REF!</definedName>
    <definedName name="ELSURESTE">#REF!</definedName>
    <definedName name="Equipo">#REF!</definedName>
    <definedName name="Exc_12cac">#REF!</definedName>
    <definedName name="Exca_11cac">#REF!</definedName>
    <definedName name="Exca_12cac">#REF!</definedName>
    <definedName name="Exca_cemen_I_p11">#REF!</definedName>
    <definedName name="Exca_cemen_I_p12">#REF!</definedName>
    <definedName name="Exca_cemen_II_p11">#REF!</definedName>
    <definedName name="Exca_cemen_II_p12">#REF!</definedName>
    <definedName name="Exca_I_p11">#REF!</definedName>
    <definedName name="Exca_I_p12">#REF!</definedName>
    <definedName name="Exca_I_pat1">#REF!</definedName>
    <definedName name="Exca_I_pat1c">#REF!</definedName>
    <definedName name="Exca_I_ri">#REF!</definedName>
    <definedName name="Exca_I_rv">#REF!</definedName>
    <definedName name="Exca_II_p11">#REF!</definedName>
    <definedName name="Exca_II_p12">#REF!</definedName>
    <definedName name="Exca_II_pat1">#REF!</definedName>
    <definedName name="Exca_II_pat1c">#REF!</definedName>
    <definedName name="Exca_II_ri">#REF!</definedName>
    <definedName name="Exca_II_rv">#REF!</definedName>
    <definedName name="Exca_III_p11">#REF!</definedName>
    <definedName name="Exca_III_p12">#REF!</definedName>
    <definedName name="Exca_III_pat1">#REF!</definedName>
    <definedName name="Exca_III_pat1c">#REF!</definedName>
    <definedName name="Exca_III_ri">#REF!</definedName>
    <definedName name="Exca_III_rv">#REF!</definedName>
    <definedName name="Exca_pat_1">#REF!</definedName>
    <definedName name="Exca_pat_1C">#REF!</definedName>
    <definedName name="Exca_ret">#REF!</definedName>
    <definedName name="Exca_RI">#REF!</definedName>
    <definedName name="Exca_RV">#REF!</definedName>
    <definedName name="Excel_BuiltIn__FilterDatabase_11">#REF!</definedName>
    <definedName name="Excel_BuiltIn__FilterDatabase_12">#REF!</definedName>
    <definedName name="Excel_BuiltIn__FilterDatabase_2">#REF!</definedName>
    <definedName name="Excel_BuiltIn__FilterDatabase_8">#REF!</definedName>
    <definedName name="EXCV_PAT" localSheetId="6">[16]DATOS!$S$10:$X$19</definedName>
    <definedName name="EXCV_PAT">DATOS!$S$10:$X$19</definedName>
    <definedName name="EXCV_RET" localSheetId="6">[16]DATOS!$I$8:$O$9</definedName>
    <definedName name="EXCV_RET">DATOS!$I$8:$O$9</definedName>
    <definedName name="_xlnm.Extract">#REF!</definedName>
    <definedName name="F_COND" localSheetId="6">[16]DATOS!$F$2</definedName>
    <definedName name="F_COND" localSheetId="2">DATOS!$F$2</definedName>
    <definedName name="F_COND">DATOS!$F$2</definedName>
    <definedName name="Fac_Desp_Costa_Sierra">#REF!</definedName>
    <definedName name="Fac_Desp_Selva">#REF!</definedName>
    <definedName name="Factor">#REF!</definedName>
    <definedName name="FactorPotencia">#REF!</definedName>
    <definedName name="FactorSobrecarga">#REF!</definedName>
    <definedName name="Fecha">#REF!</definedName>
    <definedName name="fm">#REF!</definedName>
    <definedName name="FORMALETA">[1]A!$D$67:$D$68</definedName>
    <definedName name="franja">#REF!</definedName>
    <definedName name="GenTransporte">DATOS!$F$31</definedName>
    <definedName name="GESPUEST">#REF!</definedName>
    <definedName name="gg">'[4]#¡REF'!#REF!</definedName>
    <definedName name="Globales">DATOS!$I$45:$P$52</definedName>
    <definedName name="GRAVA">[1]A!$D$58:$D$59</definedName>
    <definedName name="Grupo1">#REF!</definedName>
    <definedName name="Grupo2">#REF!</definedName>
    <definedName name="Grupo3">#REF!</definedName>
    <definedName name="HH">#REF!</definedName>
    <definedName name="HHC">#REF!</definedName>
    <definedName name="HHME">#REF!</definedName>
    <definedName name="HHT">#REF!</definedName>
    <definedName name="HIDRANDINA">#REF!</definedName>
    <definedName name="hoja1">#REF!</definedName>
    <definedName name="Imprimir_área_IM">#REF!</definedName>
    <definedName name="INDICE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vllt" localSheetId="6">'[17]DATOS TECNICOS SE SANTUARIO'!#REF!</definedName>
    <definedName name="invllt">'[18]DATOS TECNICOS SE SANTUARIO'!#REF!</definedName>
    <definedName name="IsStudy">DATOS!$F$33</definedName>
    <definedName name="LISTADO">#REF!</definedName>
    <definedName name="LP_ARMADOS" localSheetId="6">[16]BD_LP!$G$1:$EF$71</definedName>
    <definedName name="LP_ARMADOS">BD_LP!$G$1:$EF$71</definedName>
    <definedName name="LP_RP">#REF!</definedName>
    <definedName name="LRP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sst1">#REF!</definedName>
    <definedName name="lsst2">#REF!</definedName>
    <definedName name="LUM_70">#REF!</definedName>
    <definedName name="MARI">'[19]FORMA-LS3'!$A$1:$M$53</definedName>
    <definedName name="MARI1">'[19]FORMA-LS1-LS2'!$A$17:$Q$83</definedName>
    <definedName name="MARI2">'[19]FORMA- RE1'!$A$3:$H$52</definedName>
    <definedName name="MARI3">'[19]FORMA-RL1'!$B$1:$L$46</definedName>
    <definedName name="MARI4">'[19]FORMA-SE2'!$M$5</definedName>
    <definedName name="MARI5">'[19]FORMA-SE2'!#REF!</definedName>
    <definedName name="MARI7">'[19]FORMA-SE2'!#REF!</definedName>
    <definedName name="MARI8">'[19]FORMA-LS1-LS2'!$A$98:$Q$170</definedName>
    <definedName name="MET">#REF!</definedName>
    <definedName name="METRADO">#REF!</definedName>
    <definedName name="mmmm" localSheetId="1" hidden="1">#REF!</definedName>
    <definedName name="MNP">'[11]#¡REF'!#REF!</definedName>
    <definedName name="Modo">DATOS!$F$30</definedName>
    <definedName name="Moneda">#REF!</definedName>
    <definedName name="MONTAJE">#REF!</definedName>
    <definedName name="MuyConcentrado">#REF!</definedName>
    <definedName name="MuyDisperso">#REF!</definedName>
    <definedName name="ope">[20]Hoja4!#REF!</definedName>
    <definedName name="OTROS">[1]A!$D$64:$D$65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RTIDA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B">#REF!</definedName>
    <definedName name="Perdidas">#REF!</definedName>
    <definedName name="Peso">#REF!</definedName>
    <definedName name="PORCENTAJE_ROCA" localSheetId="6">[16]DATOS!$I$24:$J$38</definedName>
    <definedName name="PORCENTAJE_ROCA">DATOS!$I$24:$J$38</definedName>
    <definedName name="PorcentajeCEdelTotalCargas">'[14]DATOS DE CAMPO'!#REF!</definedName>
    <definedName name="PORTALINEA">#REF!</definedName>
    <definedName name="PorTransporte">DATOS!$F$11</definedName>
    <definedName name="POSTE">#REF!</definedName>
    <definedName name="POSTES">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IMERA">#REF!</definedName>
    <definedName name="PRIMERO">'[7]FORMA-LS1-LS2'!$A$17:$Q$83</definedName>
    <definedName name="_xlnm.Print_Area" localSheetId="1">BD_LP!$A$1:$DC$65</definedName>
    <definedName name="_xlnm.Print_Area" localSheetId="6">'[21]CAP-120mm2'!$B$3:$H$58</definedName>
    <definedName name="_xlnm.Print_Area" localSheetId="4">Heaths!$A$1:$AD$30</definedName>
    <definedName name="_xlnm.Print_Area" localSheetId="3">M_0!$A$47:$K$187</definedName>
    <definedName name="_xlnm.Print_Area" localSheetId="2">P_0!$B$3:$AI$28</definedName>
    <definedName name="_xlnm.Print_Area">'[22]CAP-120mm2'!$B$3:$H$58</definedName>
    <definedName name="Print_Area_3">#REF!</definedName>
    <definedName name="Print_Area_MI">#REF!</definedName>
    <definedName name="_xlnm.Print_Titles" localSheetId="1">BD_LP!$A:$F,BD_LP!$1:$2</definedName>
    <definedName name="_xlnm.Print_Titles" localSheetId="3">M_0!$A:$G,M_0!$47:$52</definedName>
    <definedName name="_xlnm.Print_Titles" localSheetId="2">P_0!$3:$14</definedName>
    <definedName name="_xlnm.Print_Titles">#N/A</definedName>
    <definedName name="PROCMAN2" localSheetId="6">'[17]PROC MANT LT 1'!#REF!</definedName>
    <definedName name="PROCMAN2">'[18]PROC MANT LT 1'!#REF!</definedName>
    <definedName name="PROV">[23]CENSO93!$C$2</definedName>
    <definedName name="Proyecto">#REF!</definedName>
    <definedName name="Proyectos">Heaths!$B$34:$C$38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q">#REF!</definedName>
    <definedName name="qw">#REF!</definedName>
    <definedName name="RadioAccion">'[14]DATOS DE CAMPO'!#REF!</definedName>
    <definedName name="RadioDeAccion">#REF!</definedName>
    <definedName name="Ramal1">#REF!</definedName>
    <definedName name="Ramal2">#REF!</definedName>
    <definedName name="Ramal3">#REF!</definedName>
    <definedName name="Region">#REF!</definedName>
    <definedName name="Rell_11cac">#REF!</definedName>
    <definedName name="Rell_12cac">#REF!</definedName>
    <definedName name="Rell_cemen_I_p11">#REF!</definedName>
    <definedName name="Rell_cemen_I_p12">#REF!</definedName>
    <definedName name="Rell_cemen_II_p11">#REF!</definedName>
    <definedName name="Rell_cemen_II_p12">#REF!</definedName>
    <definedName name="Rell_cemen_III_p11">#REF!</definedName>
    <definedName name="Rell_cemen_III_p12">#REF!</definedName>
    <definedName name="Rell_I_p11">#REF!</definedName>
    <definedName name="Rell_I_p12">#REF!</definedName>
    <definedName name="Rell_I_pat1">#REF!</definedName>
    <definedName name="Rell_I_pat1c">#REF!</definedName>
    <definedName name="Rell_I_ri">#REF!</definedName>
    <definedName name="Rell_I_rv">#REF!</definedName>
    <definedName name="Rell_II_p11">#REF!</definedName>
    <definedName name="Rell_II_p12">#REF!</definedName>
    <definedName name="Rell_II_pat1">#REF!</definedName>
    <definedName name="Rell_II_pat1c">#REF!</definedName>
    <definedName name="Rell_II_ri">#REF!</definedName>
    <definedName name="Rell_II_rv">#REF!</definedName>
    <definedName name="Rell_III_p11">#REF!</definedName>
    <definedName name="Rell_III_p12">#REF!</definedName>
    <definedName name="Rell_III_pat1">#REF!</definedName>
    <definedName name="Rell_III_pat1c">#REF!</definedName>
    <definedName name="Rell_III_ri">#REF!</definedName>
    <definedName name="Rell_III_rv">#REF!</definedName>
    <definedName name="Rell_ret">#REF!</definedName>
    <definedName name="REPORTE">[1]A!$D$9</definedName>
    <definedName name="RES">'[4]#¡REF'!#REF!</definedName>
    <definedName name="REVISAR">#REF!</definedName>
    <definedName name="REVISAR1">#REF!</definedName>
    <definedName name="RI">#REF!</definedName>
    <definedName name="RI_A">#REF!</definedName>
    <definedName name="RI_S">#REF!</definedName>
    <definedName name="RSSUMEN">'[4]#¡REF'!#REF!</definedName>
    <definedName name="RV">#REF!</definedName>
    <definedName name="RV_A">#REF!</definedName>
    <definedName name="RV_S">#REF!</definedName>
    <definedName name="SAL">[1]A!$D$52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DSDSD">#REF!</definedName>
    <definedName name="se_220_60_1">[24]SE_Piura_Oeste!#REF!</definedName>
    <definedName name="se_r1">#REF!</definedName>
    <definedName name="se_r2">#REF!</definedName>
    <definedName name="se_r3">#REF!</definedName>
    <definedName name="se_r4">#REF!</definedName>
    <definedName name="se_r5">#REF!</definedName>
    <definedName name="se_r6">#REF!</definedName>
    <definedName name="SE_SICN_1">#REF!</definedName>
    <definedName name="SE_SICN_2">#REF!</definedName>
    <definedName name="se1_1">[24]SE_Piura_Oeste!#REF!</definedName>
    <definedName name="se1_2">[24]SE_Piura_Oeste!#REF!</definedName>
    <definedName name="se1_3">[24]SE_Piura_Oeste!#REF!</definedName>
    <definedName name="se1_4">[24]SE_Piura_Oeste!#REF!</definedName>
    <definedName name="se10_1">[24]SE_Santa_Rosa!#REF!</definedName>
    <definedName name="se10_2">[24]SE_Santa_Rosa!#REF!</definedName>
    <definedName name="se11_1">[24]SE_San_Juan!#REF!</definedName>
    <definedName name="se12_1">[24]SE_Independencia!#REF!</definedName>
    <definedName name="se12_2">[24]SE_Independencia!#REF!</definedName>
    <definedName name="se13_1">[24]SE_Ica!#REF!</definedName>
    <definedName name="se13_2">[24]SE_Ica!#REF!</definedName>
    <definedName name="se2_1">[24]SE_Chiclayo_Oeste!#REF!</definedName>
    <definedName name="se2_2">[24]SE_Chiclayo_Oeste!#REF!</definedName>
    <definedName name="se3_1">'[7]FORMA-SE2'!#REF!</definedName>
    <definedName name="se3_2">'[7]FORMA-SE2'!#REF!</definedName>
    <definedName name="se4_1">[24]SE_Trujillo_Norte!#REF!</definedName>
    <definedName name="se4_2">[24]SE_Trujillo_Norte!#REF!</definedName>
    <definedName name="se4_3">[24]SE_Trujillo_Norte!#REF!</definedName>
    <definedName name="se4_4">[24]SE_Trujillo_Norte!#REF!</definedName>
    <definedName name="se5_1">[24]SE_Chimbote1!#REF!</definedName>
    <definedName name="se5_2">[24]SE_Chimbote1!#REF!</definedName>
    <definedName name="se5_3">[24]SE_Chimbote1!#REF!</definedName>
    <definedName name="se5_4">[24]SE_Chimbote1!#REF!</definedName>
    <definedName name="se6_1">[24]SE_Paramonga_Nueva!#REF!</definedName>
    <definedName name="se6_2">[24]SE_Paramonga_Nueva!#REF!</definedName>
    <definedName name="se9_1">[24]SE_Chavarria!#REF!</definedName>
    <definedName name="se9_2">[24]SE_Chavarria!#REF!</definedName>
    <definedName name="se9_3">[24]SE_Chavarria!#REF!</definedName>
    <definedName name="SEAL">#REF!</definedName>
    <definedName name="SEGUN">'[7]FORMA-LS1-LS2'!$A$98:$Q$170</definedName>
    <definedName name="SEGUNDA">#REF!</definedName>
    <definedName name="SEGUNDO">'[7]FORMA-LS1-LS2'!$A$98:$Q$168</definedName>
    <definedName name="ser" localSheetId="6">[16]DATOS!$C$55:$G$57</definedName>
    <definedName name="ser">DATOS!$C$55:$G$57</definedName>
    <definedName name="SGUN">'[19]FORMA-LS1-LS2'!$A$98:$Q$168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ol">#REF!</definedName>
    <definedName name="SOPOR">'[19]FORMA-LS1-LS2'!$A$86:$P$169</definedName>
    <definedName name="SOPORTE">'[7]FORMA-LS1-LS2'!$A$86:$P$169</definedName>
    <definedName name="SSEE">'[19]FORMA-ST1'!$A$2:$S$55</definedName>
    <definedName name="SSS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TB">#REF!</definedName>
    <definedName name="SUBESTACIONES">'[7]FORMA-ST1'!$A$2:$S$55</definedName>
    <definedName name="SUM_DEP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INISTRO">[1]A!$D$73</definedName>
    <definedName name="tabtabtab">[25]LINEAS!$A$3:$BR$18</definedName>
    <definedName name="TERCERA">#REF!</definedName>
    <definedName name="Thumedo">DATOS!$D$37</definedName>
    <definedName name="Tnormal">DATOS!$D$35</definedName>
    <definedName name="TO_MAT">[1]A!$D$42</definedName>
    <definedName name="trafo_1">#REF!</definedName>
    <definedName name="trafo_2">#REF!</definedName>
    <definedName name="trafo_3">#REF!</definedName>
    <definedName name="Trocoso">DATOS!$D$36</definedName>
    <definedName name="TS_0">#REF!</definedName>
    <definedName name="TS_2">#REF!</definedName>
    <definedName name="TS_3">#REF!</definedName>
    <definedName name="UND.">#REF!</definedName>
    <definedName name="Variables">#REF!</definedName>
    <definedName name="VOL_EXC">DATOS!$AB$10:$AQ$61</definedName>
    <definedName name="VOL_EXC_C" localSheetId="6">[16]DATOS!$AB$10:$AQ$35</definedName>
    <definedName name="VOL_EXC_C">DATOS!$AB$10:$AQ$35</definedName>
    <definedName name="VOL_EXC_N" localSheetId="6">[16]DATOS!$AB$36:$AQ$61</definedName>
    <definedName name="VOL_EXC_N">DATOS!$AB$36:$AQ$61</definedName>
    <definedName name="VOL_RYC_CAC">DATOS!$AC$25:$AQ$34</definedName>
    <definedName name="VP">#REF!</definedName>
    <definedName name="vu111_3">#REF!</definedName>
    <definedName name="wrn.precios." localSheetId="6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Z_56770540_A97A_11D1_870B_00002143DF72_.wvu.Rows" localSheetId="1" hidden="1">[26]PRESUPUESTO!#REF!,[26]PRESUPUESTO!#REF!,[26]PRESUPUESTO!#REF!,[26]PRESUPUESTO!#REF!,[26]PRESUPUESTO!#REF!,[26]PRESUPUESTO!#REF!,[26]PRESUPUESTO!#REF!,[26]PRESUPUESTO!#REF!,[26]PRESUPUESTO!#REF!,[26]PRESUPUESTO!#REF!,[26]PRESUPUESTO!#REF!,[26]PRESUPUESTO!$A$287:$IV$287,[26]PRESUPUESTO!$A$292:$IV$294</definedName>
    <definedName name="Z_56770540_A97A_11D1_870B_00002143DF72_.wvu.Rows" localSheetId="6" hidden="1">[26]PRESUPUESTO!#REF!,[26]PRESUPUESTO!#REF!,[26]PRESUPUESTO!#REF!,[26]PRESUPUESTO!#REF!,[26]PRESUPUESTO!#REF!,[26]PRESUPUESTO!#REF!,[26]PRESUPUESTO!#REF!,[26]PRESUPUESTO!#REF!,[26]PRESUPUESTO!#REF!,[26]PRESUPUESTO!#REF!,[26]PRESUPUESTO!#REF!,[26]PRESUPUESTO!$287:$287,[26]PRESUPUESTO!$292:$294</definedName>
    <definedName name="Z_56770540_A97A_11D1_870B_00002143DF72_.wvu.Rows" hidden="1">[26]PRESUPUESTO!#REF!,[26]PRESUPUESTO!#REF!,[26]PRESUPUESTO!#REF!,[26]PRESUPUESTO!#REF!,[26]PRESUPUESTO!#REF!,[26]PRESUPUESTO!#REF!,[26]PRESUPUESTO!#REF!,[26]PRESUPUESTO!#REF!,[26]PRESUPUESTO!#REF!,[26]PRESUPUESTO!#REF!,[26]PRESUPUESTO!#REF!,[26]PRESUPUESTO!$287:$287,[26]PRESUPUESTO!$292:$294</definedName>
    <definedName name="Z_6104898C_BDC8_4F17_AC01_8428510C4C82_.wvu.PrintArea" localSheetId="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7" i="373" l="1"/>
  <c r="I176" i="373"/>
  <c r="I173" i="373"/>
  <c r="I172" i="373"/>
  <c r="I171" i="373"/>
  <c r="I170" i="373"/>
  <c r="I169" i="373"/>
  <c r="I166" i="373"/>
  <c r="I165" i="373"/>
  <c r="I162" i="373"/>
  <c r="I161" i="373"/>
  <c r="I160" i="373"/>
  <c r="I159" i="373"/>
  <c r="I158" i="373"/>
  <c r="I157" i="373"/>
  <c r="I156" i="373"/>
  <c r="I155" i="373"/>
  <c r="I150" i="373"/>
  <c r="I144" i="373"/>
  <c r="I143" i="373"/>
  <c r="I142" i="373"/>
  <c r="I141" i="373"/>
  <c r="I140" i="373"/>
  <c r="I135" i="373"/>
  <c r="I134" i="373"/>
  <c r="I131" i="373"/>
  <c r="I130" i="373"/>
  <c r="I120" i="373"/>
  <c r="I121" i="373"/>
  <c r="I119" i="373"/>
  <c r="I113" i="373"/>
  <c r="I115" i="373" s="1"/>
  <c r="I106" i="373"/>
  <c r="I105" i="373"/>
  <c r="I103" i="373"/>
  <c r="I108" i="373" s="1"/>
  <c r="I82" i="373"/>
  <c r="I81" i="373"/>
  <c r="I80" i="373"/>
  <c r="I79" i="373"/>
  <c r="I77" i="373"/>
  <c r="I76" i="373"/>
  <c r="I75" i="373"/>
  <c r="I74" i="373"/>
  <c r="I73" i="373"/>
  <c r="I72" i="373"/>
  <c r="I71" i="373"/>
  <c r="I68" i="373"/>
  <c r="I67" i="373"/>
  <c r="I64" i="373"/>
  <c r="I61" i="373"/>
  <c r="I60" i="373"/>
  <c r="I57" i="373"/>
  <c r="I107" i="373" l="1"/>
  <c r="I109" i="373"/>
  <c r="I110" i="373"/>
  <c r="B53" i="373"/>
  <c r="B54" i="373" s="1"/>
  <c r="B55" i="373" l="1"/>
  <c r="B56" i="373" s="1"/>
  <c r="B57" i="373" s="1"/>
  <c r="B58" i="373" s="1"/>
  <c r="B59" i="373" s="1"/>
  <c r="B60" i="373" s="1"/>
  <c r="B61" i="373" s="1"/>
  <c r="B62" i="373" s="1"/>
  <c r="B63" i="373" s="1"/>
  <c r="B64" i="373" s="1"/>
  <c r="B65" i="373" s="1"/>
  <c r="B66" i="373" s="1"/>
  <c r="B67" i="373" s="1"/>
  <c r="B68" i="373" s="1"/>
  <c r="B69" i="373" s="1"/>
  <c r="B70" i="373" s="1"/>
  <c r="B71" i="373" s="1"/>
  <c r="B72" i="373" s="1"/>
  <c r="B73" i="373" s="1"/>
  <c r="B74" i="373" s="1"/>
  <c r="B75" i="373" s="1"/>
  <c r="B76" i="373" s="1"/>
  <c r="B77" i="373" s="1"/>
  <c r="B78" i="373" s="1"/>
  <c r="I54" i="373"/>
  <c r="I137" i="373"/>
  <c r="B79" i="373" l="1"/>
  <c r="B80" i="373" s="1"/>
  <c r="B81" i="373" s="1"/>
  <c r="B82" i="373" s="1"/>
  <c r="B83" i="373" s="1"/>
  <c r="B84" i="373" s="1"/>
  <c r="B85" i="373" s="1"/>
  <c r="I78" i="373"/>
  <c r="K19" i="668"/>
  <c r="K20" i="668"/>
  <c r="K21" i="668"/>
  <c r="K22" i="668"/>
  <c r="K23" i="668"/>
  <c r="K24" i="668"/>
  <c r="K25" i="668"/>
  <c r="K26" i="668"/>
  <c r="K27" i="668"/>
  <c r="K18" i="668"/>
  <c r="B86" i="373" l="1"/>
  <c r="B87" i="373" s="1"/>
  <c r="B88" i="373" s="1"/>
  <c r="I85" i="373"/>
  <c r="G60" i="373"/>
  <c r="G61" i="373"/>
  <c r="G64" i="373"/>
  <c r="G65" i="373"/>
  <c r="G71" i="373"/>
  <c r="G72" i="373"/>
  <c r="G74" i="373"/>
  <c r="G79" i="373"/>
  <c r="G80" i="373"/>
  <c r="G107" i="373"/>
  <c r="G108" i="373"/>
  <c r="G110" i="373"/>
  <c r="G122" i="373"/>
  <c r="G123" i="373"/>
  <c r="G124" i="373"/>
  <c r="G125" i="373"/>
  <c r="G126" i="373"/>
  <c r="G127" i="373"/>
  <c r="G128" i="373"/>
  <c r="G138" i="373"/>
  <c r="G139" i="373"/>
  <c r="G140" i="373"/>
  <c r="G150" i="373"/>
  <c r="G155" i="373"/>
  <c r="G156" i="373"/>
  <c r="G157" i="373"/>
  <c r="G168" i="373"/>
  <c r="G169" i="373"/>
  <c r="B89" i="373" l="1"/>
  <c r="I88" i="373"/>
  <c r="G135" i="373"/>
  <c r="B90" i="373" l="1"/>
  <c r="I89" i="373"/>
  <c r="G143" i="373"/>
  <c r="G142" i="373"/>
  <c r="B91" i="373" l="1"/>
  <c r="I90" i="373"/>
  <c r="G54" i="373"/>
  <c r="B92" i="373" l="1"/>
  <c r="I91" i="373"/>
  <c r="G68" i="373"/>
  <c r="G130" i="373"/>
  <c r="I129" i="373"/>
  <c r="G129" i="373" s="1"/>
  <c r="B93" i="373" l="1"/>
  <c r="I92" i="373"/>
  <c r="G141" i="373"/>
  <c r="B94" i="373" l="1"/>
  <c r="I93" i="373"/>
  <c r="I167" i="373"/>
  <c r="G167" i="373" s="1"/>
  <c r="G166" i="373"/>
  <c r="G162" i="373"/>
  <c r="G161" i="373"/>
  <c r="B95" i="373" l="1"/>
  <c r="I94" i="373"/>
  <c r="G137" i="373"/>
  <c r="B96" i="373" l="1"/>
  <c r="I95" i="373"/>
  <c r="G88" i="373"/>
  <c r="G89" i="373"/>
  <c r="G90" i="373"/>
  <c r="G91" i="373"/>
  <c r="G92" i="373"/>
  <c r="G93" i="373"/>
  <c r="G94" i="373"/>
  <c r="B97" i="373" l="1"/>
  <c r="I96" i="373"/>
  <c r="I145" i="373"/>
  <c r="G145" i="373" s="1"/>
  <c r="G144" i="373"/>
  <c r="B98" i="373" l="1"/>
  <c r="I97" i="373"/>
  <c r="G97" i="373" s="1"/>
  <c r="G105" i="373"/>
  <c r="G103" i="373"/>
  <c r="B99" i="373" l="1"/>
  <c r="I98" i="373"/>
  <c r="G98" i="373" s="1"/>
  <c r="G95" i="373"/>
  <c r="G85" i="373"/>
  <c r="G81" i="373"/>
  <c r="G82" i="373"/>
  <c r="G78" i="373"/>
  <c r="G77" i="373"/>
  <c r="G76" i="373"/>
  <c r="G75" i="373"/>
  <c r="G73" i="373"/>
  <c r="B100" i="373" l="1"/>
  <c r="B101" i="373" s="1"/>
  <c r="B102" i="373" s="1"/>
  <c r="I99" i="373"/>
  <c r="G99" i="373" s="1"/>
  <c r="S20" i="668"/>
  <c r="B103" i="373" l="1"/>
  <c r="B104" i="373" s="1"/>
  <c r="I102" i="373"/>
  <c r="G102" i="373" s="1"/>
  <c r="AV55" i="33"/>
  <c r="AT55" i="33"/>
  <c r="AV54" i="33"/>
  <c r="AV53" i="33"/>
  <c r="AD53" i="33"/>
  <c r="AD52" i="33"/>
  <c r="AE52" i="33" s="1"/>
  <c r="AF52" i="33" s="1"/>
  <c r="AG52" i="33" s="1"/>
  <c r="AH52" i="33" s="1"/>
  <c r="AI52" i="33" s="1"/>
  <c r="AJ52" i="33" s="1"/>
  <c r="AK52" i="33" s="1"/>
  <c r="AL52" i="33" s="1"/>
  <c r="AM52" i="33" s="1"/>
  <c r="AN52" i="33" s="1"/>
  <c r="AO52" i="33" s="1"/>
  <c r="AP52" i="33" s="1"/>
  <c r="AQ52" i="33" s="1"/>
  <c r="AK42" i="33"/>
  <c r="AL42" i="33" s="1"/>
  <c r="AG42" i="33"/>
  <c r="AK41" i="33"/>
  <c r="AG41" i="33"/>
  <c r="AK40" i="33"/>
  <c r="AO40" i="33" s="1"/>
  <c r="AG40" i="33"/>
  <c r="AK39" i="33"/>
  <c r="AN39" i="33" s="1"/>
  <c r="AG39" i="33"/>
  <c r="AD38" i="33"/>
  <c r="AE38" i="33" s="1"/>
  <c r="AF38" i="33" s="1"/>
  <c r="AG38" i="33" s="1"/>
  <c r="AH38" i="33" s="1"/>
  <c r="AI38" i="33" s="1"/>
  <c r="AJ38" i="33" s="1"/>
  <c r="AK38" i="33" s="1"/>
  <c r="AL38" i="33" s="1"/>
  <c r="AM38" i="33" s="1"/>
  <c r="AN38" i="33" s="1"/>
  <c r="AO38" i="33" s="1"/>
  <c r="AP38" i="33" s="1"/>
  <c r="AQ38" i="33" s="1"/>
  <c r="AD24" i="33"/>
  <c r="AE24" i="33" s="1"/>
  <c r="AF24" i="33" s="1"/>
  <c r="AG24" i="33" s="1"/>
  <c r="AH24" i="33" s="1"/>
  <c r="AI24" i="33" s="1"/>
  <c r="AJ24" i="33" s="1"/>
  <c r="AK24" i="33" s="1"/>
  <c r="AL24" i="33" s="1"/>
  <c r="AM24" i="33" s="1"/>
  <c r="AN24" i="33" s="1"/>
  <c r="AO24" i="33" s="1"/>
  <c r="AP24" i="33" s="1"/>
  <c r="AQ24" i="33" s="1"/>
  <c r="AK11" i="33"/>
  <c r="AO11" i="33" s="1"/>
  <c r="AG11" i="33"/>
  <c r="AK10" i="33"/>
  <c r="AO10" i="33" s="1"/>
  <c r="AG10" i="33"/>
  <c r="AD9" i="33"/>
  <c r="AE9" i="33" s="1"/>
  <c r="AF9" i="33" s="1"/>
  <c r="AG9" i="33" s="1"/>
  <c r="AH9" i="33" s="1"/>
  <c r="AI9" i="33" s="1"/>
  <c r="AJ9" i="33" s="1"/>
  <c r="AK9" i="33" s="1"/>
  <c r="AL9" i="33" s="1"/>
  <c r="AM9" i="33" s="1"/>
  <c r="AN9" i="33" s="1"/>
  <c r="AO9" i="33" s="1"/>
  <c r="AP9" i="33" s="1"/>
  <c r="AQ9" i="33" s="1"/>
  <c r="AD6" i="33"/>
  <c r="AE6" i="33" s="1"/>
  <c r="AF6" i="33" s="1"/>
  <c r="AG6" i="33" s="1"/>
  <c r="AH6" i="33" s="1"/>
  <c r="AI6" i="33" s="1"/>
  <c r="AJ6" i="33" s="1"/>
  <c r="AK6" i="33" s="1"/>
  <c r="AL6" i="33" s="1"/>
  <c r="AM6" i="33" s="1"/>
  <c r="AN6" i="33" s="1"/>
  <c r="AO6" i="33" s="1"/>
  <c r="AP6" i="33" s="1"/>
  <c r="AQ6" i="33" s="1"/>
  <c r="V18" i="33"/>
  <c r="V15" i="33"/>
  <c r="X15" i="33" s="1"/>
  <c r="V14" i="33"/>
  <c r="X14" i="33" s="1"/>
  <c r="W13" i="33"/>
  <c r="V13" i="33"/>
  <c r="W12" i="33"/>
  <c r="V12" i="33"/>
  <c r="X12" i="33" s="1"/>
  <c r="W11" i="33"/>
  <c r="V11" i="33"/>
  <c r="W10" i="33"/>
  <c r="V10" i="33"/>
  <c r="AL41" i="33" l="1"/>
  <c r="B105" i="373"/>
  <c r="B106" i="373" s="1"/>
  <c r="B107" i="373" s="1"/>
  <c r="B108" i="373" s="1"/>
  <c r="B109" i="373" s="1"/>
  <c r="B110" i="373" s="1"/>
  <c r="B111" i="373" s="1"/>
  <c r="B112" i="373" s="1"/>
  <c r="B113" i="373" s="1"/>
  <c r="B114" i="373" s="1"/>
  <c r="I104" i="373"/>
  <c r="G104" i="373" s="1"/>
  <c r="X11" i="33"/>
  <c r="AN10" i="33"/>
  <c r="X10" i="33"/>
  <c r="AL11" i="33"/>
  <c r="AP11" i="33" s="1"/>
  <c r="AQ11" i="33" s="1"/>
  <c r="AL40" i="33"/>
  <c r="AP40" i="33" s="1"/>
  <c r="AQ40" i="33" s="1"/>
  <c r="AP41" i="33"/>
  <c r="AT54" i="33"/>
  <c r="X13" i="33"/>
  <c r="AL10" i="33"/>
  <c r="AL39" i="33"/>
  <c r="AP39" i="33" s="1"/>
  <c r="AO39" i="33"/>
  <c r="AO41" i="33"/>
  <c r="AN42" i="33"/>
  <c r="AL53" i="33"/>
  <c r="AP53" i="33" s="1"/>
  <c r="AP10" i="33"/>
  <c r="AQ10" i="33" s="1"/>
  <c r="AO53" i="33"/>
  <c r="AN53" i="33"/>
  <c r="AN41" i="33"/>
  <c r="AO42" i="33"/>
  <c r="AT53" i="33"/>
  <c r="AN11" i="33"/>
  <c r="AN40" i="33"/>
  <c r="AP42" i="33"/>
  <c r="B115" i="373" l="1"/>
  <c r="B116" i="373" s="1"/>
  <c r="I114" i="373"/>
  <c r="AQ39" i="33"/>
  <c r="AQ41" i="33"/>
  <c r="AQ53" i="33"/>
  <c r="AQ42" i="33"/>
  <c r="B117" i="373" l="1"/>
  <c r="B118" i="373" s="1"/>
  <c r="B119" i="373" s="1"/>
  <c r="B120" i="373" s="1"/>
  <c r="B121" i="373" s="1"/>
  <c r="I116" i="373"/>
  <c r="V21" i="668"/>
  <c r="P47" i="33"/>
  <c r="L47" i="33" l="1"/>
  <c r="O47" i="33"/>
  <c r="N47" i="33"/>
  <c r="M47" i="33"/>
  <c r="J47" i="33"/>
  <c r="H47" i="373" s="1"/>
  <c r="K47" i="33"/>
  <c r="I136" i="373" l="1"/>
  <c r="G136" i="373" s="1"/>
  <c r="G134" i="373"/>
  <c r="I132" i="373"/>
  <c r="G132" i="373" s="1"/>
  <c r="G131" i="373"/>
  <c r="I19" i="667"/>
  <c r="I22" i="667" s="1"/>
  <c r="H19" i="667"/>
  <c r="H22" i="667" s="1"/>
  <c r="G19" i="667"/>
  <c r="G27" i="667" s="1"/>
  <c r="G18" i="667"/>
  <c r="D7" i="667"/>
  <c r="Y4" i="667" s="1"/>
  <c r="G177" i="373"/>
  <c r="G170" i="373"/>
  <c r="G171" i="373"/>
  <c r="G173" i="373"/>
  <c r="G172" i="373"/>
  <c r="G176" i="373"/>
  <c r="I52" i="373"/>
  <c r="I51" i="373"/>
  <c r="I50" i="373"/>
  <c r="I27" i="668"/>
  <c r="G27" i="668"/>
  <c r="I26" i="668"/>
  <c r="G26" i="668"/>
  <c r="I25" i="668"/>
  <c r="G25" i="668"/>
  <c r="I24" i="668"/>
  <c r="G24" i="668"/>
  <c r="Q23" i="668"/>
  <c r="I23" i="668"/>
  <c r="G23" i="668"/>
  <c r="I22" i="668"/>
  <c r="G22" i="668"/>
  <c r="I21" i="668"/>
  <c r="G21" i="668"/>
  <c r="V20" i="668"/>
  <c r="S19" i="668"/>
  <c r="I20" i="668"/>
  <c r="G20" i="668"/>
  <c r="D20" i="668"/>
  <c r="AB19" i="668"/>
  <c r="V19" i="668"/>
  <c r="I19" i="668"/>
  <c r="G19" i="668"/>
  <c r="D19" i="668"/>
  <c r="AB18" i="668"/>
  <c r="V18" i="668"/>
  <c r="S18" i="668"/>
  <c r="I18" i="668"/>
  <c r="G18" i="668"/>
  <c r="D18" i="668"/>
  <c r="D37" i="33"/>
  <c r="L9" i="33"/>
  <c r="N9" i="33" s="1"/>
  <c r="O9" i="33" s="1"/>
  <c r="M8" i="33"/>
  <c r="L8" i="33"/>
  <c r="N8" i="33" s="1"/>
  <c r="I149" i="373" l="1"/>
  <c r="G149" i="373" s="1"/>
  <c r="I148" i="373"/>
  <c r="G148" i="373" s="1"/>
  <c r="G159" i="373"/>
  <c r="G160" i="373"/>
  <c r="G158" i="373"/>
  <c r="O8" i="33"/>
  <c r="H21" i="667"/>
  <c r="I21" i="667"/>
  <c r="H23" i="667"/>
  <c r="I23" i="667"/>
  <c r="I152" i="373" l="1"/>
  <c r="G152" i="373" s="1"/>
  <c r="I151" i="373"/>
  <c r="G151" i="373" s="1"/>
  <c r="G165" i="373"/>
  <c r="G164" i="373"/>
  <c r="G163" i="373"/>
  <c r="I25" i="667"/>
  <c r="I27" i="667" s="1"/>
  <c r="G57" i="373" l="1"/>
  <c r="G66" i="373"/>
  <c r="G67" i="373"/>
  <c r="I133" i="373" l="1"/>
  <c r="G133" i="373" s="1"/>
  <c r="G69" i="373" l="1"/>
  <c r="G70" i="373" l="1"/>
  <c r="G96" i="373" l="1"/>
  <c r="G106" i="373" l="1"/>
  <c r="G109" i="373" l="1"/>
  <c r="G113" i="373" l="1"/>
  <c r="G114" i="373" l="1"/>
  <c r="G115" i="373" l="1"/>
  <c r="G116" i="373" l="1"/>
  <c r="G117" i="373" l="1"/>
  <c r="G118" i="373" l="1"/>
  <c r="G119" i="373" l="1"/>
  <c r="G120" i="373" l="1"/>
  <c r="G121" i="373" l="1"/>
  <c r="B122" i="373" l="1"/>
  <c r="B123" i="373" s="1"/>
  <c r="B124" i="373" s="1"/>
  <c r="B125" i="373" s="1"/>
  <c r="B126" i="373" s="1"/>
  <c r="B127" i="373" s="1"/>
  <c r="B128" i="373" s="1"/>
  <c r="B129" i="373" s="1"/>
  <c r="B130" i="373" s="1"/>
  <c r="B131" i="373" s="1"/>
  <c r="B132" i="373" s="1"/>
  <c r="B133" i="373" s="1"/>
  <c r="B134" i="373" s="1"/>
  <c r="B135" i="373" s="1"/>
  <c r="B136" i="373" s="1"/>
  <c r="B137" i="373" s="1"/>
  <c r="B138" i="373" s="1"/>
  <c r="B139" i="373" s="1"/>
  <c r="B140" i="373" s="1"/>
  <c r="B141" i="373" s="1"/>
  <c r="B142" i="373" s="1"/>
  <c r="B143" i="373" s="1"/>
  <c r="B144" i="373" s="1"/>
  <c r="B145" i="373" s="1"/>
  <c r="B146" i="373" s="1"/>
  <c r="B147" i="373" s="1"/>
  <c r="B148" i="373" s="1"/>
  <c r="B149" i="373" s="1"/>
  <c r="B150" i="373" s="1"/>
  <c r="B151" i="373" s="1"/>
  <c r="B152" i="373" s="1"/>
  <c r="B153" i="373" s="1"/>
  <c r="B154" i="373" s="1"/>
  <c r="B155" i="373" s="1"/>
  <c r="B156" i="373" s="1"/>
  <c r="B157" i="373" s="1"/>
  <c r="B158" i="373" s="1"/>
  <c r="B159" i="373" s="1"/>
  <c r="B160" i="373" s="1"/>
  <c r="B161" i="373" s="1"/>
  <c r="B162" i="373" s="1"/>
  <c r="B163" i="373" s="1"/>
  <c r="B164" i="373" s="1"/>
  <c r="B165" i="373" s="1"/>
  <c r="B166" i="373" s="1"/>
  <c r="B167" i="373" s="1"/>
  <c r="B168" i="373" s="1"/>
  <c r="B169" i="373" s="1"/>
  <c r="B170" i="373" s="1"/>
  <c r="B171" i="373" s="1"/>
  <c r="B172" i="373" s="1"/>
  <c r="B173" i="373" s="1"/>
  <c r="B174" i="373" s="1"/>
  <c r="B175" i="373" s="1"/>
  <c r="B176" i="373" s="1"/>
  <c r="B177" i="373" s="1"/>
</calcChain>
</file>

<file path=xl/sharedStrings.xml><?xml version="1.0" encoding="utf-8"?>
<sst xmlns="http://schemas.openxmlformats.org/spreadsheetml/2006/main" count="960" uniqueCount="488">
  <si>
    <t>AAAC-35</t>
  </si>
  <si>
    <t>PAT-1</t>
  </si>
  <si>
    <t>DS-0</t>
  </si>
  <si>
    <t>CONDUCTOR</t>
  </si>
  <si>
    <t>RV</t>
  </si>
  <si>
    <t>RI</t>
  </si>
  <si>
    <t>PS1-0</t>
  </si>
  <si>
    <t>RETENIDAS</t>
  </si>
  <si>
    <t>[u]</t>
  </si>
  <si>
    <t>Vano Adelante</t>
  </si>
  <si>
    <t>PAT</t>
  </si>
  <si>
    <t>POSTE</t>
  </si>
  <si>
    <t>EST. Nº</t>
  </si>
  <si>
    <t>SISTEMA</t>
  </si>
  <si>
    <t>CONTRATISTA:</t>
  </si>
  <si>
    <t>PROPIETARIO:</t>
  </si>
  <si>
    <t>PRUEBAS Y PUESTA EN SERVICIO</t>
  </si>
  <si>
    <t>u</t>
  </si>
  <si>
    <t>INSTALACION DE PUESTA A TIERRA</t>
  </si>
  <si>
    <t>EQUIPO DE PROTECCION Y MANIOBRA</t>
  </si>
  <si>
    <t>m</t>
  </si>
  <si>
    <t>PUESTA A TIERRA</t>
  </si>
  <si>
    <t>MATERIAL DE FERRETERIA PARA POSTES Y CRUCETAS</t>
  </si>
  <si>
    <t>km</t>
  </si>
  <si>
    <t>PR3-0</t>
  </si>
  <si>
    <t>PA2-0</t>
  </si>
  <si>
    <t>PROYECTO</t>
  </si>
  <si>
    <t>ITEM</t>
  </si>
  <si>
    <t>12/300</t>
  </si>
  <si>
    <t>DISTRITO</t>
  </si>
  <si>
    <t>Cantidad</t>
  </si>
  <si>
    <t>Nº  de</t>
  </si>
  <si>
    <t>Fases</t>
  </si>
  <si>
    <t>N</t>
  </si>
  <si>
    <t>R</t>
  </si>
  <si>
    <t>COD</t>
  </si>
  <si>
    <t>UND</t>
  </si>
  <si>
    <t>FACTOR_CONDUCTOR</t>
  </si>
  <si>
    <t>Situación Terreno</t>
  </si>
  <si>
    <t>Profundidad  (m)</t>
  </si>
  <si>
    <t>Hoyo              (m3)</t>
  </si>
  <si>
    <t>Diámetro (m)</t>
  </si>
  <si>
    <t>Zanja             (m3)</t>
  </si>
  <si>
    <t>Total Excavacion (m3)</t>
  </si>
  <si>
    <t>H     (m)</t>
  </si>
  <si>
    <t>Fpunta                   (Kg-F)</t>
  </si>
  <si>
    <t>Dpunta (mm)</t>
  </si>
  <si>
    <t>Dbase (mm)</t>
  </si>
  <si>
    <t>Condicion</t>
  </si>
  <si>
    <t>Diámetro Hoyo (m)</t>
  </si>
  <si>
    <t>Profundidad  Empotrado (m)</t>
  </si>
  <si>
    <t>Diametro Empotram. (mm)</t>
  </si>
  <si>
    <t>Solado  (m)</t>
  </si>
  <si>
    <t>Profundidad  Hoyo (m)</t>
  </si>
  <si>
    <t>Volumen Hoyo (m3)</t>
  </si>
  <si>
    <t>Poste Enterrado</t>
  </si>
  <si>
    <t>Normal</t>
  </si>
  <si>
    <t>PAT-2</t>
  </si>
  <si>
    <t>PAT-2S</t>
  </si>
  <si>
    <t>-</t>
  </si>
  <si>
    <t>SUPERVISION:</t>
  </si>
  <si>
    <t>FECHA:</t>
  </si>
  <si>
    <t>12/200</t>
  </si>
  <si>
    <t>AAAC-70</t>
  </si>
  <si>
    <t>PTV-0</t>
  </si>
  <si>
    <t>mm²</t>
  </si>
  <si>
    <t>AISLADORES Y ACCESORIOS</t>
  </si>
  <si>
    <t>CONDUCTOR DE ALEACIÓN DE ALUMINIO</t>
  </si>
  <si>
    <t>ACCESORIOS PARA CONDUCTOR DE ALEACION ALUMINIO</t>
  </si>
  <si>
    <t>CONDUCTOR DE COBRE</t>
  </si>
  <si>
    <t>RETENIDAS Y ANCLAJES</t>
  </si>
  <si>
    <t>MATERIAL PARA PUESTA A TIERRA</t>
  </si>
  <si>
    <t>TOTAL SUMINISTRO DE MATERIALES</t>
  </si>
  <si>
    <t>MONTAJE ELECTROMECANICO</t>
  </si>
  <si>
    <t>MONTAJE DE CONDUCTORES</t>
  </si>
  <si>
    <t>m3</t>
  </si>
  <si>
    <t>11/200</t>
  </si>
  <si>
    <t>11/300</t>
  </si>
  <si>
    <t>Relleno</t>
  </si>
  <si>
    <t>RELLENO Y COMPACTACION DE POSTES DE CAC</t>
  </si>
  <si>
    <t>Vol. De RELLENO</t>
  </si>
  <si>
    <t>RELLENO Y COMPACTACION DE POSTES DE MADERA</t>
  </si>
  <si>
    <t>Carga de Rotura (kg)</t>
  </si>
  <si>
    <t>Diametro Empotram. (mm) 6'</t>
  </si>
  <si>
    <t>conicidad</t>
  </si>
  <si>
    <t>VOL_RYC_CAC</t>
  </si>
  <si>
    <t>VOL_RYC_MAD</t>
  </si>
  <si>
    <t>AREA</t>
  </si>
  <si>
    <t>PIN</t>
  </si>
  <si>
    <t>SUSPENSION</t>
  </si>
  <si>
    <t>56-3</t>
  </si>
  <si>
    <t>2x52-3</t>
  </si>
  <si>
    <t>56-4</t>
  </si>
  <si>
    <t>SILICONA</t>
  </si>
  <si>
    <t>AISLAMIENTO</t>
  </si>
  <si>
    <t>IPB-36</t>
  </si>
  <si>
    <t>IPB-36-900</t>
  </si>
  <si>
    <t>H</t>
  </si>
  <si>
    <t>Profundidad
  (m)</t>
  </si>
  <si>
    <t>Hoyo 
(m3)</t>
  </si>
  <si>
    <t>LADO 
(M)</t>
  </si>
  <si>
    <t>Total Hoyo 
(m3)</t>
  </si>
  <si>
    <t>EXCV_RET</t>
  </si>
  <si>
    <t>Progresiva</t>
  </si>
  <si>
    <t/>
  </si>
  <si>
    <t xml:space="preserve">    DESCRIPCION DE PARTIDAS</t>
  </si>
  <si>
    <t>INSTALACION DE RETENIDAS</t>
  </si>
  <si>
    <t>MONTAJE DE ARMADOS</t>
  </si>
  <si>
    <t>PA1-0</t>
  </si>
  <si>
    <t>PA3-0</t>
  </si>
  <si>
    <t>TS-0</t>
  </si>
  <si>
    <t>PSEC-0P</t>
  </si>
  <si>
    <t>PS1-2</t>
  </si>
  <si>
    <t>PA1-2</t>
  </si>
  <si>
    <t>PA2-2</t>
  </si>
  <si>
    <t>PA3-2</t>
  </si>
  <si>
    <t>PR3-2</t>
  </si>
  <si>
    <t>PSH-2</t>
  </si>
  <si>
    <t>PRH-2</t>
  </si>
  <si>
    <t>DS-2</t>
  </si>
  <si>
    <t>P3A2-2</t>
  </si>
  <si>
    <t>RI-A</t>
  </si>
  <si>
    <t>RV-A</t>
  </si>
  <si>
    <t>Chaflán 
(m3)</t>
  </si>
  <si>
    <t>PORCENTAJES DE TIPOS DE TERRENO</t>
  </si>
  <si>
    <t>1N</t>
  </si>
  <si>
    <t>1R</t>
  </si>
  <si>
    <t>1H</t>
  </si>
  <si>
    <t>2N</t>
  </si>
  <si>
    <t>2R</t>
  </si>
  <si>
    <t>2H</t>
  </si>
  <si>
    <t>5N</t>
  </si>
  <si>
    <t>5R</t>
  </si>
  <si>
    <t>5H</t>
  </si>
  <si>
    <t>Tipo</t>
  </si>
  <si>
    <t>TOTAL MONTAJE ELECTROMECÁNICO</t>
  </si>
  <si>
    <t>UBICACIÓN</t>
  </si>
  <si>
    <t>:</t>
  </si>
  <si>
    <t>SECCIÓN I</t>
  </si>
  <si>
    <t>LINEAS PRIMARIAS</t>
  </si>
  <si>
    <t>DESCRIPCION</t>
  </si>
  <si>
    <t>TOTAL  S/.</t>
  </si>
  <si>
    <t>CONTRACTUAL  (S/.)</t>
  </si>
  <si>
    <t>A</t>
  </si>
  <si>
    <t>SUMINISTRO DE MATERIALES</t>
  </si>
  <si>
    <t>B</t>
  </si>
  <si>
    <t>C</t>
  </si>
  <si>
    <t xml:space="preserve">TRANSPORTE DE MATERIALES   </t>
  </si>
  <si>
    <t>D</t>
  </si>
  <si>
    <t>TOTAL COSTO DIRECTO</t>
  </si>
  <si>
    <t>E</t>
  </si>
  <si>
    <t>F</t>
  </si>
  <si>
    <t xml:space="preserve"> UTILIDADES</t>
  </si>
  <si>
    <t>LINEA PRIMARIA</t>
  </si>
  <si>
    <t>CODIGO</t>
  </si>
  <si>
    <t>DPTO</t>
  </si>
  <si>
    <t>PROVINCIA</t>
  </si>
  <si>
    <t>TENSION</t>
  </si>
  <si>
    <t>PRECIO
UNITARIO
S/.</t>
  </si>
  <si>
    <t>PRECIO
SUMINISTRO
S/.</t>
  </si>
  <si>
    <t>PRECIO
TRANSPORTE
S/.</t>
  </si>
  <si>
    <t>COSTO
PARCIAL
S/.</t>
  </si>
  <si>
    <t>Principal</t>
  </si>
  <si>
    <t>Auxiliar</t>
  </si>
  <si>
    <t>Longitud</t>
  </si>
  <si>
    <t>Sección</t>
  </si>
  <si>
    <t>Accesibilidad</t>
  </si>
  <si>
    <t>Global</t>
  </si>
  <si>
    <t>PARAMETROS</t>
  </si>
  <si>
    <t>Angulo</t>
  </si>
  <si>
    <t>Amortiguadores</t>
  </si>
  <si>
    <t>Cota</t>
  </si>
  <si>
    <t>Vértice</t>
  </si>
  <si>
    <t>Vano
Peso
m</t>
  </si>
  <si>
    <t>Vano
Viento
m</t>
  </si>
  <si>
    <t>3N</t>
  </si>
  <si>
    <t>3R</t>
  </si>
  <si>
    <t>3H</t>
  </si>
  <si>
    <t>4N</t>
  </si>
  <si>
    <t>4R</t>
  </si>
  <si>
    <t>4H</t>
  </si>
  <si>
    <t>CP+CG+CS</t>
  </si>
  <si>
    <t>Fusible
Jgo</t>
  </si>
  <si>
    <t>Generar Transporte?</t>
  </si>
  <si>
    <t>Porcentaje Transporte</t>
  </si>
  <si>
    <t>ARMADO</t>
  </si>
  <si>
    <t>Fundación</t>
  </si>
  <si>
    <t>Tipo de Terreno</t>
  </si>
  <si>
    <t>Despeje de
Arboles %</t>
  </si>
  <si>
    <t>PROTECCION</t>
  </si>
  <si>
    <t>NIVEL</t>
  </si>
  <si>
    <t>SECCIONAMIENTO</t>
  </si>
  <si>
    <t>PARARRAYO</t>
  </si>
  <si>
    <t>15kV</t>
  </si>
  <si>
    <t>27/38kV</t>
  </si>
  <si>
    <t>21kV</t>
  </si>
  <si>
    <t>12kV</t>
  </si>
  <si>
    <t>Rellleno</t>
  </si>
  <si>
    <t>PAT-3</t>
  </si>
  <si>
    <t>RESUMEN LINEA PRIMARIA</t>
  </si>
  <si>
    <t>TSEC-2P</t>
  </si>
  <si>
    <t>PTV-2</t>
  </si>
  <si>
    <t>DT-0</t>
  </si>
  <si>
    <t>Archivo Único</t>
  </si>
  <si>
    <t>Es estudio?</t>
  </si>
  <si>
    <t>TS-2</t>
  </si>
  <si>
    <t>TRUE</t>
  </si>
  <si>
    <t>POSTES</t>
  </si>
  <si>
    <t>ARMADOS</t>
  </si>
  <si>
    <t>CONDUCTORES</t>
  </si>
  <si>
    <t>N:</t>
  </si>
  <si>
    <t>Tipo
Aislador Suspensión</t>
  </si>
  <si>
    <t>Tipo
Aislador
Pin</t>
  </si>
  <si>
    <t>AMORTIGUADORES</t>
  </si>
  <si>
    <t>G</t>
  </si>
  <si>
    <t>IGV</t>
  </si>
  <si>
    <t>Comentarios</t>
  </si>
  <si>
    <t>PTH-2</t>
  </si>
  <si>
    <t>codigo</t>
  </si>
  <si>
    <t>Material</t>
  </si>
  <si>
    <t>Tensión
Sistema
kVA</t>
  </si>
  <si>
    <t>Globales</t>
  </si>
  <si>
    <t>Proyecto</t>
  </si>
  <si>
    <t>JUNIN</t>
  </si>
  <si>
    <t>PLANILLA DE ESTRUCTURAS</t>
  </si>
  <si>
    <t>PSVE-0</t>
  </si>
  <si>
    <t>PA1VE-0</t>
  </si>
  <si>
    <t>PA2VE-0</t>
  </si>
  <si>
    <t>PSEC-2P</t>
  </si>
  <si>
    <t>PSVE-2</t>
  </si>
  <si>
    <t>TSV-2</t>
  </si>
  <si>
    <t>PSV1-2</t>
  </si>
  <si>
    <t>DT-2</t>
  </si>
  <si>
    <t>2xPAT-1C</t>
  </si>
  <si>
    <t>RYI</t>
  </si>
  <si>
    <t>RYV</t>
  </si>
  <si>
    <t>Abrazadera
Para Aislador de Suspensión</t>
  </si>
  <si>
    <t>RESUMEN DE METRADO</t>
  </si>
  <si>
    <t>PR3-0A</t>
  </si>
  <si>
    <t xml:space="preserve">METRADO
PARCIAL
</t>
  </si>
  <si>
    <t xml:space="preserve">DATOS </t>
  </si>
  <si>
    <t>DVLP</t>
  </si>
  <si>
    <t>Participacion Talleres</t>
  </si>
  <si>
    <t>Cartel</t>
  </si>
  <si>
    <t>% despeje</t>
  </si>
  <si>
    <t>Pagos Por Suspension</t>
  </si>
  <si>
    <t>1,10</t>
  </si>
  <si>
    <t>PEA -CIRA</t>
  </si>
  <si>
    <t>Participacion Residuos</t>
  </si>
  <si>
    <t>ACT GIS</t>
  </si>
  <si>
    <t>7,04</t>
  </si>
  <si>
    <t>Tipo de Terreno  (%)</t>
  </si>
  <si>
    <t>Rocoso</t>
  </si>
  <si>
    <t>Húmedo</t>
  </si>
  <si>
    <t>ELECTROCENTRO S.A.</t>
  </si>
  <si>
    <t>TOTAL LINEA PRIMARIA</t>
  </si>
  <si>
    <t>ESTUDIO DEFINITIVO (S/.)</t>
  </si>
  <si>
    <t xml:space="preserve"> “ELECTRIFICACIÓN RURAL SER CHANCHAMAYO III ETAPA"</t>
  </si>
  <si>
    <t>METRADO
TOTAL</t>
  </si>
  <si>
    <t>INCORP INGENIERÍA Y CONSTRUCCIÓN S.A.C.</t>
  </si>
  <si>
    <t>ENTIDAD</t>
  </si>
  <si>
    <t>0</t>
  </si>
  <si>
    <t>CONCRETO CICLOPEO</t>
  </si>
  <si>
    <t>DIRECTAMENTE ENTERRADO</t>
  </si>
  <si>
    <t>COSTO TOTAL S/. (Incluye I.G.V.)</t>
  </si>
  <si>
    <t>CONTRATISTA</t>
  </si>
  <si>
    <t>SUPERVISION</t>
  </si>
  <si>
    <t>GASTOS GENERALES  DIRECTOS</t>
  </si>
  <si>
    <t>GASTOS GENERALES INDIRECTOS</t>
  </si>
  <si>
    <t>PSEC-0PA</t>
  </si>
  <si>
    <t>CRUCETAS  DE MADERA</t>
  </si>
  <si>
    <t>Conductor de Aleacion de Aluminio de 35 mm²</t>
  </si>
  <si>
    <t>Conductor de Aleacion de Aluminio de 70 mm²</t>
  </si>
  <si>
    <t>Varilla de Armar preformada Simple para Conductor de 35 mm²</t>
  </si>
  <si>
    <t>Varilla de Armar preformada Simple para Conductor de 70 mm²</t>
  </si>
  <si>
    <t>Varilla de Armar preformada Doble para Conductor de 35 mm²</t>
  </si>
  <si>
    <t>Manguito de Empalme para Conductor de 35 mm²</t>
  </si>
  <si>
    <t>Manguito de Empalme para Conductor de 70 mm²</t>
  </si>
  <si>
    <t>Grapa de Doble Via de Aluminio para Conductor de 35 mm²</t>
  </si>
  <si>
    <t>Grapa de Doble Via de Aluminio para Conductor de 70 mm²</t>
  </si>
  <si>
    <t>Alambre de Amarre Aluminio Recocido de 16 mm²</t>
  </si>
  <si>
    <t>Grapa de Anclaje para Conductor de 35 mm²</t>
  </si>
  <si>
    <t>Grapa de Anclaje para Conductor de 70 mm²</t>
  </si>
  <si>
    <t>Perno Cabeza Coche AºGº de 13 mm Ø x 152mm, long. 76 mm Maquinado, con Arandela, con Tca y Ctca</t>
  </si>
  <si>
    <t>Perno de A°G° de 16 mm Ø x 254 mm, provisto de Tuerca y  Contratuerca</t>
  </si>
  <si>
    <t>Perno de A°G° de 16 mm Ø x 305 mm, provisto de Tuerca y  Contratuerca</t>
  </si>
  <si>
    <t>Perno de A°G° de 16 mm Ø x 457 mm, provisto de Tuerca y  Contratuerca</t>
  </si>
  <si>
    <t>Perno Ojo de A°G° de 16 mm Ø  x 254 mm, provisto de Tuerca  y Contratuerca</t>
  </si>
  <si>
    <t>Arandela Cuadrada Plana de A° G°, 57 x 57 x 5 mm, Agujero de 18 mm Ø</t>
  </si>
  <si>
    <t>Arandela Cuadrada curva de A° G°, 57 x 57 x 5 mm, Agujero de 18 mm Ø</t>
  </si>
  <si>
    <t>Tuerca-Ojo para Perno de 16 mm Ø</t>
  </si>
  <si>
    <t>Tubo Espaciador de A°G° de 19 mm Ø  x 38 mm longitud</t>
  </si>
  <si>
    <t>Bloque de Concreto de 0,40 x 0,40 x 0,15 m</t>
  </si>
  <si>
    <t>PS1VE-0</t>
  </si>
  <si>
    <t>PA1H-2</t>
  </si>
  <si>
    <t>PRC-2P</t>
  </si>
  <si>
    <t>PA2H-2</t>
  </si>
  <si>
    <t>2PR3-0</t>
  </si>
  <si>
    <t>PRV1-2</t>
  </si>
  <si>
    <t>PTSV1-2</t>
  </si>
  <si>
    <t>PSV1-2B</t>
  </si>
  <si>
    <t>PA2V_2</t>
  </si>
  <si>
    <t>PSECV1A-2</t>
  </si>
  <si>
    <t>PTSEC-0PB</t>
  </si>
  <si>
    <t>PA1_1-0B</t>
  </si>
  <si>
    <t>PTSV1-0B</t>
  </si>
  <si>
    <t>DT-3</t>
  </si>
  <si>
    <t>PA1-3L</t>
  </si>
  <si>
    <t>PS1-3</t>
  </si>
  <si>
    <t>PS1-3L</t>
  </si>
  <si>
    <t>PA1-3</t>
  </si>
  <si>
    <t>PA2-3</t>
  </si>
  <si>
    <t>PA3-3</t>
  </si>
  <si>
    <t>PR3-3L</t>
  </si>
  <si>
    <t>PR3-3</t>
  </si>
  <si>
    <t>PTV-3</t>
  </si>
  <si>
    <t>PTH-3</t>
  </si>
  <si>
    <t>TS-3L</t>
  </si>
  <si>
    <t>TS-3</t>
  </si>
  <si>
    <t>PSH-3</t>
  </si>
  <si>
    <t>PSEC-3P</t>
  </si>
  <si>
    <t>PTVM-3</t>
  </si>
  <si>
    <t>PTVDM-3</t>
  </si>
  <si>
    <t>PSVE-3</t>
  </si>
  <si>
    <t>PRH-3</t>
  </si>
  <si>
    <t>PRC-3P</t>
  </si>
  <si>
    <t>DS-3</t>
  </si>
  <si>
    <t>PA1H-3</t>
  </si>
  <si>
    <t>PA2H-3</t>
  </si>
  <si>
    <t>P3A2-3</t>
  </si>
  <si>
    <t>2K</t>
  </si>
  <si>
    <t>3K</t>
  </si>
  <si>
    <t>5K</t>
  </si>
  <si>
    <t>6K</t>
  </si>
  <si>
    <t>8K</t>
  </si>
  <si>
    <t>10K</t>
  </si>
  <si>
    <t>20K</t>
  </si>
  <si>
    <t>PA2_1-0B</t>
  </si>
  <si>
    <t>PSV1-0B</t>
  </si>
  <si>
    <t>PA2-0B</t>
  </si>
  <si>
    <t>11m/C6</t>
  </si>
  <si>
    <t>11m/C5</t>
  </si>
  <si>
    <t>12m/C6</t>
  </si>
  <si>
    <t>12m/C5</t>
  </si>
  <si>
    <t>13m/c5</t>
  </si>
  <si>
    <t>13m/c6</t>
  </si>
  <si>
    <t>13/300</t>
  </si>
  <si>
    <t>13/400</t>
  </si>
  <si>
    <t>12/200C</t>
  </si>
  <si>
    <t>12/300C</t>
  </si>
  <si>
    <t>EXIST</t>
  </si>
  <si>
    <t>AAAC-25</t>
  </si>
  <si>
    <t>AAAC-50</t>
  </si>
  <si>
    <t>0-</t>
  </si>
  <si>
    <t>-MAD</t>
  </si>
  <si>
    <t>-CAC</t>
  </si>
  <si>
    <t>0CAC</t>
  </si>
  <si>
    <t>RI-ACAC</t>
  </si>
  <si>
    <t>RV-ACAC</t>
  </si>
  <si>
    <t>RYCAC</t>
  </si>
  <si>
    <t>RI-AMAD</t>
  </si>
  <si>
    <t>RV-AMAD</t>
  </si>
  <si>
    <t>RYMAD</t>
  </si>
  <si>
    <t>RI-D</t>
  </si>
  <si>
    <t>PAT-1CCAC</t>
  </si>
  <si>
    <t>PAT-1CAC</t>
  </si>
  <si>
    <t>PAT-1CMAD</t>
  </si>
  <si>
    <t>PAT-2CAC</t>
  </si>
  <si>
    <t>PAT-2MAD</t>
  </si>
  <si>
    <t>PAT-1MAD</t>
  </si>
  <si>
    <t>PAT-0</t>
  </si>
  <si>
    <t>13/200</t>
  </si>
  <si>
    <t>OBRAS PRELIMINARES</t>
  </si>
  <si>
    <t>Cartel para Obra</t>
  </si>
  <si>
    <t>Excavación en Terreno Tipo I (Arcilloso y Conglomerado)</t>
  </si>
  <si>
    <t>Excavación en Terreno Tipo II (Rocoso)</t>
  </si>
  <si>
    <t>RY-ACAC</t>
  </si>
  <si>
    <t>Ha</t>
  </si>
  <si>
    <t>13m/C6</t>
  </si>
  <si>
    <t>PSEC-3PA</t>
  </si>
  <si>
    <t>A &amp; J</t>
  </si>
  <si>
    <t>Cruceta de madera tratada de 90 mm x 115 mm x 1,20 m</t>
  </si>
  <si>
    <t>'IPB-36'</t>
  </si>
  <si>
    <t>PA1VE-3</t>
  </si>
  <si>
    <t>PRVE-3</t>
  </si>
  <si>
    <t>DS-0A</t>
  </si>
  <si>
    <t>POSTES  DE CONCRETO ARMADO CENTRIFUGADO</t>
  </si>
  <si>
    <t>Poste de C.A.C. de 12 m/200 daN (Incluye perilla)</t>
  </si>
  <si>
    <t>Aislador de Porcelana Tipo Pin, Clase ANSI 56-3</t>
  </si>
  <si>
    <t>Espiga de AºGº de 609 mm longitud, para Cabeza de Poste y Aislador ANSI 56-3</t>
  </si>
  <si>
    <t>AISLADORES DE SUSPENSIÓN Y ACCESORIOS</t>
  </si>
  <si>
    <t>Aislador Polimerico con Conexión Horquilla (Estructura) y Lengüeta (Linea) de 36 kV, según Especificacion Técnica, para Retenida Aislada.</t>
  </si>
  <si>
    <t>Amortiguador de Vibracion Tipo Stockbridge para Conductor de 35 mm²</t>
  </si>
  <si>
    <t xml:space="preserve">Grapa de Angulo para Conductor de 35 mm²  </t>
  </si>
  <si>
    <t>Cable de Acero con Recubrimiento Metalúrgico de Cu de 4 AWG (21,15 mm²), para Puesta a Tierra</t>
  </si>
  <si>
    <t>Tirafondo de A°G° de 13 mm ø  x 102 mm de longitud</t>
  </si>
  <si>
    <t>Brazo-Soporte (Riostra) de Perfil Angular de A°G° de 38 x 38 x 5 mm y 710 mm longitud</t>
  </si>
  <si>
    <t>Plantillas para Identificación y/o codificación de Postes (Peligro, Identificación y/o codificación y Fases)</t>
  </si>
  <si>
    <t>Cable de Acero Grado Siemens Martin, de 10 mm Ø, 7 hilos</t>
  </si>
  <si>
    <t>Varilla de Anclaje de A°G° de 16 mm Ø x 2,40 m, provisto de Ojal Guardacabo en un extremo; Tuerca y Contratuerca en el otro</t>
  </si>
  <si>
    <t>Mordaza Preformada de A°G° para Cable de 10 mm Ø</t>
  </si>
  <si>
    <t>Arandela de Anclaje de A°G°, 102 x 102 x 6,35 mm, Agujero de 18 mmø</t>
  </si>
  <si>
    <t>Abrazadera de 4 sectores para Retenida, de 75 mm de altura, 6,35 mm de espesor y 70 kN de resistencia. Diámetro según dimensiones del poste,  incluye 4 pernos de 12,7 mm x 3,5 mm y 4 arandelas</t>
  </si>
  <si>
    <t>Enlace metálico, de 254 mm x 75 mm x 38 mm, de 70 kN de resistencia</t>
  </si>
  <si>
    <t>Grillete de Acero de 70 kN</t>
  </si>
  <si>
    <t>Electrodo de Acero Recubierto de Cobre de 16 mm Ø x 2,40 m</t>
  </si>
  <si>
    <t>Grapa en "U" para fijar conductor de PAT a Poste de Madera</t>
  </si>
  <si>
    <t>Caja Registro de Concreto para Puesta a Tierra 0,50 x 0,50 x 0,45 m</t>
  </si>
  <si>
    <t>Plancha Doblada de Cobre para toma a Tierra de Espigas y/o Pernos</t>
  </si>
  <si>
    <t>Seccionador Fusible Unipolar Tipo Expulsion (Cut-Out) de 27/38 kV, 100A, 150 kV-BIL.</t>
  </si>
  <si>
    <t>Fusible Tipo Expulsion de 1 A, Tipo K</t>
  </si>
  <si>
    <t>Pararrayos de Oxido Metalico, 21 kV, 10 KA Clase 1</t>
  </si>
  <si>
    <t>Replanteo Topográfico, Ubicación de Estructuras en Líneas Primarias</t>
  </si>
  <si>
    <t>Monitoreo e Inspección del Ministerio de Cultura</t>
  </si>
  <si>
    <t>Programa de Monitoreo Ambiental (Incluye Línea Primarias, Red Primaria y Red Secundaria)</t>
  </si>
  <si>
    <t>Programa de Manejo de Residuos</t>
  </si>
  <si>
    <t>Programa de Talleres de Información y de Medidas Preventivas y/o Correctivas</t>
  </si>
  <si>
    <t>Despeje de Árboles Dentro de la Franja de Servidumbre</t>
  </si>
  <si>
    <t>Estudio de Coordinación de la Protección y Balance de Cargas</t>
  </si>
  <si>
    <t>Elaboración del Expediente Técnico Sustentatorio de Gestión de Servidumbre (1original + 3copias). Incluye Levantamiento Topografico, y presentacion digitalizada del Expediente</t>
  </si>
  <si>
    <t xml:space="preserve">INSTALACION DE POSTES </t>
  </si>
  <si>
    <t xml:space="preserve">Transporte de Poste de 12 m/200 daN  de Almacen a Punto de Izaje </t>
  </si>
  <si>
    <t>Izaje, Identificación y/o codificación, y Señalización de Poste de 12 m/200 daN (*)</t>
  </si>
  <si>
    <t>Relleno y Compactación para cimentación de Poste 12m, en Terreno Tipo I (Arcilloso y Conglomerado)</t>
  </si>
  <si>
    <t>Relleno y Compactación para cimentación de Poste 12m, en Terreno Tipo II (Rocoso)</t>
  </si>
  <si>
    <t>Instalación de Retenida Inclinada</t>
  </si>
  <si>
    <t xml:space="preserve">Relleno y Compactación en Terreno Tipo I de Retenida </t>
  </si>
  <si>
    <t xml:space="preserve">Relleno y Compactación en Terreno Tipo II de Retenida </t>
  </si>
  <si>
    <t>Armado PS1-0 (0°-5°) Monofasico retorno por tierra</t>
  </si>
  <si>
    <t>Armado PA1-0 (5°-30°) Monofasico retorno por tierra</t>
  </si>
  <si>
    <t xml:space="preserve">Armado PA2-0 (30°-60°) Monofásico retorno por tierra </t>
  </si>
  <si>
    <t xml:space="preserve">Armado PA3-0 (60°-90°) Monofásico retorno por tierra   </t>
  </si>
  <si>
    <t xml:space="preserve">Armado PR3-0 Anclaje Monofásico retorno por tierra   </t>
  </si>
  <si>
    <t>Armado TS-0  Soporte de Retención, monofásico, retorno por tierra</t>
  </si>
  <si>
    <t>Armado DS-0  Soporte derivación  no tensada monofásico sin neutro</t>
  </si>
  <si>
    <t>Armado PSEC-0P Soporte Secc. 1ø,retorno p/ tierra c/ Pararrayos</t>
  </si>
  <si>
    <t>Tendido y Puesta en Flecha de Conductor de Aleación de aluminio de 35 mm², Por Fase, Incluye Instalación de Amortiguadores.</t>
  </si>
  <si>
    <t>Tendido y Puesta en Flecha de Conductor de Aleación de aluminio de 70 mm², Por Fase, Incluye Instalación de Amortiguadores.</t>
  </si>
  <si>
    <t>Instalacion de Puesta a Tierra Tipo PAT-1C (Contrapeso)</t>
  </si>
  <si>
    <t>Instalación de Puesta a Tierra Tipo PAT-1 con un Electrodo Vertical. Instalación en Poste de Concreto Armado Centrifugado.</t>
  </si>
  <si>
    <t>Relleno y Compactación de Puesta a Tierra con Material Adecuado</t>
  </si>
  <si>
    <t>Prueba y Puesta en Servicio de Lineas Primarias</t>
  </si>
  <si>
    <t>Expedientes Técnicos Final Conforme a Obra y de Concesión Rural de Líneas Primarias (1 Original + 3 Copias), incluye la presentacion digitalizada de textos y planos en CD.</t>
  </si>
  <si>
    <t>Jgo.</t>
  </si>
  <si>
    <t>1k</t>
  </si>
  <si>
    <t>PA3*0</t>
  </si>
  <si>
    <t>CONSORCIO EUNUCOS</t>
  </si>
  <si>
    <t>ELECTROVELA S.A.C.</t>
  </si>
  <si>
    <t>ABRIL 2022</t>
  </si>
  <si>
    <t>Id</t>
  </si>
  <si>
    <t>Nombre</t>
  </si>
  <si>
    <t>Sistema</t>
  </si>
  <si>
    <t>Distrito</t>
  </si>
  <si>
    <t>Nomenclatura</t>
  </si>
  <si>
    <t>Derivacion 19 kV, 1x35 mm² AAAC - 1øMRT -Pto Libre-Pto-Yarina</t>
  </si>
  <si>
    <t>Derivación  19 kV, 1x35 mm² AAAC - 1øMRT - Nazareth</t>
  </si>
  <si>
    <t>Derivación  19 kV, 1x35 mm² AAAC - 1øMRT - Shanshuya</t>
  </si>
  <si>
    <t>Derivación  19 kV, 1x35 mm² AAAC - 1øMRT -Vista Alegre</t>
  </si>
  <si>
    <t>Línea Primaria 19 kV, 1x35 mm² AAAC - 1øMRT - Juan Santos Atahualpa - Puerto Porvenir</t>
  </si>
  <si>
    <t>Línea Primaria 19 kV, 1x35 mm² AAAC - 1øMRT - San Juan - Sargento Lorenz</t>
  </si>
  <si>
    <t>3F</t>
  </si>
  <si>
    <t>1F</t>
  </si>
  <si>
    <t>Roca Fuerte</t>
  </si>
  <si>
    <t>L-8</t>
  </si>
  <si>
    <t>L-9</t>
  </si>
  <si>
    <t>L-10</t>
  </si>
  <si>
    <t>L-11</t>
  </si>
  <si>
    <t>L-12</t>
  </si>
  <si>
    <t>L-15</t>
  </si>
  <si>
    <t>data</t>
  </si>
  <si>
    <t>ubicación</t>
  </si>
  <si>
    <t>F8</t>
  </si>
  <si>
    <t>Id Localidad</t>
  </si>
  <si>
    <t>W4</t>
  </si>
  <si>
    <t>W8</t>
  </si>
  <si>
    <t>Ubicación</t>
  </si>
  <si>
    <t>W9</t>
  </si>
  <si>
    <t>Primera Fila de Planilla</t>
  </si>
  <si>
    <t>Cantidad de Elementos Planilla</t>
  </si>
  <si>
    <t>C10</t>
  </si>
  <si>
    <t>Primera Fila Metrado</t>
  </si>
  <si>
    <t>Primera Celda Procesada Metrado</t>
  </si>
  <si>
    <t>G52</t>
  </si>
  <si>
    <t>Planilla( P_0)</t>
  </si>
  <si>
    <t>Metrado(M_0)</t>
  </si>
  <si>
    <t>A15</t>
  </si>
  <si>
    <t>Máxima columna de planilla</t>
  </si>
  <si>
    <t>AG1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</si>
</sst>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&quot;S/.&quot;#,##0;[Red]&quot;S/.&quot;\-#,##0"/>
    <numFmt numFmtId="167" formatCode="_-* #,##0.00\ _€_-;\-* #,##0.00\ _€_-;_-* &quot;-&quot;??\ _€_-;_-@_-"/>
    <numFmt numFmtId="168" formatCode="General_)"/>
    <numFmt numFmtId="169" formatCode="0.0000000"/>
    <numFmt numFmtId="170" formatCode="#,"/>
    <numFmt numFmtId="171" formatCode="#.##0,"/>
    <numFmt numFmtId="172" formatCode="\$#,"/>
    <numFmt numFmtId="173" formatCode="_ [$€]* #,##0.00_ ;_ [$€]* \-#,##0.00_ ;_ [$€]* &quot;-&quot;??_ ;_ @_ "/>
    <numFmt numFmtId="174" formatCode="#;#;\-;"/>
    <numFmt numFmtId="175" formatCode="0.000"/>
    <numFmt numFmtId="176" formatCode="0.00000"/>
    <numFmt numFmtId="177" formatCode="#,##0.00_ ;\-#,##0.00\ "/>
    <numFmt numFmtId="178" formatCode="_(* #,##0.00_);_(* \(#,##0.00\);_(* &quot;-&quot;??_);_(@_)"/>
    <numFmt numFmtId="179" formatCode="#,##0.0000"/>
    <numFmt numFmtId="180" formatCode="_(&quot;S/.&quot;\ * #,##0.00_);_(&quot;S/.&quot;\ * \(#,##0.00\);_(&quot;S/.&quot;\ * &quot;-&quot;??_);_(@_)"/>
    <numFmt numFmtId="181" formatCode="_-* #,##0\ _ _-;\-* #,##0\ _ _-;_-* &quot;-&quot;\ _ _-;_-@_-"/>
    <numFmt numFmtId="182" formatCode="_-* #,##0.00\ [$€-1]_-;\-* #,##0.00\ [$€-1]_-;_-* &quot;-&quot;??\ [$€-1]_-"/>
    <numFmt numFmtId="183" formatCode="_-* #,##0\ _F_-;\-* #,##0\ _F_-;_-* &quot;-&quot;\ _F_-;_-@_-"/>
    <numFmt numFmtId="184" formatCode="_-* #,##0.00\ _F_-;\-* #,##0.00\ _F_-;_-* &quot;-&quot;??\ _F_-;_-@_-"/>
    <numFmt numFmtId="185" formatCode="_-* #,##0\ &quot;F&quot;_-;\-* #,##0\ &quot;F&quot;_-;_-* &quot;-&quot;\ &quot;F&quot;_-;_-@_-"/>
    <numFmt numFmtId="186" formatCode="_-* #,##0.00\ &quot;F&quot;_-;\-* #,##0.00\ &quot;F&quot;_-;_-* &quot;-&quot;??\ &quot;F&quot;_-;_-@_-"/>
    <numFmt numFmtId="187" formatCode="0.0000"/>
    <numFmt numFmtId="188" formatCode="&quot;$&quot;#,##0.00\ ;\(&quot;$&quot;#,##0.00\)"/>
    <numFmt numFmtId="189" formatCode="0.000000"/>
    <numFmt numFmtId="190" formatCode="&quot;S/.&quot;#,##0.00;[Red]\-&quot;S/.&quot;#,##0.00"/>
    <numFmt numFmtId="191" formatCode="_ * #,##0.0_ ;_ * \-#,##0.0_ ;_ * &quot;-&quot;_ ;_ @_ "/>
    <numFmt numFmtId="192" formatCode="&quot;:&quot;\ #\ \Ø"/>
    <numFmt numFmtId="193" formatCode="#.00"/>
    <numFmt numFmtId="194" formatCode="#,##0.0_);\(#,##0.0\)"/>
    <numFmt numFmtId="195" formatCode="\$#.00"/>
    <numFmt numFmtId="196" formatCode="%#.00"/>
    <numFmt numFmtId="197" formatCode="_ * #,##0.0000_ ;_ * \-#,##0.0000_ ;_ * &quot;-&quot;??_ ;_ @_ "/>
    <numFmt numFmtId="198" formatCode="_ * #,##0.000_ ;_ * \-#,##0.000_ ;_ * &quot;-&quot;??_ ;_ @_ "/>
    <numFmt numFmtId="199" formatCode="0.0"/>
    <numFmt numFmtId="200" formatCode="_ * #,##0.000000_ ;_ * \-#,##0.000000_ ;_ * &quot;-&quot;??_ ;_ @_ "/>
    <numFmt numFmtId="201" formatCode="0.0%"/>
    <numFmt numFmtId="202" formatCode="_ * #,##0_ ;_ * \-#,##0_ ;_ * &quot;-&quot;??_ ;_ @_ "/>
    <numFmt numFmtId="203" formatCode=";;;"/>
    <numFmt numFmtId="207" formatCode="_-&quot;S/&quot;\ * #,##0.00_-;\-&quot;S/&quot;\ * #,##0.00_-;_-&quot;S/&quot;\ * &quot;-&quot;??_-;_-@_-"/>
  </numFmts>
  <fonts count="1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Courier"/>
      <family val="3"/>
    </font>
    <font>
      <sz val="8"/>
      <name val="Times New Roman"/>
      <family val="1"/>
    </font>
    <font>
      <sz val="11"/>
      <color indexed="20"/>
      <name val="Calibri"/>
      <family val="2"/>
    </font>
    <font>
      <sz val="12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1"/>
      <color indexed="52"/>
      <name val="Calibri"/>
      <family val="2"/>
    </font>
    <font>
      <sz val="9"/>
      <color indexed="10"/>
      <name val="Geneva"/>
    </font>
    <font>
      <b/>
      <sz val="11"/>
      <color indexed="9"/>
      <name val="Calibri"/>
      <family val="2"/>
    </font>
    <font>
      <sz val="1"/>
      <color indexed="16"/>
      <name val="Courier"/>
      <family val="3"/>
    </font>
    <font>
      <sz val="1"/>
      <color indexed="8"/>
      <name val="Courier"/>
      <family val="3"/>
    </font>
    <font>
      <sz val="10"/>
      <name val="BERNHARD"/>
    </font>
    <font>
      <sz val="10"/>
      <name val="Helv"/>
    </font>
    <font>
      <sz val="10"/>
      <name val="MS Serif"/>
      <family val="1"/>
    </font>
    <font>
      <b/>
      <sz val="1"/>
      <color indexed="8"/>
      <name val="Courier"/>
      <family val="3"/>
    </font>
    <font>
      <b/>
      <sz val="18"/>
      <name val="Arial"/>
      <family val="2"/>
    </font>
    <font>
      <b/>
      <sz val="12"/>
      <name val="Arial"/>
      <family val="2"/>
    </font>
    <font>
      <sz val="10"/>
      <color indexed="16"/>
      <name val="MS Serif"/>
      <family val="1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0"/>
      <name val="Times"/>
      <family val="1"/>
    </font>
    <font>
      <sz val="11"/>
      <color indexed="17"/>
      <name val="Calibri"/>
      <family val="2"/>
    </font>
    <font>
      <sz val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sz val="11"/>
      <color indexed="52"/>
      <name val="Calibri"/>
      <family val="2"/>
    </font>
    <font>
      <sz val="12"/>
      <color indexed="9"/>
      <name val="Helv"/>
    </font>
    <font>
      <sz val="11"/>
      <name val="‚l‚r –¾’©"/>
      <charset val="128"/>
    </font>
    <font>
      <b/>
      <sz val="11"/>
      <color indexed="63"/>
      <name val="Calibri"/>
      <family val="2"/>
    </font>
    <font>
      <sz val="6"/>
      <color indexed="8"/>
      <name val="Arial Narrow"/>
      <family val="2"/>
    </font>
    <font>
      <sz val="10"/>
      <name val="MS Sans Serif"/>
      <family val="2"/>
    </font>
    <font>
      <sz val="1"/>
      <color indexed="8"/>
      <name val="Courier New"/>
      <family val="3"/>
    </font>
    <font>
      <sz val="8"/>
      <name val="Helv"/>
    </font>
    <font>
      <b/>
      <sz val="8"/>
      <color indexed="8"/>
      <name val="Helv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  <font>
      <sz val="8"/>
      <color indexed="9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color indexed="9"/>
      <name val="Arial"/>
      <family val="2"/>
    </font>
    <font>
      <sz val="10"/>
      <name val="Tahoma"/>
      <family val="2"/>
    </font>
    <font>
      <b/>
      <sz val="9"/>
      <name val="Tahoma"/>
      <family val="2"/>
    </font>
    <font>
      <b/>
      <sz val="9"/>
      <color indexed="9"/>
      <name val="Arial"/>
      <family val="2"/>
    </font>
    <font>
      <u/>
      <sz val="9"/>
      <color indexed="9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1"/>
      <color indexed="10"/>
      <name val="Calibri"/>
      <family val="2"/>
    </font>
    <font>
      <sz val="12"/>
      <name val="BERNHARD"/>
    </font>
    <font>
      <sz val="12"/>
      <color indexed="24"/>
      <name val="Arial"/>
      <family val="2"/>
    </font>
    <font>
      <b/>
      <sz val="11"/>
      <color indexed="62"/>
      <name val="Calibri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1"/>
      <color indexed="19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rgb="FFFFFF00"/>
      <name val="Arial"/>
      <family val="2"/>
    </font>
    <font>
      <b/>
      <sz val="10"/>
      <name val="Tahoma"/>
      <family val="2"/>
    </font>
    <font>
      <b/>
      <sz val="14"/>
      <name val="Arial"/>
      <family val="2"/>
    </font>
    <font>
      <sz val="10"/>
      <name val="Arial"/>
      <family val="2"/>
    </font>
    <font>
      <b/>
      <sz val="11"/>
      <color rgb="FF3333FF"/>
      <name val="Arial"/>
      <family val="2"/>
    </font>
    <font>
      <b/>
      <sz val="10"/>
      <name val="MS Sans Serif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0"/>
      <color rgb="FFFFFF00"/>
      <name val="Arial"/>
      <family val="2"/>
    </font>
    <font>
      <sz val="12"/>
      <color rgb="FF0000CC"/>
      <name val="Arial Narrow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name val="Arial"/>
      <family val="2"/>
    </font>
    <font>
      <sz val="14"/>
      <name val="Arial"/>
      <family val="2"/>
    </font>
    <font>
      <b/>
      <u/>
      <sz val="11"/>
      <name val="Arial"/>
      <family val="2"/>
    </font>
    <font>
      <b/>
      <u/>
      <sz val="16"/>
      <name val="Arial"/>
      <family val="2"/>
    </font>
    <font>
      <sz val="10"/>
      <name val="Arial Narrow"/>
      <family val="2"/>
    </font>
    <font>
      <b/>
      <sz val="14"/>
      <color indexed="8"/>
      <name val="Arial"/>
      <family val="2"/>
    </font>
    <font>
      <b/>
      <sz val="20"/>
      <name val="Arial Narrow"/>
      <family val="2"/>
    </font>
    <font>
      <b/>
      <sz val="16"/>
      <name val="Arial Narrow"/>
      <family val="2"/>
    </font>
    <font>
      <b/>
      <sz val="12"/>
      <color indexed="8"/>
      <name val="Arial Narrow"/>
      <family val="2"/>
    </font>
    <font>
      <b/>
      <sz val="10"/>
      <name val="Arial Narrow"/>
      <family val="2"/>
    </font>
    <font>
      <b/>
      <sz val="12"/>
      <color rgb="FFFF0000"/>
      <name val="Arial Narrow"/>
      <family val="2"/>
    </font>
    <font>
      <b/>
      <sz val="10"/>
      <color indexed="12"/>
      <name val="Arial"/>
      <family val="2"/>
    </font>
    <font>
      <sz val="12"/>
      <color rgb="FFFF0000"/>
      <name val="Arial Narrow"/>
      <family val="2"/>
    </font>
    <font>
      <sz val="12"/>
      <color rgb="FFC00000"/>
      <name val="Arial Narrow"/>
      <family val="2"/>
    </font>
    <font>
      <b/>
      <sz val="18"/>
      <color rgb="FF3333FF"/>
      <name val="Arial"/>
      <family val="2"/>
    </font>
    <font>
      <b/>
      <sz val="9"/>
      <color rgb="FF3333FF"/>
      <name val="Arial"/>
      <family val="2"/>
    </font>
    <font>
      <sz val="11"/>
      <name val="Cambria"/>
      <family val="2"/>
      <scheme val="major"/>
    </font>
    <font>
      <sz val="10"/>
      <color rgb="FF000000"/>
      <name val="Arial"/>
      <family val="2"/>
    </font>
    <font>
      <sz val="10"/>
      <color rgb="FF000000"/>
      <name val="Times New Roman"/>
      <family val="1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7"/>
        <bgColor indexed="64"/>
      </patternFill>
    </fill>
    <fill>
      <patternFill patternType="gray0625"/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366">
    <xf numFmtId="0" fontId="0" fillId="0" borderId="0">
      <alignment vertical="top"/>
    </xf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168" fontId="24" fillId="20" borderId="0"/>
    <xf numFmtId="0" fontId="25" fillId="0" borderId="0">
      <alignment horizontal="center" wrapText="1"/>
      <protection locked="0"/>
    </xf>
    <xf numFmtId="0" fontId="26" fillId="3" borderId="0" applyNumberFormat="0" applyBorder="0" applyAlignment="0" applyProtection="0"/>
    <xf numFmtId="0" fontId="27" fillId="21" borderId="0" applyNumberFormat="0" applyFont="0" applyBorder="0" applyAlignment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169" fontId="29" fillId="0" borderId="0" applyFill="0" applyBorder="0" applyAlignment="0"/>
    <xf numFmtId="0" fontId="30" fillId="22" borderId="1" applyNumberFormat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2" fillId="23" borderId="2" applyNumberFormat="0" applyAlignment="0" applyProtection="0"/>
    <xf numFmtId="170" fontId="33" fillId="0" borderId="0">
      <protection locked="0"/>
    </xf>
    <xf numFmtId="165" fontId="27" fillId="0" borderId="0" applyFont="0" applyFill="0" applyBorder="0" applyAlignment="0" applyProtection="0"/>
    <xf numFmtId="165" fontId="29" fillId="0" borderId="0" applyFont="0" applyFill="0" applyBorder="0" applyAlignment="0" applyProtection="0"/>
    <xf numFmtId="171" fontId="34" fillId="0" borderId="0">
      <protection locked="0"/>
    </xf>
    <xf numFmtId="0" fontId="35" fillId="0" borderId="0"/>
    <xf numFmtId="0" fontId="35" fillId="0" borderId="0"/>
    <xf numFmtId="171" fontId="34" fillId="0" borderId="0">
      <protection locked="0"/>
    </xf>
    <xf numFmtId="0" fontId="36" fillId="0" borderId="0"/>
    <xf numFmtId="0" fontId="35" fillId="0" borderId="0"/>
    <xf numFmtId="0" fontId="36" fillId="0" borderId="0"/>
    <xf numFmtId="0" fontId="37" fillId="0" borderId="0" applyNumberFormat="0" applyAlignment="0">
      <alignment horizontal="left"/>
    </xf>
    <xf numFmtId="0" fontId="24" fillId="0" borderId="0" applyNumberFormat="0" applyAlignment="0"/>
    <xf numFmtId="170" fontId="33" fillId="0" borderId="0">
      <protection locked="0"/>
    </xf>
    <xf numFmtId="172" fontId="34" fillId="0" borderId="0">
      <protection locked="0"/>
    </xf>
    <xf numFmtId="170" fontId="33" fillId="0" borderId="0">
      <protection locked="0"/>
    </xf>
    <xf numFmtId="0" fontId="34" fillId="0" borderId="0">
      <protection locked="0"/>
    </xf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34" fillId="0" borderId="0">
      <protection locked="0"/>
    </xf>
    <xf numFmtId="0" fontId="21" fillId="0" borderId="0"/>
    <xf numFmtId="0" fontId="29" fillId="0" borderId="0"/>
    <xf numFmtId="0" fontId="29" fillId="0" borderId="0"/>
    <xf numFmtId="0" fontId="38" fillId="0" borderId="0">
      <protection locked="0"/>
    </xf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9" fillId="0" borderId="0" applyProtection="0"/>
    <xf numFmtId="0" fontId="38" fillId="0" borderId="0">
      <protection locked="0"/>
    </xf>
    <xf numFmtId="0" fontId="38" fillId="0" borderId="0">
      <protection locked="0"/>
    </xf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40" fillId="0" borderId="0" applyProtection="0"/>
    <xf numFmtId="0" fontId="38" fillId="0" borderId="0">
      <protection locked="0"/>
    </xf>
    <xf numFmtId="0" fontId="41" fillId="0" borderId="0" applyNumberFormat="0" applyAlignment="0">
      <alignment horizontal="left"/>
    </xf>
    <xf numFmtId="0" fontId="42" fillId="24" borderId="3">
      <alignment horizontal="center"/>
    </xf>
    <xf numFmtId="0" fontId="43" fillId="0" borderId="0">
      <alignment vertical="top"/>
    </xf>
    <xf numFmtId="173" fontId="21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4" fontId="29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7" fillId="0" borderId="0" applyProtection="0"/>
    <xf numFmtId="0" fontId="4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4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4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4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4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4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Protection="0"/>
    <xf numFmtId="0" fontId="27" fillId="0" borderId="0" applyProtection="0"/>
    <xf numFmtId="175" fontId="29" fillId="0" borderId="0">
      <protection locked="0"/>
    </xf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2" fontId="27" fillId="0" borderId="0" applyProtection="0"/>
    <xf numFmtId="175" fontId="29" fillId="0" borderId="0">
      <protection locked="0"/>
    </xf>
    <xf numFmtId="176" fontId="29" fillId="0" borderId="0">
      <protection locked="0"/>
    </xf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4" fontId="27" fillId="0" borderId="0" applyProtection="0"/>
    <xf numFmtId="176" fontId="29" fillId="0" borderId="0">
      <protection locked="0"/>
    </xf>
    <xf numFmtId="170" fontId="33" fillId="0" borderId="0">
      <protection locked="0"/>
    </xf>
    <xf numFmtId="0" fontId="46" fillId="4" borderId="0" applyNumberFormat="0" applyBorder="0" applyAlignment="0" applyProtection="0"/>
    <xf numFmtId="38" fontId="47" fillId="25" borderId="0" applyNumberFormat="0" applyBorder="0" applyAlignment="0" applyProtection="0"/>
    <xf numFmtId="0" fontId="40" fillId="0" borderId="4" applyNumberFormat="0" applyAlignment="0" applyProtection="0">
      <alignment horizontal="left" vertical="center"/>
    </xf>
    <xf numFmtId="0" fontId="40" fillId="0" borderId="5">
      <alignment horizontal="left" vertical="center"/>
    </xf>
    <xf numFmtId="0" fontId="34" fillId="0" borderId="0">
      <protection locked="0"/>
    </xf>
    <xf numFmtId="0" fontId="34" fillId="0" borderId="0">
      <protection locked="0"/>
    </xf>
    <xf numFmtId="0" fontId="48" fillId="0" borderId="6" applyNumberFormat="0" applyFill="0" applyAlignment="0" applyProtection="0"/>
    <xf numFmtId="0" fontId="48" fillId="0" borderId="0" applyNumberFormat="0" applyFill="0" applyBorder="0" applyAlignment="0" applyProtection="0"/>
    <xf numFmtId="170" fontId="33" fillId="0" borderId="0">
      <protection locked="0"/>
    </xf>
    <xf numFmtId="170" fontId="33" fillId="0" borderId="0">
      <protection locked="0"/>
    </xf>
    <xf numFmtId="0" fontId="49" fillId="7" borderId="1" applyNumberFormat="0" applyAlignment="0" applyProtection="0"/>
    <xf numFmtId="10" fontId="47" fillId="26" borderId="7" applyNumberFormat="0" applyBorder="0" applyAlignment="0" applyProtection="0"/>
    <xf numFmtId="0" fontId="50" fillId="27" borderId="0"/>
    <xf numFmtId="0" fontId="51" fillId="0" borderId="8" applyNumberFormat="0" applyFill="0" applyAlignment="0" applyProtection="0"/>
    <xf numFmtId="0" fontId="52" fillId="28" borderId="0"/>
    <xf numFmtId="177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65" fontId="22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176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181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3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5" fontId="29" fillId="0" borderId="0" applyFont="0" applyFill="0" applyBorder="0" applyAlignment="0" applyProtection="0"/>
    <xf numFmtId="186" fontId="29" fillId="0" borderId="0" applyFont="0" applyFill="0" applyBorder="0" applyAlignment="0" applyProtection="0"/>
    <xf numFmtId="187" fontId="29" fillId="0" borderId="0">
      <protection locked="0"/>
    </xf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8" fontId="27" fillId="0" borderId="0" applyProtection="0"/>
    <xf numFmtId="187" fontId="29" fillId="0" borderId="0">
      <protection locked="0"/>
    </xf>
    <xf numFmtId="0" fontId="24" fillId="0" borderId="0"/>
    <xf numFmtId="187" fontId="29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7" fillId="0" borderId="0"/>
    <xf numFmtId="0" fontId="2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0" fillId="0" borderId="0"/>
    <xf numFmtId="0" fontId="2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0" borderId="0"/>
    <xf numFmtId="0" fontId="2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0" borderId="0">
      <alignment vertical="top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8" fillId="0" borderId="0"/>
    <xf numFmtId="0" fontId="2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9" fillId="29" borderId="9" applyNumberFormat="0" applyFont="0" applyAlignment="0" applyProtection="0"/>
    <xf numFmtId="40" fontId="53" fillId="0" borderId="0" applyFont="0" applyFill="0" applyBorder="0" applyAlignment="0" applyProtection="0"/>
    <xf numFmtId="38" fontId="53" fillId="0" borderId="0" applyFont="0" applyFill="0" applyBorder="0" applyAlignment="0" applyProtection="0"/>
    <xf numFmtId="0" fontId="54" fillId="22" borderId="10" applyNumberFormat="0" applyAlignment="0" applyProtection="0"/>
    <xf numFmtId="14" fontId="25" fillId="0" borderId="0">
      <alignment horizontal="center" wrapText="1"/>
      <protection locked="0"/>
    </xf>
    <xf numFmtId="170" fontId="33" fillId="0" borderId="0">
      <protection locked="0"/>
    </xf>
    <xf numFmtId="10" fontId="29" fillId="0" borderId="0" applyFont="0" applyFill="0" applyBorder="0" applyAlignment="0" applyProtection="0"/>
    <xf numFmtId="170" fontId="33" fillId="0" borderId="0">
      <protection locked="0"/>
    </xf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0" fontId="27" fillId="0" borderId="0" applyProtection="0"/>
    <xf numFmtId="189" fontId="29" fillId="0" borderId="0">
      <protection locked="0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190" fontId="29" fillId="0" borderId="0"/>
    <xf numFmtId="0" fontId="25" fillId="0" borderId="11" applyNumberFormat="0" applyAlignment="0"/>
    <xf numFmtId="0" fontId="56" fillId="0" borderId="0" applyNumberFormat="0" applyFont="0" applyFill="0" applyBorder="0" applyAlignment="0" applyProtection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168" fontId="24" fillId="24" borderId="0"/>
    <xf numFmtId="166" fontId="29" fillId="0" borderId="0" applyNumberFormat="0" applyFill="0" applyBorder="0" applyAlignment="0" applyProtection="0">
      <alignment horizontal="left"/>
    </xf>
    <xf numFmtId="38" fontId="58" fillId="0" borderId="0"/>
    <xf numFmtId="40" fontId="59" fillId="0" borderId="0" applyBorder="0">
      <alignment horizontal="right"/>
    </xf>
    <xf numFmtId="0" fontId="60" fillId="0" borderId="0" applyNumberFormat="0" applyFill="0" applyBorder="0" applyAlignment="0" applyProtection="0"/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3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34" fillId="0" borderId="12">
      <protection locked="0"/>
    </xf>
    <xf numFmtId="0" fontId="61" fillId="0" borderId="0" applyNumberFormat="0" applyFill="0" applyBorder="0" applyAlignment="0" applyProtection="0"/>
    <xf numFmtId="165" fontId="27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19" fillId="0" borderId="0"/>
    <xf numFmtId="0" fontId="21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29" borderId="0" applyNumberFormat="0" applyBorder="0" applyAlignment="0" applyProtection="0"/>
    <xf numFmtId="0" fontId="22" fillId="7" borderId="0" applyNumberFormat="0" applyBorder="0" applyAlignment="0" applyProtection="0"/>
    <xf numFmtId="0" fontId="22" fillId="6" borderId="0" applyNumberFormat="0" applyBorder="0" applyAlignment="0" applyProtection="0"/>
    <xf numFmtId="0" fontId="22" fillId="29" borderId="0" applyNumberFormat="0" applyBorder="0" applyAlignment="0" applyProtection="0"/>
    <xf numFmtId="0" fontId="22" fillId="6" borderId="0" applyNumberFormat="0" applyBorder="0" applyAlignment="0" applyProtection="0"/>
    <xf numFmtId="0" fontId="22" fillId="9" borderId="0" applyNumberFormat="0" applyBorder="0" applyAlignment="0" applyProtection="0"/>
    <xf numFmtId="0" fontId="22" fillId="32" borderId="0" applyNumberFormat="0" applyBorder="0" applyAlignment="0" applyProtection="0"/>
    <xf numFmtId="0" fontId="22" fillId="3" borderId="0" applyNumberFormat="0" applyBorder="0" applyAlignment="0" applyProtection="0"/>
    <xf numFmtId="0" fontId="22" fillId="6" borderId="0" applyNumberFormat="0" applyBorder="0" applyAlignment="0" applyProtection="0"/>
    <xf numFmtId="0" fontId="22" fillId="29" borderId="0" applyNumberFormat="0" applyBorder="0" applyAlignment="0" applyProtection="0"/>
    <xf numFmtId="0" fontId="23" fillId="6" borderId="0" applyNumberFormat="0" applyBorder="0" applyAlignment="0" applyProtection="0"/>
    <xf numFmtId="0" fontId="23" fillId="19" borderId="0" applyNumberFormat="0" applyBorder="0" applyAlignment="0" applyProtection="0"/>
    <xf numFmtId="0" fontId="23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6" borderId="0" applyNumberFormat="0" applyBorder="0" applyAlignment="0" applyProtection="0"/>
    <xf numFmtId="0" fontId="23" fillId="9" borderId="0" applyNumberFormat="0" applyBorder="0" applyAlignment="0" applyProtection="0"/>
    <xf numFmtId="0" fontId="46" fillId="6" borderId="0" applyNumberFormat="0" applyBorder="0" applyAlignment="0" applyProtection="0"/>
    <xf numFmtId="0" fontId="21" fillId="0" borderId="0" applyFill="0" applyBorder="0" applyAlignment="0"/>
    <xf numFmtId="0" fontId="75" fillId="33" borderId="1" applyNumberFormat="0" applyAlignment="0" applyProtection="0"/>
    <xf numFmtId="0" fontId="32" fillId="23" borderId="2" applyNumberFormat="0" applyAlignment="0" applyProtection="0"/>
    <xf numFmtId="0" fontId="61" fillId="0" borderId="39" applyNumberFormat="0" applyFill="0" applyAlignment="0" applyProtection="0"/>
    <xf numFmtId="0" fontId="76" fillId="0" borderId="0"/>
    <xf numFmtId="0" fontId="77" fillId="0" borderId="0" applyProtection="0"/>
    <xf numFmtId="0" fontId="78" fillId="0" borderId="0" applyNumberFormat="0" applyFill="0" applyBorder="0" applyAlignment="0" applyProtection="0"/>
    <xf numFmtId="0" fontId="23" fillId="34" borderId="0" applyNumberFormat="0" applyBorder="0" applyAlignment="0" applyProtection="0"/>
    <xf numFmtId="0" fontId="23" fillId="19" borderId="0" applyNumberFormat="0" applyBorder="0" applyAlignment="0" applyProtection="0"/>
    <xf numFmtId="0" fontId="23" fillId="11" borderId="0" applyNumberFormat="0" applyBorder="0" applyAlignment="0" applyProtection="0"/>
    <xf numFmtId="0" fontId="23" fillId="35" borderId="0" applyNumberFormat="0" applyBorder="0" applyAlignment="0" applyProtection="0"/>
    <xf numFmtId="0" fontId="23" fillId="14" borderId="0" applyNumberFormat="0" applyBorder="0" applyAlignment="0" applyProtection="0"/>
    <xf numFmtId="0" fontId="23" fillId="17" borderId="0" applyNumberFormat="0" applyBorder="0" applyAlignment="0" applyProtection="0"/>
    <xf numFmtId="0" fontId="49" fillId="32" borderId="1" applyNumberFormat="0" applyAlignment="0" applyProtection="0"/>
    <xf numFmtId="174" fontId="21" fillId="0" borderId="0" applyFont="0" applyFill="0" applyBorder="0" applyAlignment="0" applyProtection="0"/>
    <xf numFmtId="173" fontId="28" fillId="0" borderId="0" applyFont="0" applyFill="0" applyBorder="0" applyAlignment="0" applyProtection="0"/>
    <xf numFmtId="0" fontId="45" fillId="0" borderId="0"/>
    <xf numFmtId="0" fontId="34" fillId="0" borderId="0">
      <protection locked="0"/>
    </xf>
    <xf numFmtId="0" fontId="45" fillId="0" borderId="0"/>
    <xf numFmtId="0" fontId="34" fillId="0" borderId="0">
      <protection locked="0"/>
    </xf>
    <xf numFmtId="0" fontId="45" fillId="0" borderId="0"/>
    <xf numFmtId="0" fontId="34" fillId="0" borderId="0">
      <protection locked="0"/>
    </xf>
    <xf numFmtId="0" fontId="45" fillId="0" borderId="0"/>
    <xf numFmtId="0" fontId="34" fillId="0" borderId="0">
      <protection locked="0"/>
    </xf>
    <xf numFmtId="0" fontId="45" fillId="0" borderId="0"/>
    <xf numFmtId="0" fontId="34" fillId="0" borderId="0">
      <protection locked="0"/>
    </xf>
    <xf numFmtId="0" fontId="45" fillId="0" borderId="0"/>
    <xf numFmtId="0" fontId="34" fillId="0" borderId="0">
      <protection locked="0"/>
    </xf>
    <xf numFmtId="0" fontId="34" fillId="0" borderId="0">
      <protection locked="0"/>
    </xf>
    <xf numFmtId="193" fontId="34" fillId="0" borderId="0">
      <protection locked="0"/>
    </xf>
    <xf numFmtId="4" fontId="34" fillId="0" borderId="0">
      <protection locked="0"/>
    </xf>
    <xf numFmtId="2" fontId="77" fillId="0" borderId="0" applyProtection="0"/>
    <xf numFmtId="0" fontId="79" fillId="0" borderId="0" applyProtection="0"/>
    <xf numFmtId="0" fontId="80" fillId="0" borderId="0" applyProtection="0"/>
    <xf numFmtId="0" fontId="26" fillId="5" borderId="0" applyNumberFormat="0" applyBorder="0" applyAlignment="0" applyProtection="0"/>
    <xf numFmtId="194" fontId="50" fillId="27" borderId="0"/>
    <xf numFmtId="194" fontId="52" fillId="28" borderId="0"/>
    <xf numFmtId="167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195" fontId="34" fillId="0" borderId="0">
      <protection locked="0"/>
    </xf>
    <xf numFmtId="0" fontId="81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>
      <alignment vertical="top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21" fillId="29" borderId="9" applyNumberFormat="0" applyFont="0" applyAlignment="0" applyProtection="0"/>
    <xf numFmtId="196" fontId="34" fillId="0" borderId="0">
      <protection locked="0"/>
    </xf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4" fillId="33" borderId="10" applyNumberFormat="0" applyAlignment="0" applyProtection="0"/>
    <xf numFmtId="0" fontId="61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78" fillId="0" borderId="42" applyNumberFormat="0" applyFill="0" applyAlignment="0" applyProtection="0"/>
    <xf numFmtId="0" fontId="84" fillId="0" borderId="0" applyNumberFormat="0" applyFill="0" applyBorder="0" applyAlignment="0" applyProtection="0"/>
    <xf numFmtId="0" fontId="34" fillId="0" borderId="13">
      <protection locked="0"/>
    </xf>
    <xf numFmtId="0" fontId="21" fillId="0" borderId="0"/>
    <xf numFmtId="165" fontId="2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88" fillId="0" borderId="0" applyFont="0" applyFill="0" applyBorder="0" applyAlignment="0" applyProtection="0"/>
    <xf numFmtId="0" fontId="28" fillId="0" borderId="0"/>
    <xf numFmtId="0" fontId="6" fillId="0" borderId="0"/>
    <xf numFmtId="0" fontId="90" fillId="0" borderId="34" applyBorder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0" fontId="28" fillId="0" borderId="0" applyProtection="0"/>
    <xf numFmtId="173" fontId="21" fillId="0" borderId="0" applyFont="0" applyFill="0" applyBorder="0" applyAlignment="0" applyProtection="0"/>
    <xf numFmtId="0" fontId="22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90" fillId="0" borderId="34" applyBorder="0"/>
    <xf numFmtId="0" fontId="25" fillId="0" borderId="0"/>
    <xf numFmtId="0" fontId="21" fillId="0" borderId="0">
      <alignment vertical="top"/>
    </xf>
    <xf numFmtId="0" fontId="21" fillId="0" borderId="0"/>
    <xf numFmtId="0" fontId="28" fillId="0" borderId="0"/>
    <xf numFmtId="0" fontId="21" fillId="0" borderId="0"/>
    <xf numFmtId="0" fontId="28" fillId="0" borderId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165" fontId="21" fillId="0" borderId="0" applyFont="0" applyFill="0" applyBorder="0" applyAlignment="0" applyProtection="0"/>
    <xf numFmtId="0" fontId="21" fillId="0" borderId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0" fontId="21" fillId="0" borderId="0"/>
    <xf numFmtId="0" fontId="28" fillId="0" borderId="0"/>
    <xf numFmtId="0" fontId="21" fillId="0" borderId="0"/>
    <xf numFmtId="0" fontId="28" fillId="0" borderId="0"/>
    <xf numFmtId="0" fontId="21" fillId="0" borderId="0">
      <alignment vertical="top"/>
    </xf>
    <xf numFmtId="9" fontId="28" fillId="0" borderId="0" applyFont="0" applyFill="0" applyBorder="0" applyAlignment="0" applyProtection="0"/>
    <xf numFmtId="0" fontId="3" fillId="0" borderId="0"/>
    <xf numFmtId="0" fontId="2" fillId="0" borderId="0"/>
    <xf numFmtId="169" fontId="21" fillId="0" borderId="0" applyFill="0" applyBorder="0" applyAlignment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21" fillId="0" borderId="0">
      <protection locked="0"/>
    </xf>
    <xf numFmtId="176" fontId="21" fillId="0" borderId="0">
      <protection locked="0"/>
    </xf>
    <xf numFmtId="177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9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8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181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7" fontId="21" fillId="0" borderId="0">
      <protection locked="0"/>
    </xf>
    <xf numFmtId="187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29" borderId="9" applyNumberFormat="0" applyFont="0" applyAlignment="0" applyProtection="0"/>
    <xf numFmtId="10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90" fontId="21" fillId="0" borderId="0"/>
    <xf numFmtId="166" fontId="21" fillId="0" borderId="0" applyNumberFormat="0" applyFill="0" applyBorder="0" applyAlignment="0" applyProtection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18" fillId="0" borderId="0"/>
    <xf numFmtId="0" fontId="118" fillId="0" borderId="0">
      <alignment vertical="top"/>
    </xf>
    <xf numFmtId="0" fontId="119" fillId="0" borderId="0"/>
    <xf numFmtId="0" fontId="119" fillId="0" borderId="0"/>
    <xf numFmtId="165" fontId="118" fillId="0" borderId="0"/>
    <xf numFmtId="0" fontId="118" fillId="0" borderId="0">
      <alignment vertical="top"/>
    </xf>
    <xf numFmtId="0" fontId="21" fillId="0" borderId="0">
      <alignment vertical="top"/>
    </xf>
    <xf numFmtId="0" fontId="1" fillId="0" borderId="0"/>
    <xf numFmtId="0" fontId="21" fillId="0" borderId="0"/>
    <xf numFmtId="43" fontId="2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1" fillId="0" borderId="0"/>
    <xf numFmtId="207" fontId="1" fillId="0" borderId="0" applyFont="0" applyFill="0" applyBorder="0" applyAlignment="0" applyProtection="0"/>
  </cellStyleXfs>
  <cellXfs count="591">
    <xf numFmtId="0" fontId="0" fillId="0" borderId="0" xfId="0">
      <alignment vertical="top"/>
    </xf>
    <xf numFmtId="0" fontId="0" fillId="0" borderId="0" xfId="0" applyAlignment="1"/>
    <xf numFmtId="0" fontId="21" fillId="0" borderId="0" xfId="1940" applyAlignment="1"/>
    <xf numFmtId="0" fontId="21" fillId="0" borderId="0" xfId="1940" applyAlignment="1">
      <alignment horizontal="center" vertical="center"/>
    </xf>
    <xf numFmtId="0" fontId="21" fillId="0" borderId="18" xfId="1940" applyBorder="1" applyAlignment="1"/>
    <xf numFmtId="0" fontId="70" fillId="0" borderId="18" xfId="1962" applyFont="1" applyBorder="1" applyAlignment="1">
      <alignment vertical="center"/>
    </xf>
    <xf numFmtId="0" fontId="69" fillId="0" borderId="0" xfId="1962" applyFont="1" applyAlignment="1">
      <alignment horizontal="left" vertical="center"/>
    </xf>
    <xf numFmtId="192" fontId="62" fillId="0" borderId="0" xfId="1962" applyNumberFormat="1" applyFont="1" applyAlignment="1">
      <alignment horizontal="left" vertical="center"/>
    </xf>
    <xf numFmtId="0" fontId="70" fillId="0" borderId="16" xfId="1962" applyFont="1" applyBorder="1" applyAlignment="1">
      <alignment vertical="center"/>
    </xf>
    <xf numFmtId="0" fontId="69" fillId="0" borderId="15" xfId="1962" applyFont="1" applyBorder="1" applyAlignment="1">
      <alignment horizontal="left" vertical="center"/>
    </xf>
    <xf numFmtId="0" fontId="64" fillId="0" borderId="15" xfId="1962" applyFont="1" applyBorder="1"/>
    <xf numFmtId="0" fontId="65" fillId="0" borderId="15" xfId="1962" applyFont="1" applyBorder="1"/>
    <xf numFmtId="0" fontId="68" fillId="0" borderId="15" xfId="1962" applyFont="1" applyBorder="1"/>
    <xf numFmtId="0" fontId="21" fillId="0" borderId="15" xfId="1962" applyBorder="1"/>
    <xf numFmtId="0" fontId="68" fillId="0" borderId="15" xfId="1962" applyFont="1" applyBorder="1" applyAlignment="1">
      <alignment horizontal="center" vertical="center"/>
    </xf>
    <xf numFmtId="0" fontId="63" fillId="0" borderId="37" xfId="1962" applyFont="1" applyBorder="1" applyAlignment="1">
      <alignment horizontal="centerContinuous" vertical="center"/>
    </xf>
    <xf numFmtId="0" fontId="63" fillId="0" borderId="35" xfId="1962" applyFont="1" applyBorder="1" applyAlignment="1">
      <alignment horizontal="centerContinuous" vertical="center"/>
    </xf>
    <xf numFmtId="0" fontId="68" fillId="0" borderId="0" xfId="1962" applyFont="1"/>
    <xf numFmtId="0" fontId="21" fillId="0" borderId="21" xfId="1940" applyBorder="1" applyAlignment="1"/>
    <xf numFmtId="0" fontId="63" fillId="0" borderId="35" xfId="1962" applyFont="1" applyBorder="1" applyAlignment="1">
      <alignment vertical="center"/>
    </xf>
    <xf numFmtId="0" fontId="85" fillId="0" borderId="0" xfId="1940" applyFont="1">
      <alignment vertical="top"/>
    </xf>
    <xf numFmtId="0" fontId="62" fillId="0" borderId="22" xfId="1962" applyFont="1" applyBorder="1" applyAlignment="1">
      <alignment horizontal="left" vertical="center"/>
    </xf>
    <xf numFmtId="0" fontId="21" fillId="0" borderId="18" xfId="123" applyFont="1" applyBorder="1" applyAlignment="1">
      <alignment vertical="center"/>
    </xf>
    <xf numFmtId="0" fontId="21" fillId="0" borderId="0" xfId="123" applyFont="1" applyAlignment="1">
      <alignment vertical="center"/>
    </xf>
    <xf numFmtId="0" fontId="85" fillId="0" borderId="0" xfId="194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64" fontId="21" fillId="0" borderId="24" xfId="1940" applyNumberFormat="1" applyBorder="1">
      <alignment vertical="top"/>
    </xf>
    <xf numFmtId="0" fontId="21" fillId="0" borderId="30" xfId="123" applyFont="1" applyBorder="1" applyAlignment="1">
      <alignment horizontal="center" vertical="center"/>
    </xf>
    <xf numFmtId="0" fontId="73" fillId="0" borderId="7" xfId="2148" applyFont="1" applyBorder="1" applyAlignment="1">
      <alignment horizontal="center" vertical="top"/>
    </xf>
    <xf numFmtId="0" fontId="73" fillId="0" borderId="7" xfId="2148" applyFont="1" applyBorder="1" applyAlignment="1">
      <alignment horizontal="center" vertical="top" wrapText="1"/>
    </xf>
    <xf numFmtId="0" fontId="74" fillId="37" borderId="35" xfId="2148" applyFont="1" applyFill="1" applyBorder="1" applyAlignment="1">
      <alignment vertical="center"/>
    </xf>
    <xf numFmtId="0" fontId="74" fillId="37" borderId="5" xfId="2148" applyFont="1" applyFill="1" applyBorder="1" applyAlignment="1">
      <alignment vertical="center"/>
    </xf>
    <xf numFmtId="0" fontId="73" fillId="39" borderId="7" xfId="2148" applyFont="1" applyFill="1" applyBorder="1" applyAlignment="1">
      <alignment horizontal="center"/>
    </xf>
    <xf numFmtId="165" fontId="73" fillId="37" borderId="7" xfId="2190" applyFont="1" applyFill="1" applyBorder="1" applyAlignment="1">
      <alignment horizontal="center"/>
    </xf>
    <xf numFmtId="197" fontId="73" fillId="37" borderId="7" xfId="2190" applyNumberFormat="1" applyFont="1" applyFill="1" applyBorder="1" applyAlignment="1">
      <alignment horizontal="center"/>
    </xf>
    <xf numFmtId="197" fontId="73" fillId="37" borderId="7" xfId="2190" applyNumberFormat="1" applyFont="1" applyFill="1" applyBorder="1"/>
    <xf numFmtId="198" fontId="73" fillId="39" borderId="7" xfId="2190" applyNumberFormat="1" applyFont="1" applyFill="1" applyBorder="1"/>
    <xf numFmtId="0" fontId="94" fillId="37" borderId="7" xfId="2148" quotePrefix="1" applyFont="1" applyFill="1" applyBorder="1" applyAlignment="1">
      <alignment horizontal="center" vertical="center"/>
    </xf>
    <xf numFmtId="0" fontId="73" fillId="37" borderId="7" xfId="2148" applyFont="1" applyFill="1" applyBorder="1" applyAlignment="1">
      <alignment horizontal="center" vertical="center"/>
    </xf>
    <xf numFmtId="165" fontId="73" fillId="37" borderId="7" xfId="2190" applyFont="1" applyFill="1" applyBorder="1" applyAlignment="1">
      <alignment horizontal="center" vertical="center"/>
    </xf>
    <xf numFmtId="165" fontId="73" fillId="31" borderId="7" xfId="2190" applyFont="1" applyFill="1" applyBorder="1" applyAlignment="1">
      <alignment horizontal="center" vertical="center"/>
    </xf>
    <xf numFmtId="199" fontId="73" fillId="37" borderId="7" xfId="2148" applyNumberFormat="1" applyFont="1" applyFill="1" applyBorder="1" applyAlignment="1">
      <alignment horizontal="center" vertical="center"/>
    </xf>
    <xf numFmtId="198" fontId="73" fillId="30" borderId="7" xfId="2190" applyNumberFormat="1" applyFont="1" applyFill="1" applyBorder="1" applyAlignment="1">
      <alignment horizontal="center" vertical="center"/>
    </xf>
    <xf numFmtId="198" fontId="73" fillId="37" borderId="7" xfId="2190" applyNumberFormat="1" applyFont="1" applyFill="1" applyBorder="1" applyAlignment="1">
      <alignment horizontal="center" vertical="center"/>
    </xf>
    <xf numFmtId="198" fontId="73" fillId="30" borderId="56" xfId="2190" applyNumberFormat="1" applyFont="1" applyFill="1" applyBorder="1" applyAlignment="1">
      <alignment horizontal="center" vertical="center"/>
    </xf>
    <xf numFmtId="0" fontId="94" fillId="37" borderId="7" xfId="2148" applyFont="1" applyFill="1" applyBorder="1" applyAlignment="1">
      <alignment horizontal="center" vertical="center"/>
    </xf>
    <xf numFmtId="0" fontId="74" fillId="37" borderId="63" xfId="2148" applyFont="1" applyFill="1" applyBorder="1" applyAlignment="1">
      <alignment horizontal="center" vertical="center"/>
    </xf>
    <xf numFmtId="200" fontId="73" fillId="30" borderId="7" xfId="2190" applyNumberFormat="1" applyFont="1" applyFill="1" applyBorder="1" applyAlignment="1">
      <alignment horizontal="center" vertical="center"/>
    </xf>
    <xf numFmtId="0" fontId="73" fillId="0" borderId="0" xfId="2148" applyFont="1">
      <alignment vertical="top"/>
    </xf>
    <xf numFmtId="1" fontId="73" fillId="37" borderId="7" xfId="2148" applyNumberFormat="1" applyFont="1" applyFill="1" applyBorder="1" applyAlignment="1">
      <alignment horizontal="center" vertical="center"/>
    </xf>
    <xf numFmtId="202" fontId="73" fillId="37" borderId="7" xfId="2190" applyNumberFormat="1" applyFont="1" applyFill="1" applyBorder="1" applyAlignment="1">
      <alignment horizontal="center" vertical="center"/>
    </xf>
    <xf numFmtId="197" fontId="73" fillId="30" borderId="7" xfId="2190" applyNumberFormat="1" applyFont="1" applyFill="1" applyBorder="1" applyAlignment="1">
      <alignment horizontal="center" vertical="center"/>
    </xf>
    <xf numFmtId="2" fontId="73" fillId="0" borderId="0" xfId="2148" applyNumberFormat="1" applyFont="1" applyAlignment="1">
      <alignment horizontal="center" vertical="center"/>
    </xf>
    <xf numFmtId="0" fontId="74" fillId="0" borderId="0" xfId="2148" applyFont="1" applyAlignment="1">
      <alignment horizontal="center" vertical="center"/>
    </xf>
    <xf numFmtId="0" fontId="74" fillId="30" borderId="7" xfId="2148" applyFont="1" applyFill="1" applyBorder="1" applyAlignment="1">
      <alignment horizontal="center" vertical="center"/>
    </xf>
    <xf numFmtId="0" fontId="73" fillId="39" borderId="7" xfId="2148" applyFont="1" applyFill="1" applyBorder="1" applyAlignment="1">
      <alignment horizontal="center" vertical="center"/>
    </xf>
    <xf numFmtId="0" fontId="73" fillId="0" borderId="0" xfId="2148" applyFont="1" applyAlignment="1">
      <alignment horizontal="center" vertical="center"/>
    </xf>
    <xf numFmtId="0" fontId="74" fillId="0" borderId="7" xfId="2148" applyFont="1" applyBorder="1" applyAlignment="1">
      <alignment horizontal="center" vertical="center"/>
    </xf>
    <xf numFmtId="0" fontId="73" fillId="0" borderId="7" xfId="2148" applyFont="1" applyBorder="1" applyAlignment="1">
      <alignment horizontal="center" vertical="center"/>
    </xf>
    <xf numFmtId="0" fontId="74" fillId="30" borderId="43" xfId="2148" applyFont="1" applyFill="1" applyBorder="1" applyAlignment="1"/>
    <xf numFmtId="0" fontId="74" fillId="30" borderId="44" xfId="2148" applyFont="1" applyFill="1" applyBorder="1" applyAlignment="1"/>
    <xf numFmtId="0" fontId="73" fillId="30" borderId="44" xfId="2148" applyFont="1" applyFill="1" applyBorder="1" applyAlignment="1">
      <alignment horizontal="center"/>
    </xf>
    <xf numFmtId="0" fontId="73" fillId="30" borderId="44" xfId="2148" applyFont="1" applyFill="1" applyBorder="1" applyAlignment="1"/>
    <xf numFmtId="0" fontId="73" fillId="30" borderId="45" xfId="2148" applyFont="1" applyFill="1" applyBorder="1">
      <alignment vertical="top"/>
    </xf>
    <xf numFmtId="0" fontId="74" fillId="40" borderId="60" xfId="2148" applyFont="1" applyFill="1" applyBorder="1" applyAlignment="1">
      <alignment horizontal="center" vertical="center"/>
    </xf>
    <xf numFmtId="0" fontId="74" fillId="40" borderId="61" xfId="2148" applyFont="1" applyFill="1" applyBorder="1" applyAlignment="1">
      <alignment horizontal="center" vertical="center"/>
    </xf>
    <xf numFmtId="0" fontId="74" fillId="40" borderId="62" xfId="2148" applyFont="1" applyFill="1" applyBorder="1" applyAlignment="1">
      <alignment horizontal="center" vertical="center"/>
    </xf>
    <xf numFmtId="0" fontId="73" fillId="0" borderId="47" xfId="2148" applyFont="1" applyBorder="1">
      <alignment vertical="top"/>
    </xf>
    <xf numFmtId="0" fontId="73" fillId="0" borderId="49" xfId="2148" applyFont="1" applyBorder="1" applyAlignment="1">
      <alignment horizontal="center" vertical="center"/>
    </xf>
    <xf numFmtId="0" fontId="73" fillId="0" borderId="50" xfId="2148" applyFont="1" applyBorder="1" applyAlignment="1">
      <alignment horizontal="center" vertical="center"/>
    </xf>
    <xf numFmtId="0" fontId="73" fillId="0" borderId="51" xfId="2148" applyFont="1" applyBorder="1" applyAlignment="1">
      <alignment horizontal="center" vertical="center"/>
    </xf>
    <xf numFmtId="0" fontId="74" fillId="0" borderId="48" xfId="2148" applyFont="1" applyBorder="1" applyAlignment="1"/>
    <xf numFmtId="0" fontId="74" fillId="0" borderId="0" xfId="2148" applyFont="1" applyAlignment="1"/>
    <xf numFmtId="0" fontId="73" fillId="0" borderId="0" xfId="2148" applyFont="1" applyAlignment="1">
      <alignment horizontal="center"/>
    </xf>
    <xf numFmtId="0" fontId="73" fillId="0" borderId="0" xfId="2148" applyFont="1" applyAlignment="1"/>
    <xf numFmtId="0" fontId="73" fillId="42" borderId="7" xfId="2148" applyFont="1" applyFill="1" applyBorder="1" applyAlignment="1">
      <alignment horizontal="center" vertical="center"/>
    </xf>
    <xf numFmtId="0" fontId="73" fillId="0" borderId="7" xfId="2148" applyFont="1" applyBorder="1" applyAlignment="1">
      <alignment horizontal="center" vertical="center" wrapText="1"/>
    </xf>
    <xf numFmtId="0" fontId="73" fillId="0" borderId="52" xfId="2148" applyFont="1" applyBorder="1" applyAlignment="1">
      <alignment horizontal="center" vertical="center"/>
    </xf>
    <xf numFmtId="0" fontId="73" fillId="0" borderId="53" xfId="2148" applyFont="1" applyBorder="1" applyAlignment="1">
      <alignment horizontal="center" vertical="center"/>
    </xf>
    <xf numFmtId="0" fontId="73" fillId="0" borderId="54" xfId="2148" applyFont="1" applyBorder="1" applyAlignment="1">
      <alignment horizontal="center" vertical="center"/>
    </xf>
    <xf numFmtId="0" fontId="73" fillId="0" borderId="48" xfId="2148" applyFont="1" applyBorder="1" applyAlignment="1"/>
    <xf numFmtId="0" fontId="73" fillId="39" borderId="34" xfId="2148" applyFont="1" applyFill="1" applyBorder="1" applyAlignment="1">
      <alignment horizontal="center" vertical="center"/>
    </xf>
    <xf numFmtId="0" fontId="73" fillId="0" borderId="34" xfId="2148" applyFont="1" applyBorder="1" applyAlignment="1">
      <alignment horizontal="center" vertical="center"/>
    </xf>
    <xf numFmtId="0" fontId="73" fillId="0" borderId="55" xfId="2148" applyFont="1" applyBorder="1" applyAlignment="1">
      <alignment horizontal="center" vertical="center"/>
    </xf>
    <xf numFmtId="0" fontId="73" fillId="0" borderId="56" xfId="2148" applyFont="1" applyBorder="1" applyAlignment="1">
      <alignment horizontal="center" vertical="center"/>
    </xf>
    <xf numFmtId="0" fontId="94" fillId="0" borderId="0" xfId="2148" applyFont="1" applyAlignment="1">
      <alignment horizontal="center" vertical="center"/>
    </xf>
    <xf numFmtId="198" fontId="73" fillId="37" borderId="7" xfId="2190" applyNumberFormat="1" applyFont="1" applyFill="1" applyBorder="1" applyAlignment="1">
      <alignment horizontal="center"/>
    </xf>
    <xf numFmtId="0" fontId="73" fillId="0" borderId="57" xfId="2148" applyFont="1" applyBorder="1" applyAlignment="1">
      <alignment horizontal="center" vertical="center"/>
    </xf>
    <xf numFmtId="0" fontId="73" fillId="0" borderId="58" xfId="2148" applyFont="1" applyBorder="1" applyAlignment="1">
      <alignment horizontal="center" vertical="center"/>
    </xf>
    <xf numFmtId="0" fontId="73" fillId="0" borderId="59" xfId="2148" applyFont="1" applyBorder="1" applyAlignment="1">
      <alignment horizontal="center" vertical="center"/>
    </xf>
    <xf numFmtId="0" fontId="73" fillId="0" borderId="0" xfId="2148" applyFont="1" applyAlignment="1">
      <alignment horizontal="center" vertical="top"/>
    </xf>
    <xf numFmtId="0" fontId="73" fillId="0" borderId="48" xfId="2148" applyFont="1" applyBorder="1">
      <alignment vertical="top"/>
    </xf>
    <xf numFmtId="197" fontId="73" fillId="39" borderId="7" xfId="2190" applyNumberFormat="1" applyFont="1" applyFill="1" applyBorder="1"/>
    <xf numFmtId="0" fontId="73" fillId="0" borderId="64" xfId="2148" applyFont="1" applyBorder="1">
      <alignment vertical="top"/>
    </xf>
    <xf numFmtId="0" fontId="73" fillId="0" borderId="65" xfId="2148" applyFont="1" applyBorder="1">
      <alignment vertical="top"/>
    </xf>
    <xf numFmtId="0" fontId="73" fillId="0" borderId="66" xfId="2148" applyFont="1" applyBorder="1">
      <alignment vertical="top"/>
    </xf>
    <xf numFmtId="0" fontId="73" fillId="0" borderId="56" xfId="2148" applyFont="1" applyBorder="1" applyAlignment="1">
      <alignment horizontal="center" vertical="center" wrapText="1"/>
    </xf>
    <xf numFmtId="0" fontId="74" fillId="0" borderId="56" xfId="2148" applyFont="1" applyBorder="1" applyAlignment="1">
      <alignment horizontal="center" vertical="center"/>
    </xf>
    <xf numFmtId="0" fontId="73" fillId="0" borderId="0" xfId="2148" quotePrefix="1" applyFont="1">
      <alignment vertical="top"/>
    </xf>
    <xf numFmtId="0" fontId="73" fillId="38" borderId="0" xfId="2148" applyFont="1" applyFill="1" applyAlignment="1">
      <alignment horizontal="center" vertical="center"/>
    </xf>
    <xf numFmtId="164" fontId="62" fillId="0" borderId="24" xfId="1962" applyNumberFormat="1" applyFont="1" applyBorder="1" applyAlignment="1">
      <alignment horizontal="center" vertical="center"/>
    </xf>
    <xf numFmtId="0" fontId="21" fillId="0" borderId="0" xfId="0" applyFont="1" applyAlignment="1"/>
    <xf numFmtId="0" fontId="85" fillId="0" borderId="0" xfId="0" applyFont="1">
      <alignment vertical="top"/>
    </xf>
    <xf numFmtId="0" fontId="67" fillId="0" borderId="0" xfId="1940" applyFont="1" applyAlignment="1"/>
    <xf numFmtId="2" fontId="67" fillId="0" borderId="30" xfId="123" applyNumberFormat="1" applyFont="1" applyBorder="1" applyAlignment="1">
      <alignment horizontal="center" vertical="center"/>
    </xf>
    <xf numFmtId="0" fontId="96" fillId="0" borderId="0" xfId="123" applyFont="1" applyAlignment="1">
      <alignment vertical="center"/>
    </xf>
    <xf numFmtId="2" fontId="21" fillId="0" borderId="30" xfId="123" quotePrefix="1" applyNumberFormat="1" applyFont="1" applyBorder="1" applyAlignment="1">
      <alignment horizontal="center" vertical="center"/>
    </xf>
    <xf numFmtId="49" fontId="21" fillId="0" borderId="0" xfId="123" applyNumberFormat="1" applyFont="1" applyAlignment="1">
      <alignment vertical="center"/>
    </xf>
    <xf numFmtId="0" fontId="21" fillId="0" borderId="0" xfId="123" applyFont="1" applyAlignment="1">
      <alignment horizontal="left" vertical="center"/>
    </xf>
    <xf numFmtId="4" fontId="96" fillId="0" borderId="0" xfId="2767" applyNumberFormat="1" applyFont="1" applyAlignment="1">
      <alignment vertical="center"/>
    </xf>
    <xf numFmtId="0" fontId="21" fillId="0" borderId="0" xfId="123" quotePrefix="1" applyFont="1" applyAlignment="1">
      <alignment vertical="center"/>
    </xf>
    <xf numFmtId="0" fontId="21" fillId="0" borderId="0" xfId="2765" applyFont="1" applyAlignment="1">
      <alignment horizontal="left" vertical="center"/>
    </xf>
    <xf numFmtId="0" fontId="67" fillId="0" borderId="0" xfId="123" applyFont="1" applyAlignment="1">
      <alignment vertical="center"/>
    </xf>
    <xf numFmtId="0" fontId="21" fillId="0" borderId="0" xfId="1962" applyAlignment="1">
      <alignment horizontal="center"/>
    </xf>
    <xf numFmtId="0" fontId="67" fillId="0" borderId="0" xfId="1603" applyFont="1" applyAlignment="1">
      <alignment vertical="center"/>
    </xf>
    <xf numFmtId="0" fontId="21" fillId="0" borderId="0" xfId="1603" applyAlignment="1">
      <alignment vertical="center"/>
    </xf>
    <xf numFmtId="0" fontId="21" fillId="0" borderId="0" xfId="1603" applyAlignment="1">
      <alignment horizontal="center" vertical="center"/>
    </xf>
    <xf numFmtId="0" fontId="21" fillId="0" borderId="0" xfId="0" applyFont="1">
      <alignment vertical="top"/>
    </xf>
    <xf numFmtId="0" fontId="21" fillId="0" borderId="0" xfId="1603" applyAlignment="1">
      <alignment horizontal="left" vertical="center"/>
    </xf>
    <xf numFmtId="0" fontId="67" fillId="0" borderId="0" xfId="1603" applyFont="1" applyAlignment="1">
      <alignment horizontal="left" vertical="center"/>
    </xf>
    <xf numFmtId="0" fontId="67" fillId="0" borderId="0" xfId="1603" applyFont="1" applyAlignment="1">
      <alignment horizontal="center" vertical="center"/>
    </xf>
    <xf numFmtId="191" fontId="62" fillId="0" borderId="24" xfId="1962" applyNumberFormat="1" applyFont="1" applyBorder="1" applyAlignment="1">
      <alignment horizontal="center" vertical="center"/>
    </xf>
    <xf numFmtId="0" fontId="74" fillId="44" borderId="7" xfId="2148" applyFont="1" applyFill="1" applyBorder="1" applyAlignment="1">
      <alignment horizontal="center" vertical="center"/>
    </xf>
    <xf numFmtId="165" fontId="74" fillId="44" borderId="7" xfId="2190" applyFont="1" applyFill="1" applyBorder="1" applyAlignment="1">
      <alignment horizontal="center" vertical="center"/>
    </xf>
    <xf numFmtId="0" fontId="74" fillId="39" borderId="7" xfId="2148" applyFont="1" applyFill="1" applyBorder="1" applyAlignment="1">
      <alignment horizontal="center" vertical="center"/>
    </xf>
    <xf numFmtId="165" fontId="74" fillId="39" borderId="7" xfId="2190" applyFont="1" applyFill="1" applyBorder="1" applyAlignment="1">
      <alignment horizontal="center" vertical="center"/>
    </xf>
    <xf numFmtId="165" fontId="74" fillId="30" borderId="7" xfId="2190" applyFont="1" applyFill="1" applyBorder="1" applyAlignment="1">
      <alignment horizontal="center" vertical="center"/>
    </xf>
    <xf numFmtId="2" fontId="93" fillId="45" borderId="0" xfId="1940" applyNumberFormat="1" applyFont="1" applyFill="1" applyAlignment="1">
      <alignment horizontal="center" vertical="center"/>
    </xf>
    <xf numFmtId="0" fontId="74" fillId="30" borderId="35" xfId="2148" applyFont="1" applyFill="1" applyBorder="1" applyAlignment="1">
      <alignment horizontal="left" vertical="center"/>
    </xf>
    <xf numFmtId="0" fontId="73" fillId="30" borderId="5" xfId="2148" applyFont="1" applyFill="1" applyBorder="1">
      <alignment vertical="top"/>
    </xf>
    <xf numFmtId="0" fontId="73" fillId="30" borderId="38" xfId="2148" applyFont="1" applyFill="1" applyBorder="1">
      <alignment vertical="top"/>
    </xf>
    <xf numFmtId="0" fontId="21" fillId="0" borderId="0" xfId="2781" applyFont="1" applyAlignment="1">
      <alignment vertical="center"/>
    </xf>
    <xf numFmtId="0" fontId="98" fillId="0" borderId="0" xfId="2782" applyFont="1" applyAlignment="1">
      <alignment horizontal="center" vertical="center"/>
    </xf>
    <xf numFmtId="0" fontId="98" fillId="43" borderId="7" xfId="2782" applyFont="1" applyFill="1" applyBorder="1" applyAlignment="1">
      <alignment horizontal="center" vertical="center" wrapText="1"/>
    </xf>
    <xf numFmtId="0" fontId="40" fillId="0" borderId="0" xfId="2782" applyFont="1" applyAlignment="1">
      <alignment horizontal="left" vertical="center"/>
    </xf>
    <xf numFmtId="0" fontId="40" fillId="0" borderId="0" xfId="2782" applyFont="1" applyAlignment="1">
      <alignment horizontal="centerContinuous" vertical="center"/>
    </xf>
    <xf numFmtId="0" fontId="40" fillId="0" borderId="0" xfId="2782" applyFont="1" applyAlignment="1">
      <alignment horizontal="centerContinuous" vertical="center" wrapText="1"/>
    </xf>
    <xf numFmtId="0" fontId="99" fillId="0" borderId="0" xfId="2781" applyFont="1" applyAlignment="1">
      <alignment horizontal="left" vertical="center"/>
    </xf>
    <xf numFmtId="0" fontId="21" fillId="0" borderId="0" xfId="2781" applyFont="1" applyAlignment="1">
      <alignment horizontal="left" vertical="center"/>
    </xf>
    <xf numFmtId="0" fontId="74" fillId="43" borderId="0" xfId="2781" applyFont="1" applyFill="1" applyAlignment="1">
      <alignment horizontal="left" vertical="center"/>
    </xf>
    <xf numFmtId="0" fontId="100" fillId="0" borderId="0" xfId="2781" applyFont="1" applyAlignment="1">
      <alignment horizontal="left" vertical="center"/>
    </xf>
    <xf numFmtId="0" fontId="67" fillId="0" borderId="0" xfId="2781" applyFont="1" applyAlignment="1">
      <alignment horizontal="right" vertical="center"/>
    </xf>
    <xf numFmtId="0" fontId="67" fillId="0" borderId="0" xfId="2781" applyFont="1" applyAlignment="1">
      <alignment horizontal="left" vertical="center"/>
    </xf>
    <xf numFmtId="0" fontId="100" fillId="43" borderId="73" xfId="2769" applyFont="1" applyFill="1" applyBorder="1" applyAlignment="1">
      <alignment horizontal="center" vertical="center" wrapText="1"/>
    </xf>
    <xf numFmtId="0" fontId="100" fillId="43" borderId="66" xfId="2769" applyFont="1" applyFill="1" applyBorder="1" applyAlignment="1">
      <alignment horizontal="center" vertical="center" wrapText="1"/>
    </xf>
    <xf numFmtId="0" fontId="27" fillId="0" borderId="74" xfId="2781" applyFont="1" applyBorder="1" applyAlignment="1">
      <alignment vertical="center"/>
    </xf>
    <xf numFmtId="0" fontId="27" fillId="0" borderId="0" xfId="2781" applyFont="1" applyAlignment="1">
      <alignment vertical="center"/>
    </xf>
    <xf numFmtId="0" fontId="27" fillId="0" borderId="0" xfId="2781" applyFont="1" applyAlignment="1">
      <alignment horizontal="centerContinuous" vertical="center"/>
    </xf>
    <xf numFmtId="201" fontId="27" fillId="0" borderId="70" xfId="2772" applyNumberFormat="1" applyFont="1" applyFill="1" applyBorder="1" applyAlignment="1">
      <alignment horizontal="center" vertical="center"/>
    </xf>
    <xf numFmtId="201" fontId="21" fillId="0" borderId="70" xfId="2772" applyNumberFormat="1" applyFont="1" applyFill="1" applyBorder="1" applyAlignment="1">
      <alignment horizontal="center" vertical="center"/>
    </xf>
    <xf numFmtId="2" fontId="101" fillId="0" borderId="74" xfId="2781" applyNumberFormat="1" applyFont="1" applyBorder="1" applyAlignment="1">
      <alignment horizontal="center" vertical="center"/>
    </xf>
    <xf numFmtId="0" fontId="101" fillId="0" borderId="0" xfId="2782" applyFont="1" applyAlignment="1">
      <alignment horizontal="left" vertical="center"/>
    </xf>
    <xf numFmtId="0" fontId="101" fillId="0" borderId="0" xfId="2781" applyFont="1" applyAlignment="1">
      <alignment horizontal="left" vertical="center"/>
    </xf>
    <xf numFmtId="4" fontId="101" fillId="0" borderId="75" xfId="2772" applyNumberFormat="1" applyFont="1" applyFill="1" applyBorder="1" applyAlignment="1">
      <alignment horizontal="center" vertical="center"/>
    </xf>
    <xf numFmtId="165" fontId="102" fillId="0" borderId="75" xfId="2773" applyFont="1" applyFill="1" applyBorder="1" applyAlignment="1">
      <alignment horizontal="center" vertical="center"/>
    </xf>
    <xf numFmtId="165" fontId="102" fillId="0" borderId="75" xfId="2773" applyFont="1" applyBorder="1" applyAlignment="1">
      <alignment horizontal="center" vertical="center"/>
    </xf>
    <xf numFmtId="0" fontId="103" fillId="0" borderId="0" xfId="2781" applyFont="1" applyAlignment="1">
      <alignment vertical="center"/>
    </xf>
    <xf numFmtId="0" fontId="101" fillId="0" borderId="0" xfId="2781" applyFont="1" applyAlignment="1">
      <alignment vertical="center"/>
    </xf>
    <xf numFmtId="4" fontId="101" fillId="0" borderId="73" xfId="2772" applyNumberFormat="1" applyFont="1" applyFill="1" applyBorder="1" applyAlignment="1">
      <alignment horizontal="center" vertical="center"/>
    </xf>
    <xf numFmtId="2" fontId="101" fillId="0" borderId="49" xfId="2781" applyNumberFormat="1" applyFont="1" applyBorder="1" applyAlignment="1">
      <alignment horizontal="center" vertical="center"/>
    </xf>
    <xf numFmtId="0" fontId="40" fillId="0" borderId="76" xfId="2781" applyFont="1" applyBorder="1" applyAlignment="1">
      <alignment vertical="center"/>
    </xf>
    <xf numFmtId="0" fontId="92" fillId="0" borderId="4" xfId="2781" applyFont="1" applyBorder="1" applyAlignment="1">
      <alignment vertical="center"/>
    </xf>
    <xf numFmtId="4" fontId="92" fillId="0" borderId="77" xfId="2768" quotePrefix="1" applyNumberFormat="1" applyFont="1" applyBorder="1" applyAlignment="1">
      <alignment horizontal="center" vertical="center"/>
    </xf>
    <xf numFmtId="165" fontId="87" fillId="0" borderId="77" xfId="2773" quotePrefix="1" applyFont="1" applyFill="1" applyBorder="1" applyAlignment="1">
      <alignment horizontal="center" vertical="center"/>
    </xf>
    <xf numFmtId="2" fontId="101" fillId="0" borderId="78" xfId="2781" applyNumberFormat="1" applyFont="1" applyBorder="1" applyAlignment="1">
      <alignment horizontal="center" vertical="center"/>
    </xf>
    <xf numFmtId="0" fontId="40" fillId="0" borderId="44" xfId="2781" applyFont="1" applyBorder="1" applyAlignment="1">
      <alignment vertical="center"/>
    </xf>
    <xf numFmtId="0" fontId="92" fillId="0" borderId="44" xfId="2781" applyFont="1" applyBorder="1" applyAlignment="1">
      <alignment vertical="center"/>
    </xf>
    <xf numFmtId="0" fontId="92" fillId="0" borderId="45" xfId="2781" applyFont="1" applyBorder="1" applyAlignment="1">
      <alignment vertical="center"/>
    </xf>
    <xf numFmtId="0" fontId="101" fillId="0" borderId="74" xfId="2781" applyFont="1" applyBorder="1" applyAlignment="1">
      <alignment horizontal="center" vertical="center"/>
    </xf>
    <xf numFmtId="10" fontId="101" fillId="0" borderId="47" xfId="2772" applyNumberFormat="1" applyFont="1" applyFill="1" applyBorder="1" applyAlignment="1">
      <alignment horizontal="right" vertical="center"/>
    </xf>
    <xf numFmtId="10" fontId="101" fillId="0" borderId="66" xfId="2772" applyNumberFormat="1" applyFont="1" applyFill="1" applyBorder="1" applyAlignment="1">
      <alignment horizontal="right" vertical="center"/>
    </xf>
    <xf numFmtId="0" fontId="101" fillId="0" borderId="78" xfId="2781" applyFont="1" applyBorder="1" applyAlignment="1">
      <alignment horizontal="center" vertical="center"/>
    </xf>
    <xf numFmtId="0" fontId="40" fillId="0" borderId="44" xfId="2782" applyFont="1" applyBorder="1" applyAlignment="1">
      <alignment horizontal="left" vertical="center"/>
    </xf>
    <xf numFmtId="4" fontId="92" fillId="0" borderId="70" xfId="2782" applyNumberFormat="1" applyFont="1" applyBorder="1" applyAlignment="1">
      <alignment horizontal="center" vertical="center"/>
    </xf>
    <xf numFmtId="165" fontId="87" fillId="0" borderId="70" xfId="2773" applyFont="1" applyFill="1" applyBorder="1" applyAlignment="1">
      <alignment horizontal="center" vertical="center"/>
    </xf>
    <xf numFmtId="0" fontId="40" fillId="0" borderId="0" xfId="2781" applyFont="1" applyAlignment="1">
      <alignment vertical="center"/>
    </xf>
    <xf numFmtId="0" fontId="92" fillId="0" borderId="0" xfId="2781" applyFont="1" applyAlignment="1">
      <alignment vertical="center"/>
    </xf>
    <xf numFmtId="4" fontId="92" fillId="0" borderId="75" xfId="2782" applyNumberFormat="1" applyFont="1" applyBorder="1" applyAlignment="1">
      <alignment horizontal="center" vertical="center"/>
    </xf>
    <xf numFmtId="165" fontId="87" fillId="0" borderId="75" xfId="2773" applyFont="1" applyFill="1" applyBorder="1" applyAlignment="1">
      <alignment horizontal="center" vertical="center"/>
    </xf>
    <xf numFmtId="0" fontId="27" fillId="0" borderId="60" xfId="2781" applyFont="1" applyBorder="1" applyAlignment="1">
      <alignment horizontal="center" vertical="center"/>
    </xf>
    <xf numFmtId="0" fontId="40" fillId="0" borderId="79" xfId="2781" applyFont="1" applyBorder="1" applyAlignment="1">
      <alignment vertical="center"/>
    </xf>
    <xf numFmtId="0" fontId="40" fillId="0" borderId="65" xfId="2781" applyFont="1" applyBorder="1" applyAlignment="1">
      <alignment vertical="center"/>
    </xf>
    <xf numFmtId="0" fontId="40" fillId="0" borderId="65" xfId="2782" applyFont="1" applyBorder="1" applyAlignment="1">
      <alignment horizontal="left" vertical="center"/>
    </xf>
    <xf numFmtId="0" fontId="21" fillId="0" borderId="73" xfId="2781" applyFont="1" applyBorder="1" applyAlignment="1">
      <alignment vertical="center"/>
    </xf>
    <xf numFmtId="165" fontId="21" fillId="0" borderId="73" xfId="2773" applyFont="1" applyFill="1" applyBorder="1" applyAlignment="1">
      <alignment vertical="center"/>
    </xf>
    <xf numFmtId="0" fontId="28" fillId="0" borderId="44" xfId="2783" applyBorder="1" applyAlignment="1">
      <alignment vertical="center"/>
    </xf>
    <xf numFmtId="0" fontId="28" fillId="0" borderId="0" xfId="2783" applyAlignment="1">
      <alignment vertical="center"/>
    </xf>
    <xf numFmtId="0" fontId="21" fillId="0" borderId="0" xfId="1940">
      <alignment vertical="top"/>
    </xf>
    <xf numFmtId="165" fontId="101" fillId="0" borderId="0" xfId="1940" applyNumberFormat="1" applyFont="1" applyAlignment="1"/>
    <xf numFmtId="3" fontId="104" fillId="0" borderId="0" xfId="2767" applyNumberFormat="1" applyFont="1" applyAlignment="1">
      <alignment horizontal="center" vertical="center"/>
    </xf>
    <xf numFmtId="0" fontId="105" fillId="0" borderId="0" xfId="1603" applyFont="1" applyAlignment="1">
      <alignment vertical="center"/>
    </xf>
    <xf numFmtId="0" fontId="73" fillId="0" borderId="0" xfId="1603" applyFont="1" applyAlignment="1">
      <alignment horizontal="left" vertical="center"/>
    </xf>
    <xf numFmtId="0" fontId="74" fillId="0" borderId="0" xfId="1603" applyFont="1" applyAlignment="1">
      <alignment horizontal="left" vertical="center"/>
    </xf>
    <xf numFmtId="0" fontId="98" fillId="43" borderId="7" xfId="2775" applyNumberFormat="1" applyFont="1" applyFill="1" applyBorder="1" applyAlignment="1">
      <alignment horizontal="center" vertical="center" wrapText="1"/>
    </xf>
    <xf numFmtId="0" fontId="67" fillId="37" borderId="7" xfId="2148" applyFont="1" applyFill="1" applyBorder="1" applyAlignment="1">
      <alignment horizontal="center" vertical="center"/>
    </xf>
    <xf numFmtId="165" fontId="67" fillId="37" borderId="7" xfId="2148" applyNumberFormat="1" applyFont="1" applyFill="1" applyBorder="1" applyAlignment="1">
      <alignment horizontal="center" vertical="center" wrapText="1"/>
    </xf>
    <xf numFmtId="0" fontId="21" fillId="0" borderId="0" xfId="1962" applyAlignment="1">
      <alignment vertical="top"/>
    </xf>
    <xf numFmtId="0" fontId="106" fillId="0" borderId="0" xfId="1962" applyFont="1" applyAlignment="1">
      <alignment horizontal="left" vertical="center"/>
    </xf>
    <xf numFmtId="0" fontId="109" fillId="0" borderId="0" xfId="1962" applyFont="1" applyAlignment="1">
      <alignment horizontal="left" vertical="center"/>
    </xf>
    <xf numFmtId="0" fontId="21" fillId="0" borderId="24" xfId="1940" applyBorder="1" applyAlignment="1">
      <alignment horizontal="center" vertical="center"/>
    </xf>
    <xf numFmtId="203" fontId="91" fillId="0" borderId="0" xfId="1962" applyNumberFormat="1" applyFont="1" applyAlignment="1">
      <alignment horizontal="center"/>
    </xf>
    <xf numFmtId="203" fontId="91" fillId="0" borderId="0" xfId="0" applyNumberFormat="1" applyFont="1">
      <alignment vertical="top"/>
    </xf>
    <xf numFmtId="203" fontId="91" fillId="0" borderId="0" xfId="1940" applyNumberFormat="1" applyFont="1" applyAlignment="1">
      <alignment horizontal="center" vertical="center"/>
    </xf>
    <xf numFmtId="203" fontId="91" fillId="0" borderId="0" xfId="0" applyNumberFormat="1" applyFont="1" applyAlignment="1"/>
    <xf numFmtId="0" fontId="67" fillId="0" borderId="80" xfId="1962" applyFont="1" applyBorder="1" applyAlignment="1">
      <alignment vertical="center"/>
    </xf>
    <xf numFmtId="0" fontId="107" fillId="43" borderId="7" xfId="1603" applyFont="1" applyFill="1" applyBorder="1" applyAlignment="1">
      <alignment vertical="center"/>
    </xf>
    <xf numFmtId="0" fontId="87" fillId="43" borderId="7" xfId="2244" applyFont="1" applyFill="1" applyBorder="1" applyAlignment="1">
      <alignment vertical="center"/>
    </xf>
    <xf numFmtId="0" fontId="21" fillId="0" borderId="34" xfId="1940" applyBorder="1" applyAlignment="1"/>
    <xf numFmtId="0" fontId="21" fillId="0" borderId="22" xfId="1940" applyBorder="1" applyAlignment="1"/>
    <xf numFmtId="0" fontId="21" fillId="0" borderId="19" xfId="1940" applyBorder="1" applyAlignment="1"/>
    <xf numFmtId="0" fontId="21" fillId="0" borderId="30" xfId="1940" applyBorder="1" applyAlignment="1"/>
    <xf numFmtId="0" fontId="67" fillId="0" borderId="17" xfId="1940" applyFont="1" applyBorder="1" applyAlignment="1"/>
    <xf numFmtId="0" fontId="21" fillId="0" borderId="17" xfId="1940" applyBorder="1" applyAlignment="1"/>
    <xf numFmtId="0" fontId="21" fillId="0" borderId="24" xfId="1962" applyBorder="1" applyAlignment="1">
      <alignment vertical="center"/>
    </xf>
    <xf numFmtId="164" fontId="67" fillId="0" borderId="81" xfId="1940" applyNumberFormat="1" applyFont="1" applyBorder="1" applyAlignment="1">
      <alignment vertical="center"/>
    </xf>
    <xf numFmtId="0" fontId="85" fillId="0" borderId="67" xfId="1940" applyFont="1" applyBorder="1">
      <alignment vertical="top"/>
    </xf>
    <xf numFmtId="0" fontId="85" fillId="0" borderId="68" xfId="1940" applyFont="1" applyBorder="1">
      <alignment vertical="top"/>
    </xf>
    <xf numFmtId="0" fontId="62" fillId="0" borderId="27" xfId="1962" applyFont="1" applyBorder="1" applyAlignment="1">
      <alignment horizontal="center" vertical="center"/>
    </xf>
    <xf numFmtId="0" fontId="62" fillId="0" borderId="28" xfId="1962" applyFont="1" applyBorder="1" applyAlignment="1">
      <alignment horizontal="center" vertical="center" wrapText="1"/>
    </xf>
    <xf numFmtId="0" fontId="21" fillId="0" borderId="24" xfId="1962" applyBorder="1" applyAlignment="1">
      <alignment horizontal="center" vertical="center"/>
    </xf>
    <xf numFmtId="164" fontId="21" fillId="0" borderId="24" xfId="1940" applyNumberFormat="1" applyBorder="1" applyAlignment="1">
      <alignment horizontal="center" vertical="center"/>
    </xf>
    <xf numFmtId="0" fontId="63" fillId="0" borderId="7" xfId="1962" applyFont="1" applyBorder="1" applyAlignment="1">
      <alignment horizontal="centerContinuous" vertical="center"/>
    </xf>
    <xf numFmtId="0" fontId="62" fillId="0" borderId="27" xfId="1962" applyFont="1" applyBorder="1" applyAlignment="1">
      <alignment horizontal="center" vertical="top"/>
    </xf>
    <xf numFmtId="0" fontId="21" fillId="0" borderId="21" xfId="1940" applyBorder="1">
      <alignment vertical="top"/>
    </xf>
    <xf numFmtId="0" fontId="63" fillId="0" borderId="5" xfId="1962" applyFont="1" applyBorder="1" applyAlignment="1">
      <alignment horizontal="centerContinuous" vertical="center"/>
    </xf>
    <xf numFmtId="0" fontId="63" fillId="0" borderId="38" xfId="1962" applyFont="1" applyBorder="1" applyAlignment="1">
      <alignment horizontal="centerContinuous" vertical="center"/>
    </xf>
    <xf numFmtId="0" fontId="73" fillId="0" borderId="0" xfId="2148" applyFont="1" applyAlignment="1">
      <alignment vertical="center"/>
    </xf>
    <xf numFmtId="0" fontId="21" fillId="0" borderId="24" xfId="1940" applyBorder="1" applyAlignment="1">
      <alignment horizontal="center"/>
    </xf>
    <xf numFmtId="0" fontId="47" fillId="0" borderId="82" xfId="1962" applyFont="1" applyBorder="1" applyAlignment="1">
      <alignment horizontal="center" vertical="center"/>
    </xf>
    <xf numFmtId="0" fontId="62" fillId="0" borderId="84" xfId="1962" applyFont="1" applyBorder="1" applyAlignment="1">
      <alignment horizontal="center" vertical="center" wrapText="1"/>
    </xf>
    <xf numFmtId="0" fontId="62" fillId="0" borderId="24" xfId="1962" applyFont="1" applyBorder="1" applyAlignment="1">
      <alignment horizontal="center" vertical="center"/>
    </xf>
    <xf numFmtId="165" fontId="92" fillId="43" borderId="34" xfId="1940" applyNumberFormat="1" applyFont="1" applyFill="1" applyBorder="1" applyAlignment="1">
      <alignment horizontal="center" vertical="center" textRotation="90" wrapText="1"/>
    </xf>
    <xf numFmtId="165" fontId="92" fillId="43" borderId="30" xfId="1940" applyNumberFormat="1" applyFont="1" applyFill="1" applyBorder="1" applyAlignment="1">
      <alignment horizontal="center" vertical="center" textRotation="90" wrapText="1"/>
    </xf>
    <xf numFmtId="165" fontId="92" fillId="43" borderId="23" xfId="1940" applyNumberFormat="1" applyFont="1" applyFill="1" applyBorder="1" applyAlignment="1">
      <alignment horizontal="center" vertical="center" textRotation="90" wrapText="1"/>
    </xf>
    <xf numFmtId="4" fontId="104" fillId="0" borderId="0" xfId="2767" applyNumberFormat="1" applyFont="1" applyAlignment="1">
      <alignment horizontal="centerContinuous" vertical="center"/>
    </xf>
    <xf numFmtId="0" fontId="108" fillId="43" borderId="35" xfId="1603" applyFont="1" applyFill="1" applyBorder="1" applyAlignment="1">
      <alignment horizontal="centerContinuous" vertical="center"/>
    </xf>
    <xf numFmtId="0" fontId="108" fillId="43" borderId="5" xfId="1603" applyFont="1" applyFill="1" applyBorder="1" applyAlignment="1">
      <alignment horizontal="centerContinuous" vertical="center"/>
    </xf>
    <xf numFmtId="0" fontId="111" fillId="30" borderId="7" xfId="2148" applyFont="1" applyFill="1" applyBorder="1" applyAlignment="1">
      <alignment horizontal="center" vertical="center"/>
    </xf>
    <xf numFmtId="10" fontId="101" fillId="0" borderId="0" xfId="2781" applyNumberFormat="1" applyFont="1" applyAlignment="1">
      <alignment vertical="center"/>
    </xf>
    <xf numFmtId="0" fontId="89" fillId="0" borderId="16" xfId="1940" applyFont="1" applyBorder="1" applyAlignment="1">
      <alignment vertical="center" wrapText="1"/>
    </xf>
    <xf numFmtId="0" fontId="89" fillId="0" borderId="15" xfId="1940" applyFont="1" applyBorder="1" applyAlignment="1">
      <alignment vertical="center" wrapText="1"/>
    </xf>
    <xf numFmtId="0" fontId="62" fillId="0" borderId="5" xfId="1962" quotePrefix="1" applyFont="1" applyBorder="1" applyAlignment="1">
      <alignment vertical="center"/>
    </xf>
    <xf numFmtId="164" fontId="62" fillId="0" borderId="15" xfId="1962" applyNumberFormat="1" applyFont="1" applyBorder="1" applyAlignment="1">
      <alignment vertical="center" wrapText="1"/>
    </xf>
    <xf numFmtId="0" fontId="21" fillId="0" borderId="21" xfId="1962" applyBorder="1" applyAlignment="1">
      <alignment vertical="center"/>
    </xf>
    <xf numFmtId="0" fontId="21" fillId="0" borderId="5" xfId="1940" applyBorder="1">
      <alignment vertical="top"/>
    </xf>
    <xf numFmtId="0" fontId="67" fillId="0" borderId="24" xfId="1962" applyFont="1" applyBorder="1" applyAlignment="1">
      <alignment horizontal="center" vertical="center"/>
    </xf>
    <xf numFmtId="0" fontId="63" fillId="0" borderId="35" xfId="1962" applyFont="1" applyBorder="1" applyAlignment="1">
      <alignment horizontal="center" vertical="center"/>
    </xf>
    <xf numFmtId="0" fontId="63" fillId="0" borderId="22" xfId="1962" applyFont="1" applyBorder="1" applyAlignment="1">
      <alignment horizontal="centerContinuous" vertical="center"/>
    </xf>
    <xf numFmtId="0" fontId="63" fillId="0" borderId="21" xfId="1962" applyFont="1" applyBorder="1" applyAlignment="1">
      <alignment horizontal="centerContinuous" vertical="center"/>
    </xf>
    <xf numFmtId="0" fontId="63" fillId="0" borderId="19" xfId="1962" applyFont="1" applyBorder="1" applyAlignment="1">
      <alignment horizontal="centerContinuous" vertical="center"/>
    </xf>
    <xf numFmtId="0" fontId="62" fillId="0" borderId="37" xfId="1962" applyFont="1" applyBorder="1" applyAlignment="1">
      <alignment horizontal="center" vertical="center" wrapText="1"/>
    </xf>
    <xf numFmtId="0" fontId="62" fillId="0" borderId="83" xfId="1962" applyFont="1" applyBorder="1" applyAlignment="1">
      <alignment horizontal="center" vertical="center"/>
    </xf>
    <xf numFmtId="0" fontId="62" fillId="0" borderId="36" xfId="1962" applyFont="1" applyBorder="1" applyAlignment="1">
      <alignment horizontal="center" vertical="center" wrapText="1"/>
    </xf>
    <xf numFmtId="0" fontId="74" fillId="40" borderId="7" xfId="2148" applyFont="1" applyFill="1" applyBorder="1" applyAlignment="1">
      <alignment horizontal="center" vertical="center"/>
    </xf>
    <xf numFmtId="0" fontId="74" fillId="0" borderId="0" xfId="2148" applyFont="1" applyAlignment="1">
      <alignment vertical="center"/>
    </xf>
    <xf numFmtId="0" fontId="74" fillId="0" borderId="55" xfId="2148" applyFont="1" applyBorder="1" applyAlignment="1">
      <alignment horizontal="center" vertical="center"/>
    </xf>
    <xf numFmtId="0" fontId="74" fillId="0" borderId="85" xfId="2148" applyFont="1" applyBorder="1" applyAlignment="1">
      <alignment horizontal="centerContinuous" vertical="center"/>
    </xf>
    <xf numFmtId="0" fontId="74" fillId="0" borderId="86" xfId="2148" applyFont="1" applyBorder="1" applyAlignment="1">
      <alignment horizontal="centerContinuous" vertical="center"/>
    </xf>
    <xf numFmtId="0" fontId="74" fillId="0" borderId="87" xfId="2148" applyFont="1" applyBorder="1" applyAlignment="1">
      <alignment horizontal="centerContinuous" vertical="center"/>
    </xf>
    <xf numFmtId="0" fontId="74" fillId="0" borderId="35" xfId="2148" applyFont="1" applyBorder="1" applyAlignment="1">
      <alignment horizontal="centerContinuous" vertical="center"/>
    </xf>
    <xf numFmtId="0" fontId="74" fillId="0" borderId="5" xfId="2148" applyFont="1" applyBorder="1" applyAlignment="1">
      <alignment horizontal="centerContinuous" vertical="center"/>
    </xf>
    <xf numFmtId="0" fontId="74" fillId="0" borderId="38" xfId="2148" applyFont="1" applyBorder="1" applyAlignment="1">
      <alignment horizontal="centerContinuous" vertical="center"/>
    </xf>
    <xf numFmtId="0" fontId="73" fillId="0" borderId="34" xfId="2148" applyFont="1" applyBorder="1" applyAlignment="1">
      <alignment horizontal="center" vertical="top"/>
    </xf>
    <xf numFmtId="0" fontId="73" fillId="39" borderId="23" xfId="2148" applyFont="1" applyFill="1" applyBorder="1" applyAlignment="1">
      <alignment horizontal="center" vertical="center"/>
    </xf>
    <xf numFmtId="0" fontId="73" fillId="0" borderId="23" xfId="2148" applyFont="1" applyBorder="1" applyAlignment="1">
      <alignment horizontal="center" vertical="center"/>
    </xf>
    <xf numFmtId="165" fontId="21" fillId="0" borderId="18" xfId="1602" applyNumberFormat="1" applyBorder="1" applyAlignment="1">
      <alignment horizontal="center"/>
    </xf>
    <xf numFmtId="0" fontId="21" fillId="0" borderId="80" xfId="1940" applyBorder="1" applyAlignment="1">
      <alignment horizontal="center" vertical="center"/>
    </xf>
    <xf numFmtId="0" fontId="74" fillId="30" borderId="35" xfId="2148" applyFont="1" applyFill="1" applyBorder="1">
      <alignment vertical="top"/>
    </xf>
    <xf numFmtId="0" fontId="111" fillId="30" borderId="38" xfId="2148" applyFont="1" applyFill="1" applyBorder="1">
      <alignment vertical="top"/>
    </xf>
    <xf numFmtId="0" fontId="74" fillId="30" borderId="0" xfId="2148" applyFont="1" applyFill="1" applyAlignment="1">
      <alignment horizontal="left" vertical="center"/>
    </xf>
    <xf numFmtId="0" fontId="74" fillId="30" borderId="0" xfId="2148" applyFont="1" applyFill="1" applyAlignment="1">
      <alignment horizontal="center" vertical="center"/>
    </xf>
    <xf numFmtId="0" fontId="111" fillId="30" borderId="38" xfId="2148" applyFont="1" applyFill="1" applyBorder="1" applyAlignment="1">
      <alignment horizontal="center" vertical="center"/>
    </xf>
    <xf numFmtId="165" fontId="73" fillId="0" borderId="0" xfId="2148" applyNumberFormat="1" applyFont="1">
      <alignment vertical="top"/>
    </xf>
    <xf numFmtId="0" fontId="63" fillId="39" borderId="24" xfId="1962" applyFont="1" applyFill="1" applyBorder="1" applyAlignment="1">
      <alignment horizontal="centerContinuous" vertical="center"/>
    </xf>
    <xf numFmtId="164" fontId="62" fillId="0" borderId="24" xfId="0" applyNumberFormat="1" applyFont="1" applyBorder="1">
      <alignment vertical="top"/>
    </xf>
    <xf numFmtId="0" fontId="62" fillId="0" borderId="24" xfId="1962" applyFont="1" applyBorder="1" applyAlignment="1">
      <alignment horizontal="left" vertical="center"/>
    </xf>
    <xf numFmtId="0" fontId="62" fillId="0" borderId="24" xfId="1962" applyFont="1" applyBorder="1" applyAlignment="1">
      <alignment horizontal="center" vertical="center" wrapText="1"/>
    </xf>
    <xf numFmtId="164" fontId="62" fillId="0" borderId="24" xfId="0" applyNumberFormat="1" applyFont="1" applyBorder="1" applyAlignment="1">
      <alignment horizontal="center"/>
    </xf>
    <xf numFmtId="0" fontId="62" fillId="0" borderId="0" xfId="0" applyFont="1">
      <alignment vertical="top"/>
    </xf>
    <xf numFmtId="164" fontId="62" fillId="0" borderId="24" xfId="0" applyNumberFormat="1" applyFont="1" applyBorder="1" applyAlignment="1">
      <alignment horizontal="center" vertical="center"/>
    </xf>
    <xf numFmtId="0" fontId="62" fillId="0" borderId="3" xfId="1962" applyFont="1" applyBorder="1" applyAlignment="1">
      <alignment horizontal="center" vertical="center"/>
    </xf>
    <xf numFmtId="0" fontId="62" fillId="0" borderId="88" xfId="1962" applyFont="1" applyBorder="1" applyAlignment="1">
      <alignment horizontal="center" vertical="center"/>
    </xf>
    <xf numFmtId="0" fontId="62" fillId="0" borderId="89" xfId="1962" applyFont="1" applyBorder="1" applyAlignment="1">
      <alignment horizontal="center" vertical="center"/>
    </xf>
    <xf numFmtId="164" fontId="62" fillId="0" borderId="0" xfId="0" applyNumberFormat="1" applyFont="1">
      <alignment vertical="top"/>
    </xf>
    <xf numFmtId="0" fontId="62" fillId="0" borderId="80" xfId="1962" applyFont="1" applyBorder="1" applyAlignment="1">
      <alignment vertical="center"/>
    </xf>
    <xf numFmtId="0" fontId="62" fillId="0" borderId="0" xfId="1940" applyFont="1">
      <alignment vertical="top"/>
    </xf>
    <xf numFmtId="165" fontId="62" fillId="0" borderId="88" xfId="1962" applyNumberFormat="1" applyFont="1" applyBorder="1" applyAlignment="1">
      <alignment vertical="center"/>
    </xf>
    <xf numFmtId="0" fontId="21" fillId="0" borderId="24" xfId="1940" quotePrefix="1" applyBorder="1" applyAlignment="1">
      <alignment horizontal="center"/>
    </xf>
    <xf numFmtId="0" fontId="21" fillId="0" borderId="34" xfId="123" applyFont="1" applyBorder="1" applyAlignment="1">
      <alignment vertical="center"/>
    </xf>
    <xf numFmtId="0" fontId="62" fillId="0" borderId="33" xfId="1962" applyFont="1" applyBorder="1" applyAlignment="1">
      <alignment horizontal="center" vertical="center" wrapText="1"/>
    </xf>
    <xf numFmtId="0" fontId="62" fillId="0" borderId="31" xfId="1962" applyFont="1" applyBorder="1" applyAlignment="1">
      <alignment horizontal="center" vertical="center" wrapText="1"/>
    </xf>
    <xf numFmtId="0" fontId="62" fillId="0" borderId="25" xfId="1962" applyFont="1" applyBorder="1" applyAlignment="1">
      <alignment horizontal="center" vertical="center" wrapText="1"/>
    </xf>
    <xf numFmtId="0" fontId="62" fillId="0" borderId="20" xfId="1962" applyFont="1" applyBorder="1" applyAlignment="1">
      <alignment horizontal="center" vertical="center"/>
    </xf>
    <xf numFmtId="0" fontId="62" fillId="0" borderId="32" xfId="1962" applyFont="1" applyBorder="1" applyAlignment="1">
      <alignment horizontal="center" vertical="center" wrapText="1"/>
    </xf>
    <xf numFmtId="0" fontId="62" fillId="0" borderId="29" xfId="1962" applyFont="1" applyBorder="1" applyAlignment="1">
      <alignment horizontal="center" vertical="center" wrapText="1"/>
    </xf>
    <xf numFmtId="0" fontId="62" fillId="0" borderId="20" xfId="1962" applyFont="1" applyBorder="1" applyAlignment="1">
      <alignment horizontal="center" vertical="center" wrapText="1"/>
    </xf>
    <xf numFmtId="0" fontId="62" fillId="0" borderId="26" xfId="1962" applyFont="1" applyBorder="1" applyAlignment="1">
      <alignment horizontal="center" vertical="center" wrapText="1"/>
    </xf>
    <xf numFmtId="0" fontId="67" fillId="24" borderId="7" xfId="2769" applyFont="1" applyFill="1" applyBorder="1" applyAlignment="1" applyProtection="1">
      <alignment horizontal="center" vertical="center" wrapText="1"/>
      <protection locked="0"/>
    </xf>
    <xf numFmtId="43" fontId="67" fillId="24" borderId="7" xfId="2020" applyNumberFormat="1" applyFont="1" applyFill="1" applyBorder="1" applyAlignment="1">
      <alignment horizontal="center" vertical="center" wrapText="1"/>
    </xf>
    <xf numFmtId="0" fontId="67" fillId="24" borderId="35" xfId="0" applyFont="1" applyFill="1" applyBorder="1" applyAlignment="1" applyProtection="1">
      <alignment vertical="center" wrapText="1"/>
      <protection locked="0"/>
    </xf>
    <xf numFmtId="0" fontId="67" fillId="24" borderId="5" xfId="0" applyFont="1" applyFill="1" applyBorder="1" applyAlignment="1" applyProtection="1">
      <alignment vertical="center"/>
      <protection locked="0"/>
    </xf>
    <xf numFmtId="0" fontId="67" fillId="24" borderId="5" xfId="0" applyFont="1" applyFill="1" applyBorder="1" applyAlignment="1" applyProtection="1">
      <alignment vertical="center" wrapText="1"/>
      <protection locked="0"/>
    </xf>
    <xf numFmtId="0" fontId="67" fillId="24" borderId="38" xfId="0" applyFont="1" applyFill="1" applyBorder="1" applyAlignment="1" applyProtection="1">
      <alignment vertical="center" wrapText="1"/>
      <protection locked="0"/>
    </xf>
    <xf numFmtId="0" fontId="67" fillId="0" borderId="7" xfId="0" applyFont="1" applyBorder="1" applyAlignment="1">
      <alignment horizontal="center" vertical="center"/>
    </xf>
    <xf numFmtId="2" fontId="67" fillId="0" borderId="24" xfId="2190" applyNumberFormat="1" applyFont="1" applyFill="1" applyBorder="1" applyAlignment="1">
      <alignment horizontal="center" vertical="center"/>
    </xf>
    <xf numFmtId="2" fontId="95" fillId="0" borderId="24" xfId="2190" applyNumberFormat="1" applyFont="1" applyFill="1" applyBorder="1" applyAlignment="1">
      <alignment horizontal="center" vertical="center"/>
    </xf>
    <xf numFmtId="2" fontId="67" fillId="0" borderId="93" xfId="2190" applyNumberFormat="1" applyFont="1" applyFill="1" applyBorder="1" applyAlignment="1">
      <alignment horizontal="center" vertical="center"/>
    </xf>
    <xf numFmtId="2" fontId="21" fillId="0" borderId="24" xfId="2190" applyNumberFormat="1" applyFont="1" applyFill="1" applyBorder="1" applyAlignment="1">
      <alignment horizontal="center" vertical="center"/>
    </xf>
    <xf numFmtId="2" fontId="21" fillId="0" borderId="93" xfId="2190" applyNumberFormat="1" applyFont="1" applyFill="1" applyBorder="1" applyAlignment="1">
      <alignment horizontal="center" vertical="center"/>
    </xf>
    <xf numFmtId="2" fontId="21" fillId="0" borderId="24" xfId="1940" applyNumberFormat="1" applyBorder="1" applyAlignment="1"/>
    <xf numFmtId="2" fontId="95" fillId="0" borderId="93" xfId="2190" applyNumberFormat="1" applyFont="1" applyFill="1" applyBorder="1" applyAlignment="1">
      <alignment horizontal="center" vertical="center"/>
    </xf>
    <xf numFmtId="2" fontId="67" fillId="0" borderId="24" xfId="1940" applyNumberFormat="1" applyFont="1" applyBorder="1" applyAlignment="1"/>
    <xf numFmtId="2" fontId="67" fillId="0" borderId="93" xfId="1940" applyNumberFormat="1" applyFont="1" applyBorder="1" applyAlignment="1"/>
    <xf numFmtId="2" fontId="21" fillId="0" borderId="93" xfId="1940" applyNumberFormat="1" applyBorder="1" applyAlignment="1"/>
    <xf numFmtId="0" fontId="95" fillId="47" borderId="7" xfId="0" quotePrefix="1" applyFont="1" applyFill="1" applyBorder="1" applyAlignment="1">
      <alignment horizontal="center" vertical="center"/>
    </xf>
    <xf numFmtId="2" fontId="67" fillId="0" borderId="69" xfId="2190" applyNumberFormat="1" applyFont="1" applyFill="1" applyBorder="1" applyAlignment="1">
      <alignment horizontal="center" vertical="center"/>
    </xf>
    <xf numFmtId="2" fontId="67" fillId="0" borderId="96" xfId="2190" applyNumberFormat="1" applyFont="1" applyFill="1" applyBorder="1" applyAlignment="1">
      <alignment horizontal="center" vertical="center"/>
    </xf>
    <xf numFmtId="0" fontId="67" fillId="0" borderId="90" xfId="1940" applyFont="1" applyBorder="1" applyAlignment="1"/>
    <xf numFmtId="0" fontId="67" fillId="0" borderId="91" xfId="1940" applyFont="1" applyBorder="1" applyAlignment="1"/>
    <xf numFmtId="0" fontId="67" fillId="0" borderId="92" xfId="1940" applyFont="1" applyBorder="1" applyAlignment="1"/>
    <xf numFmtId="0" fontId="62" fillId="0" borderId="15" xfId="1962" applyFont="1" applyBorder="1" applyAlignment="1">
      <alignment vertical="center"/>
    </xf>
    <xf numFmtId="0" fontId="21" fillId="0" borderId="19" xfId="1940" applyBorder="1">
      <alignment vertical="top"/>
    </xf>
    <xf numFmtId="0" fontId="21" fillId="0" borderId="17" xfId="1940" applyBorder="1">
      <alignment vertical="top"/>
    </xf>
    <xf numFmtId="0" fontId="21" fillId="0" borderId="38" xfId="1940" applyBorder="1">
      <alignment vertical="top"/>
    </xf>
    <xf numFmtId="17" fontId="62" fillId="0" borderId="5" xfId="1962" quotePrefix="1" applyNumberFormat="1" applyFont="1" applyBorder="1" applyAlignment="1">
      <alignment vertical="center"/>
    </xf>
    <xf numFmtId="0" fontId="21" fillId="0" borderId="0" xfId="1940" applyAlignment="1">
      <alignment vertical="center"/>
    </xf>
    <xf numFmtId="0" fontId="74" fillId="39" borderId="35" xfId="2148" applyFont="1" applyFill="1" applyBorder="1" applyAlignment="1">
      <alignment horizontal="centerContinuous" vertical="top"/>
    </xf>
    <xf numFmtId="0" fontId="74" fillId="39" borderId="5" xfId="2148" applyFont="1" applyFill="1" applyBorder="1" applyAlignment="1">
      <alignment horizontal="centerContinuous" vertical="top"/>
    </xf>
    <xf numFmtId="0" fontId="74" fillId="39" borderId="38" xfId="2148" applyFont="1" applyFill="1" applyBorder="1" applyAlignment="1">
      <alignment horizontal="centerContinuous" vertical="top"/>
    </xf>
    <xf numFmtId="0" fontId="74" fillId="39" borderId="7" xfId="2148" applyFont="1" applyFill="1" applyBorder="1" applyAlignment="1">
      <alignment horizontal="center" vertical="center" wrapText="1"/>
    </xf>
    <xf numFmtId="0" fontId="73" fillId="0" borderId="91" xfId="2148" applyFont="1" applyBorder="1">
      <alignment vertical="top"/>
    </xf>
    <xf numFmtId="0" fontId="73" fillId="0" borderId="92" xfId="2148" applyFont="1" applyBorder="1">
      <alignment vertical="top"/>
    </xf>
    <xf numFmtId="49" fontId="62" fillId="0" borderId="24" xfId="1962" applyNumberFormat="1" applyFont="1" applyBorder="1" applyAlignment="1">
      <alignment horizontal="center" vertical="center"/>
    </xf>
    <xf numFmtId="164" fontId="21" fillId="0" borderId="24" xfId="1940" applyNumberFormat="1" applyBorder="1" applyAlignment="1">
      <alignment vertical="center"/>
    </xf>
    <xf numFmtId="0" fontId="21" fillId="0" borderId="24" xfId="0" applyFont="1" applyBorder="1">
      <alignment vertical="top"/>
    </xf>
    <xf numFmtId="0" fontId="67" fillId="46" borderId="0" xfId="1603" applyFont="1" applyFill="1" applyAlignment="1">
      <alignment horizontal="center" vertical="center"/>
    </xf>
    <xf numFmtId="0" fontId="67" fillId="0" borderId="80" xfId="1940" applyFont="1" applyBorder="1" applyAlignment="1">
      <alignment vertical="center" wrapText="1"/>
    </xf>
    <xf numFmtId="0" fontId="67" fillId="0" borderId="80" xfId="1940" applyFont="1" applyBorder="1" applyAlignment="1">
      <alignment vertical="center"/>
    </xf>
    <xf numFmtId="165" fontId="21" fillId="0" borderId="30" xfId="1962" applyNumberFormat="1" applyBorder="1" applyAlignment="1">
      <alignment horizontal="center" vertical="center"/>
    </xf>
    <xf numFmtId="2" fontId="67" fillId="0" borderId="24" xfId="1940" applyNumberFormat="1" applyFont="1" applyBorder="1" applyAlignment="1">
      <alignment horizontal="center" vertical="center"/>
    </xf>
    <xf numFmtId="0" fontId="67" fillId="30" borderId="7" xfId="0" applyFont="1" applyFill="1" applyBorder="1" applyAlignment="1">
      <alignment horizontal="center" vertical="center"/>
    </xf>
    <xf numFmtId="0" fontId="67" fillId="39" borderId="7" xfId="0" applyFont="1" applyFill="1" applyBorder="1" applyAlignment="1">
      <alignment horizontal="center" vertical="center"/>
    </xf>
    <xf numFmtId="203" fontId="21" fillId="0" borderId="0" xfId="1962" applyNumberFormat="1" applyAlignment="1">
      <alignment horizontal="center"/>
    </xf>
    <xf numFmtId="0" fontId="21" fillId="0" borderId="68" xfId="1940" applyBorder="1">
      <alignment vertical="top"/>
    </xf>
    <xf numFmtId="0" fontId="62" fillId="0" borderId="21" xfId="1962" applyFont="1" applyBorder="1" applyAlignment="1">
      <alignment horizontal="left" vertical="center"/>
    </xf>
    <xf numFmtId="0" fontId="63" fillId="0" borderId="5" xfId="1962" applyFont="1" applyBorder="1" applyAlignment="1">
      <alignment vertical="center"/>
    </xf>
    <xf numFmtId="0" fontId="95" fillId="30" borderId="7" xfId="0" applyFont="1" applyFill="1" applyBorder="1" applyAlignment="1">
      <alignment horizontal="center" vertical="center"/>
    </xf>
    <xf numFmtId="0" fontId="71" fillId="0" borderId="5" xfId="1962" applyFont="1" applyBorder="1" applyAlignment="1">
      <alignment horizontal="centerContinuous"/>
    </xf>
    <xf numFmtId="0" fontId="71" fillId="0" borderId="38" xfId="1962" applyFont="1" applyBorder="1" applyAlignment="1">
      <alignment horizontal="centerContinuous"/>
    </xf>
    <xf numFmtId="0" fontId="72" fillId="0" borderId="5" xfId="1962" applyFont="1" applyBorder="1"/>
    <xf numFmtId="0" fontId="72" fillId="0" borderId="38" xfId="1962" applyFont="1" applyBorder="1"/>
    <xf numFmtId="164" fontId="21" fillId="0" borderId="24" xfId="1940" applyNumberFormat="1" applyBorder="1" applyAlignment="1">
      <alignment vertical="center" wrapText="1"/>
    </xf>
    <xf numFmtId="198" fontId="113" fillId="37" borderId="7" xfId="2190" applyNumberFormat="1" applyFont="1" applyFill="1" applyBorder="1" applyAlignment="1">
      <alignment horizontal="center"/>
    </xf>
    <xf numFmtId="165" fontId="73" fillId="44" borderId="7" xfId="2190" applyFont="1" applyFill="1" applyBorder="1" applyAlignment="1">
      <alignment horizontal="center" vertical="center"/>
    </xf>
    <xf numFmtId="202" fontId="73" fillId="44" borderId="7" xfId="2190" applyNumberFormat="1" applyFont="1" applyFill="1" applyBorder="1" applyAlignment="1">
      <alignment horizontal="center" vertical="center"/>
    </xf>
    <xf numFmtId="0" fontId="67" fillId="0" borderId="97" xfId="1940" applyFont="1" applyBorder="1" applyAlignment="1"/>
    <xf numFmtId="2" fontId="67" fillId="30" borderId="24" xfId="2190" applyNumberFormat="1" applyFont="1" applyFill="1" applyBorder="1" applyAlignment="1">
      <alignment horizontal="center" vertical="center"/>
    </xf>
    <xf numFmtId="0" fontId="67" fillId="48" borderId="7" xfId="0" applyFont="1" applyFill="1" applyBorder="1" applyAlignment="1">
      <alignment horizontal="center" vertical="center"/>
    </xf>
    <xf numFmtId="0" fontId="95" fillId="48" borderId="7" xfId="0" applyFont="1" applyFill="1" applyBorder="1" applyAlignment="1">
      <alignment horizontal="center" vertical="center"/>
    </xf>
    <xf numFmtId="2" fontId="67" fillId="0" borderId="18" xfId="123" applyNumberFormat="1" applyFont="1" applyBorder="1" applyAlignment="1">
      <alignment horizontal="center" vertical="center"/>
    </xf>
    <xf numFmtId="2" fontId="21" fillId="0" borderId="18" xfId="123" quotePrefix="1" applyNumberFormat="1" applyFont="1" applyBorder="1" applyAlignment="1">
      <alignment horizontal="center" vertical="center"/>
    </xf>
    <xf numFmtId="0" fontId="93" fillId="36" borderId="34" xfId="2197" applyFont="1" applyFill="1" applyBorder="1" applyAlignment="1">
      <alignment horizontal="center" vertical="center"/>
    </xf>
    <xf numFmtId="0" fontId="73" fillId="0" borderId="5" xfId="2148" applyFont="1" applyBorder="1" applyAlignment="1">
      <alignment horizontal="center" vertical="top" wrapText="1"/>
    </xf>
    <xf numFmtId="0" fontId="73" fillId="0" borderId="90" xfId="2148" applyFont="1" applyBorder="1" applyAlignment="1">
      <alignment horizontal="center" vertical="top"/>
    </xf>
    <xf numFmtId="187" fontId="73" fillId="0" borderId="91" xfId="2148" applyNumberFormat="1" applyFont="1" applyBorder="1" applyAlignment="1">
      <alignment horizontal="center" vertical="top"/>
    </xf>
    <xf numFmtId="0" fontId="73" fillId="0" borderId="98" xfId="2148" applyFont="1" applyBorder="1" applyAlignment="1">
      <alignment horizontal="center" vertical="top"/>
    </xf>
    <xf numFmtId="187" fontId="73" fillId="0" borderId="24" xfId="2148" applyNumberFormat="1" applyFont="1" applyBorder="1" applyAlignment="1">
      <alignment horizontal="center" vertical="top"/>
    </xf>
    <xf numFmtId="0" fontId="73" fillId="0" borderId="93" xfId="2148" applyFont="1" applyBorder="1" applyAlignment="1">
      <alignment horizontal="center" vertical="top"/>
    </xf>
    <xf numFmtId="0" fontId="113" fillId="0" borderId="98" xfId="2148" applyFont="1" applyBorder="1" applyAlignment="1">
      <alignment horizontal="center" vertical="top"/>
    </xf>
    <xf numFmtId="187" fontId="113" fillId="0" borderId="24" xfId="2148" applyNumberFormat="1" applyFont="1" applyBorder="1" applyAlignment="1">
      <alignment horizontal="center" vertical="top"/>
    </xf>
    <xf numFmtId="0" fontId="113" fillId="0" borderId="93" xfId="2148" applyFont="1" applyBorder="1" applyAlignment="1">
      <alignment horizontal="center" vertical="top"/>
    </xf>
    <xf numFmtId="0" fontId="113" fillId="0" borderId="94" xfId="2148" applyFont="1" applyBorder="1" applyAlignment="1">
      <alignment horizontal="center" vertical="top"/>
    </xf>
    <xf numFmtId="187" fontId="113" fillId="0" borderId="82" xfId="2148" applyNumberFormat="1" applyFont="1" applyBorder="1" applyAlignment="1">
      <alignment horizontal="center" vertical="top"/>
    </xf>
    <xf numFmtId="0" fontId="113" fillId="0" borderId="95" xfId="2148" applyFont="1" applyBorder="1" applyAlignment="1">
      <alignment horizontal="center" vertical="top"/>
    </xf>
    <xf numFmtId="0" fontId="73" fillId="0" borderId="91" xfId="2148" applyFont="1" applyBorder="1" applyAlignment="1">
      <alignment horizontal="center" vertical="top"/>
    </xf>
    <xf numFmtId="0" fontId="114" fillId="0" borderId="91" xfId="2148" applyFont="1" applyBorder="1" applyAlignment="1">
      <alignment horizontal="center" vertical="top"/>
    </xf>
    <xf numFmtId="9" fontId="73" fillId="0" borderId="91" xfId="2243" applyFont="1" applyBorder="1" applyAlignment="1">
      <alignment horizontal="center" vertical="top"/>
    </xf>
    <xf numFmtId="0" fontId="73" fillId="0" borderId="24" xfId="2148" applyFont="1" applyBorder="1">
      <alignment vertical="top"/>
    </xf>
    <xf numFmtId="0" fontId="73" fillId="0" borderId="24" xfId="2148" applyFont="1" applyBorder="1" applyAlignment="1">
      <alignment horizontal="center" vertical="top"/>
    </xf>
    <xf numFmtId="9" fontId="73" fillId="0" borderId="24" xfId="2243" applyFont="1" applyBorder="1" applyAlignment="1">
      <alignment horizontal="center" vertical="top"/>
    </xf>
    <xf numFmtId="0" fontId="73" fillId="0" borderId="93" xfId="2148" applyFont="1" applyBorder="1">
      <alignment vertical="top"/>
    </xf>
    <xf numFmtId="0" fontId="113" fillId="0" borderId="24" xfId="2148" applyFont="1" applyBorder="1">
      <alignment vertical="top"/>
    </xf>
    <xf numFmtId="0" fontId="113" fillId="0" borderId="24" xfId="2148" applyFont="1" applyBorder="1" applyAlignment="1">
      <alignment horizontal="center" vertical="top"/>
    </xf>
    <xf numFmtId="9" fontId="113" fillId="0" borderId="24" xfId="2243" applyFont="1" applyBorder="1" applyAlignment="1">
      <alignment horizontal="center" vertical="top"/>
    </xf>
    <xf numFmtId="0" fontId="113" fillId="0" borderId="93" xfId="2148" applyFont="1" applyBorder="1">
      <alignment vertical="top"/>
    </xf>
    <xf numFmtId="0" fontId="113" fillId="0" borderId="82" xfId="2148" applyFont="1" applyBorder="1">
      <alignment vertical="top"/>
    </xf>
    <xf numFmtId="0" fontId="113" fillId="0" borderId="82" xfId="2148" applyFont="1" applyBorder="1" applyAlignment="1">
      <alignment horizontal="center" vertical="top"/>
    </xf>
    <xf numFmtId="9" fontId="113" fillId="0" borderId="82" xfId="2243" applyFont="1" applyBorder="1" applyAlignment="1">
      <alignment horizontal="center" vertical="top"/>
    </xf>
    <xf numFmtId="0" fontId="113" fillId="0" borderId="95" xfId="2148" applyFont="1" applyBorder="1">
      <alignment vertical="top"/>
    </xf>
    <xf numFmtId="49" fontId="74" fillId="39" borderId="7" xfId="2148" applyNumberFormat="1" applyFont="1" applyFill="1" applyBorder="1" applyAlignment="1">
      <alignment horizontal="center" vertical="center" wrapText="1"/>
    </xf>
    <xf numFmtId="0" fontId="27" fillId="0" borderId="0" xfId="1962" applyFont="1" applyAlignment="1">
      <alignment vertical="top"/>
    </xf>
    <xf numFmtId="165" fontId="73" fillId="37" borderId="58" xfId="2190" applyFont="1" applyFill="1" applyBorder="1" applyAlignment="1">
      <alignment horizontal="center"/>
    </xf>
    <xf numFmtId="197" fontId="73" fillId="37" borderId="58" xfId="2190" applyNumberFormat="1" applyFont="1" applyFill="1" applyBorder="1" applyAlignment="1">
      <alignment horizontal="center"/>
    </xf>
    <xf numFmtId="197" fontId="73" fillId="39" borderId="58" xfId="2190" applyNumberFormat="1" applyFont="1" applyFill="1" applyBorder="1"/>
    <xf numFmtId="0" fontId="73" fillId="39" borderId="58" xfId="2148" applyFont="1" applyFill="1" applyBorder="1" applyAlignment="1">
      <alignment horizontal="center"/>
    </xf>
    <xf numFmtId="0" fontId="73" fillId="0" borderId="78" xfId="2148" applyFont="1" applyBorder="1">
      <alignment vertical="top"/>
    </xf>
    <xf numFmtId="0" fontId="74" fillId="37" borderId="63" xfId="2148" applyFont="1" applyFill="1" applyBorder="1" applyAlignment="1">
      <alignment horizontal="right" vertical="center"/>
    </xf>
    <xf numFmtId="187" fontId="73" fillId="0" borderId="92" xfId="2148" applyNumberFormat="1" applyFont="1" applyBorder="1" applyAlignment="1">
      <alignment horizontal="center" vertical="top"/>
    </xf>
    <xf numFmtId="4" fontId="21" fillId="0" borderId="18" xfId="1602" applyNumberFormat="1" applyBorder="1" applyAlignment="1">
      <alignment horizontal="right" vertical="center"/>
    </xf>
    <xf numFmtId="4" fontId="21" fillId="0" borderId="22" xfId="1602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62" fillId="0" borderId="35" xfId="1962" applyFont="1" applyBorder="1" applyAlignment="1">
      <alignment vertical="center"/>
    </xf>
    <xf numFmtId="0" fontId="95" fillId="49" borderId="7" xfId="0" applyFont="1" applyFill="1" applyBorder="1" applyAlignment="1">
      <alignment horizontal="center" vertical="center"/>
    </xf>
    <xf numFmtId="0" fontId="96" fillId="0" borderId="0" xfId="2244" applyFont="1" applyAlignment="1">
      <alignment vertical="center" wrapText="1"/>
    </xf>
    <xf numFmtId="0" fontId="21" fillId="0" borderId="0" xfId="2244" applyFont="1" applyAlignment="1">
      <alignment vertical="center" wrapText="1"/>
    </xf>
    <xf numFmtId="0" fontId="21" fillId="46" borderId="0" xfId="2244" applyFont="1" applyFill="1" applyAlignment="1">
      <alignment vertical="center" wrapText="1"/>
    </xf>
    <xf numFmtId="0" fontId="67" fillId="0" borderId="0" xfId="2244" applyFont="1" applyAlignment="1">
      <alignment vertical="center" wrapText="1"/>
    </xf>
    <xf numFmtId="0" fontId="21" fillId="0" borderId="19" xfId="2244" applyFont="1" applyBorder="1" applyAlignment="1">
      <alignment vertical="center" wrapText="1"/>
    </xf>
    <xf numFmtId="0" fontId="96" fillId="0" borderId="0" xfId="2244" applyFont="1" applyAlignment="1">
      <alignment vertical="center"/>
    </xf>
    <xf numFmtId="0" fontId="21" fillId="0" borderId="0" xfId="2244" applyFont="1" applyAlignment="1">
      <alignment vertical="center"/>
    </xf>
    <xf numFmtId="0" fontId="93" fillId="36" borderId="0" xfId="2197" applyFont="1" applyFill="1" applyAlignment="1">
      <alignment horizontal="center" vertical="center"/>
    </xf>
    <xf numFmtId="0" fontId="93" fillId="36" borderId="21" xfId="2197" applyFont="1" applyFill="1" applyBorder="1" applyAlignment="1">
      <alignment horizontal="center" vertical="center"/>
    </xf>
    <xf numFmtId="2" fontId="67" fillId="0" borderId="0" xfId="123" applyNumberFormat="1" applyFont="1" applyAlignment="1">
      <alignment horizontal="center" vertical="center"/>
    </xf>
    <xf numFmtId="2" fontId="21" fillId="0" borderId="0" xfId="123" quotePrefix="1" applyNumberFormat="1" applyFont="1" applyAlignment="1">
      <alignment horizontal="center" vertical="center"/>
    </xf>
    <xf numFmtId="0" fontId="67" fillId="50" borderId="7" xfId="0" applyFont="1" applyFill="1" applyBorder="1" applyAlignment="1">
      <alignment horizontal="center" vertical="center"/>
    </xf>
    <xf numFmtId="0" fontId="95" fillId="50" borderId="7" xfId="0" applyFont="1" applyFill="1" applyBorder="1" applyAlignment="1">
      <alignment horizontal="center" vertical="center"/>
    </xf>
    <xf numFmtId="0" fontId="67" fillId="53" borderId="7" xfId="0" applyFont="1" applyFill="1" applyBorder="1" applyAlignment="1">
      <alignment horizontal="center" vertical="center"/>
    </xf>
    <xf numFmtId="0" fontId="91" fillId="0" borderId="0" xfId="2244" applyFont="1" applyAlignment="1">
      <alignment vertical="center"/>
    </xf>
    <xf numFmtId="0" fontId="62" fillId="31" borderId="35" xfId="1962" applyFont="1" applyFill="1" applyBorder="1" applyAlignment="1">
      <alignment horizontal="center" vertical="center"/>
    </xf>
    <xf numFmtId="0" fontId="62" fillId="31" borderId="38" xfId="1962" applyFont="1" applyFill="1" applyBorder="1" applyAlignment="1">
      <alignment horizontal="center" vertical="center"/>
    </xf>
    <xf numFmtId="203" fontId="91" fillId="0" borderId="22" xfId="0" applyNumberFormat="1" applyFont="1" applyBorder="1">
      <alignment vertical="top"/>
    </xf>
    <xf numFmtId="0" fontId="67" fillId="0" borderId="22" xfId="1603" applyFont="1" applyBorder="1" applyAlignment="1">
      <alignment vertical="center"/>
    </xf>
    <xf numFmtId="0" fontId="67" fillId="0" borderId="21" xfId="1603" applyFont="1" applyBorder="1" applyAlignment="1">
      <alignment vertical="center"/>
    </xf>
    <xf numFmtId="4" fontId="21" fillId="0" borderId="22" xfId="1602" applyNumberFormat="1" applyBorder="1" applyAlignment="1">
      <alignment horizontal="center"/>
    </xf>
    <xf numFmtId="165" fontId="96" fillId="0" borderId="34" xfId="1603" applyNumberFormat="1" applyFont="1" applyBorder="1" applyAlignment="1">
      <alignment vertical="center"/>
    </xf>
    <xf numFmtId="165" fontId="21" fillId="0" borderId="22" xfId="1602" applyNumberFormat="1" applyBorder="1" applyAlignment="1">
      <alignment horizontal="center"/>
    </xf>
    <xf numFmtId="0" fontId="85" fillId="36" borderId="34" xfId="1940" applyFont="1" applyFill="1" applyBorder="1" applyAlignment="1">
      <alignment horizontal="center" vertical="top"/>
    </xf>
    <xf numFmtId="0" fontId="21" fillId="43" borderId="34" xfId="0" applyFont="1" applyFill="1" applyBorder="1" applyAlignment="1">
      <alignment horizontal="center"/>
    </xf>
    <xf numFmtId="0" fontId="67" fillId="43" borderId="23" xfId="1940" applyFont="1" applyFill="1" applyBorder="1" applyAlignment="1">
      <alignment horizontal="center" vertical="center"/>
    </xf>
    <xf numFmtId="165" fontId="67" fillId="43" borderId="7" xfId="1940" applyNumberFormat="1" applyFont="1" applyFill="1" applyBorder="1" applyAlignment="1">
      <alignment horizontal="center" vertical="center" wrapText="1"/>
    </xf>
    <xf numFmtId="2" fontId="0" fillId="0" borderId="0" xfId="0" applyNumberFormat="1">
      <alignment vertical="top"/>
    </xf>
    <xf numFmtId="2" fontId="21" fillId="0" borderId="23" xfId="123" quotePrefix="1" applyNumberFormat="1" applyFont="1" applyBorder="1" applyAlignment="1">
      <alignment horizontal="center" vertical="center"/>
    </xf>
    <xf numFmtId="0" fontId="21" fillId="0" borderId="15" xfId="2244" applyFont="1" applyBorder="1" applyAlignment="1">
      <alignment vertical="center" wrapText="1"/>
    </xf>
    <xf numFmtId="165" fontId="21" fillId="0" borderId="16" xfId="1602" applyNumberFormat="1" applyBorder="1" applyAlignment="1">
      <alignment horizontal="center"/>
    </xf>
    <xf numFmtId="4" fontId="21" fillId="0" borderId="16" xfId="1602" applyNumberFormat="1" applyBorder="1" applyAlignment="1">
      <alignment horizontal="right" vertical="center"/>
    </xf>
    <xf numFmtId="165" fontId="21" fillId="0" borderId="23" xfId="1962" applyNumberFormat="1" applyBorder="1" applyAlignment="1">
      <alignment horizontal="center" vertical="center"/>
    </xf>
    <xf numFmtId="0" fontId="116" fillId="0" borderId="5" xfId="1962" applyFont="1" applyBorder="1" applyAlignment="1">
      <alignment horizontal="centerContinuous"/>
    </xf>
    <xf numFmtId="165" fontId="67" fillId="24" borderId="7" xfId="1940" applyNumberFormat="1" applyFont="1" applyFill="1" applyBorder="1" applyAlignment="1">
      <alignment horizontal="center" vertical="center" wrapText="1"/>
    </xf>
    <xf numFmtId="2" fontId="21" fillId="0" borderId="17" xfId="123" quotePrefix="1" applyNumberFormat="1" applyFont="1" applyBorder="1" applyAlignment="1">
      <alignment horizontal="center" vertical="center"/>
    </xf>
    <xf numFmtId="0" fontId="85" fillId="36" borderId="7" xfId="1940" applyFont="1" applyFill="1" applyBorder="1" applyAlignment="1">
      <alignment horizontal="center" vertical="top"/>
    </xf>
    <xf numFmtId="2" fontId="21" fillId="0" borderId="24" xfId="1940" applyNumberFormat="1" applyBorder="1" applyAlignment="1">
      <alignment horizontal="center" vertical="center"/>
    </xf>
    <xf numFmtId="0" fontId="21" fillId="0" borderId="7" xfId="1940" applyBorder="1" applyAlignment="1"/>
    <xf numFmtId="0" fontId="67" fillId="0" borderId="24" xfId="1940" applyFont="1" applyBorder="1" applyAlignment="1"/>
    <xf numFmtId="0" fontId="67" fillId="0" borderId="93" xfId="1940" applyFont="1" applyBorder="1" applyAlignment="1"/>
    <xf numFmtId="0" fontId="117" fillId="47" borderId="0" xfId="0" applyFont="1" applyFill="1" applyAlignment="1">
      <alignment horizontal="center" vertical="center"/>
    </xf>
    <xf numFmtId="0" fontId="117" fillId="0" borderId="0" xfId="0" applyFont="1" applyAlignment="1"/>
    <xf numFmtId="0" fontId="117" fillId="0" borderId="0" xfId="0" applyFont="1" applyAlignment="1">
      <alignment horizontal="center"/>
    </xf>
    <xf numFmtId="0" fontId="67" fillId="24" borderId="7" xfId="0" applyFont="1" applyFill="1" applyBorder="1" applyAlignment="1" applyProtection="1">
      <alignment vertical="center" wrapText="1"/>
      <protection locked="0"/>
    </xf>
    <xf numFmtId="0" fontId="0" fillId="0" borderId="7" xfId="0" applyBorder="1" applyAlignment="1">
      <alignment horizontal="center" vertical="top"/>
    </xf>
    <xf numFmtId="0" fontId="21" fillId="54" borderId="7" xfId="2244" applyFont="1" applyFill="1" applyBorder="1" applyAlignment="1">
      <alignment vertical="center"/>
    </xf>
    <xf numFmtId="0" fontId="21" fillId="55" borderId="7" xfId="2244" applyFont="1" applyFill="1" applyBorder="1" applyAlignment="1">
      <alignment vertical="center"/>
    </xf>
    <xf numFmtId="0" fontId="73" fillId="0" borderId="46" xfId="2148" applyFont="1" applyBorder="1" applyAlignment="1">
      <alignment horizontal="center" vertical="top" wrapText="1"/>
    </xf>
    <xf numFmtId="0" fontId="73" fillId="0" borderId="5" xfId="2148" applyFont="1" applyBorder="1" applyAlignment="1">
      <alignment horizontal="center" vertical="top" wrapText="1"/>
    </xf>
    <xf numFmtId="0" fontId="74" fillId="0" borderId="35" xfId="2148" applyFont="1" applyBorder="1" applyAlignment="1">
      <alignment horizontal="center" vertical="center"/>
    </xf>
    <xf numFmtId="0" fontId="74" fillId="0" borderId="5" xfId="2148" applyFont="1" applyBorder="1" applyAlignment="1">
      <alignment horizontal="center" vertical="center"/>
    </xf>
    <xf numFmtId="0" fontId="74" fillId="0" borderId="38" xfId="2148" applyFont="1" applyBorder="1" applyAlignment="1">
      <alignment horizontal="center" vertical="center"/>
    </xf>
    <xf numFmtId="0" fontId="21" fillId="0" borderId="31" xfId="1940" applyBorder="1" applyAlignment="1">
      <alignment horizontal="center" vertical="center"/>
    </xf>
    <xf numFmtId="0" fontId="21" fillId="0" borderId="25" xfId="1940" applyBorder="1" applyAlignment="1">
      <alignment horizontal="center" vertical="center"/>
    </xf>
    <xf numFmtId="0" fontId="62" fillId="0" borderId="34" xfId="1962" applyFont="1" applyBorder="1" applyAlignment="1">
      <alignment horizontal="center" vertical="center" wrapText="1"/>
    </xf>
    <xf numFmtId="0" fontId="62" fillId="0" borderId="30" xfId="1962" applyFont="1" applyBorder="1" applyAlignment="1">
      <alignment horizontal="center" vertical="center"/>
    </xf>
    <xf numFmtId="0" fontId="62" fillId="0" borderId="23" xfId="1962" applyFont="1" applyBorder="1" applyAlignment="1">
      <alignment horizontal="center" vertical="center"/>
    </xf>
    <xf numFmtId="0" fontId="62" fillId="0" borderId="30" xfId="1962" applyFont="1" applyBorder="1" applyAlignment="1">
      <alignment horizontal="center" vertical="center" wrapText="1"/>
    </xf>
    <xf numFmtId="0" fontId="62" fillId="0" borderId="23" xfId="1962" applyFont="1" applyBorder="1" applyAlignment="1">
      <alignment horizontal="center" vertical="center" wrapText="1"/>
    </xf>
    <xf numFmtId="0" fontId="62" fillId="0" borderId="31" xfId="1962" applyFont="1" applyBorder="1" applyAlignment="1">
      <alignment horizontal="center" vertical="center" wrapText="1"/>
    </xf>
    <xf numFmtId="0" fontId="62" fillId="0" borderId="25" xfId="1962" applyFont="1" applyBorder="1" applyAlignment="1">
      <alignment horizontal="center" vertical="center" wrapText="1"/>
    </xf>
    <xf numFmtId="0" fontId="47" fillId="0" borderId="20" xfId="1962" applyFont="1" applyBorder="1" applyAlignment="1">
      <alignment horizontal="center" vertical="center" wrapText="1"/>
    </xf>
    <xf numFmtId="0" fontId="47" fillId="0" borderId="26" xfId="1962" applyFont="1" applyBorder="1" applyAlignment="1">
      <alignment horizontal="center" vertical="center" wrapText="1"/>
    </xf>
    <xf numFmtId="0" fontId="62" fillId="0" borderId="20" xfId="1962" applyFont="1" applyBorder="1" applyAlignment="1">
      <alignment horizontal="center" vertical="center" wrapText="1"/>
    </xf>
    <xf numFmtId="0" fontId="62" fillId="0" borderId="26" xfId="1962" applyFont="1" applyBorder="1" applyAlignment="1">
      <alignment horizontal="center" vertical="center" wrapText="1"/>
    </xf>
    <xf numFmtId="0" fontId="62" fillId="0" borderId="33" xfId="1962" applyFont="1" applyBorder="1" applyAlignment="1">
      <alignment horizontal="center" vertical="center" wrapText="1"/>
    </xf>
    <xf numFmtId="0" fontId="62" fillId="0" borderId="27" xfId="1962" applyFont="1" applyBorder="1" applyAlignment="1">
      <alignment horizontal="center" vertical="center" wrapText="1"/>
    </xf>
    <xf numFmtId="0" fontId="62" fillId="0" borderId="35" xfId="1962" applyFont="1" applyBorder="1" applyAlignment="1">
      <alignment horizontal="center" vertical="center" wrapText="1"/>
    </xf>
    <xf numFmtId="0" fontId="62" fillId="0" borderId="5" xfId="1962" applyFont="1" applyBorder="1" applyAlignment="1">
      <alignment horizontal="center" vertical="center" wrapText="1"/>
    </xf>
    <xf numFmtId="0" fontId="62" fillId="0" borderId="38" xfId="1962" applyFont="1" applyBorder="1" applyAlignment="1">
      <alignment horizontal="center" vertical="center" wrapText="1"/>
    </xf>
    <xf numFmtId="0" fontId="62" fillId="0" borderId="34" xfId="1962" applyFont="1" applyBorder="1" applyAlignment="1">
      <alignment horizontal="center" vertical="center" textRotation="90"/>
    </xf>
    <xf numFmtId="0" fontId="62" fillId="0" borderId="23" xfId="1962" applyFont="1" applyBorder="1" applyAlignment="1">
      <alignment horizontal="center" vertical="center" textRotation="90"/>
    </xf>
    <xf numFmtId="0" fontId="89" fillId="0" borderId="18" xfId="1962" applyFont="1" applyBorder="1" applyAlignment="1">
      <alignment horizontal="center" vertical="center" wrapText="1"/>
    </xf>
    <xf numFmtId="0" fontId="89" fillId="0" borderId="0" xfId="1962" applyFont="1" applyAlignment="1">
      <alignment horizontal="center" vertical="center" wrapText="1"/>
    </xf>
    <xf numFmtId="0" fontId="89" fillId="0" borderId="17" xfId="1962" applyFont="1" applyBorder="1" applyAlignment="1">
      <alignment horizontal="center" vertical="center" wrapText="1"/>
    </xf>
    <xf numFmtId="0" fontId="89" fillId="0" borderId="16" xfId="1962" applyFont="1" applyBorder="1" applyAlignment="1">
      <alignment horizontal="center" vertical="center" wrapText="1"/>
    </xf>
    <xf numFmtId="0" fontId="89" fillId="0" borderId="15" xfId="1962" applyFont="1" applyBorder="1" applyAlignment="1">
      <alignment horizontal="center" vertical="center" wrapText="1"/>
    </xf>
    <xf numFmtId="0" fontId="89" fillId="0" borderId="14" xfId="1962" applyFont="1" applyBorder="1" applyAlignment="1">
      <alignment horizontal="center" vertical="center" wrapText="1"/>
    </xf>
    <xf numFmtId="0" fontId="40" fillId="0" borderId="22" xfId="1940" applyFont="1" applyBorder="1" applyAlignment="1">
      <alignment horizontal="center" vertical="center"/>
    </xf>
    <xf numFmtId="0" fontId="40" fillId="0" borderId="21" xfId="1940" applyFont="1" applyBorder="1" applyAlignment="1">
      <alignment horizontal="center" vertical="center"/>
    </xf>
    <xf numFmtId="0" fontId="40" fillId="0" borderId="19" xfId="1940" applyFont="1" applyBorder="1" applyAlignment="1">
      <alignment horizontal="center" vertical="center"/>
    </xf>
    <xf numFmtId="0" fontId="40" fillId="0" borderId="16" xfId="1940" applyFont="1" applyBorder="1" applyAlignment="1">
      <alignment horizontal="center" vertical="center"/>
    </xf>
    <xf numFmtId="0" fontId="40" fillId="0" borderId="15" xfId="1940" applyFont="1" applyBorder="1" applyAlignment="1">
      <alignment horizontal="center" vertical="center"/>
    </xf>
    <xf numFmtId="0" fontId="40" fillId="0" borderId="14" xfId="1940" applyFont="1" applyBorder="1" applyAlignment="1">
      <alignment horizontal="center" vertical="center"/>
    </xf>
    <xf numFmtId="0" fontId="112" fillId="0" borderId="18" xfId="1962" applyFont="1" applyBorder="1" applyAlignment="1">
      <alignment horizontal="center" vertical="center" wrapText="1"/>
    </xf>
    <xf numFmtId="0" fontId="112" fillId="0" borderId="0" xfId="1962" applyFont="1" applyAlignment="1">
      <alignment horizontal="center" vertical="center"/>
    </xf>
    <xf numFmtId="0" fontId="112" fillId="0" borderId="17" xfId="1962" applyFont="1" applyBorder="1" applyAlignment="1">
      <alignment horizontal="center" vertical="center"/>
    </xf>
    <xf numFmtId="0" fontId="112" fillId="0" borderId="16" xfId="1962" applyFont="1" applyBorder="1" applyAlignment="1">
      <alignment horizontal="center" vertical="center"/>
    </xf>
    <xf numFmtId="0" fontId="112" fillId="0" borderId="15" xfId="1962" applyFont="1" applyBorder="1" applyAlignment="1">
      <alignment horizontal="center" vertical="center"/>
    </xf>
    <xf numFmtId="0" fontId="112" fillId="0" borderId="14" xfId="1962" applyFont="1" applyBorder="1" applyAlignment="1">
      <alignment horizontal="center" vertical="center"/>
    </xf>
    <xf numFmtId="0" fontId="67" fillId="50" borderId="35" xfId="1940" applyFont="1" applyFill="1" applyBorder="1" applyAlignment="1">
      <alignment horizontal="center" vertical="center"/>
    </xf>
    <xf numFmtId="0" fontId="67" fillId="50" borderId="38" xfId="1940" applyFont="1" applyFill="1" applyBorder="1" applyAlignment="1">
      <alignment horizontal="center" vertical="center"/>
    </xf>
    <xf numFmtId="0" fontId="87" fillId="52" borderId="7" xfId="1962" applyFont="1" applyFill="1" applyBorder="1" applyAlignment="1">
      <alignment horizontal="center" vertical="center" wrapText="1"/>
    </xf>
    <xf numFmtId="0" fontId="87" fillId="0" borderId="22" xfId="1962" applyFont="1" applyBorder="1" applyAlignment="1">
      <alignment horizontal="center" vertical="center" wrapText="1"/>
    </xf>
    <xf numFmtId="0" fontId="87" fillId="0" borderId="21" xfId="1962" applyFont="1" applyBorder="1" applyAlignment="1">
      <alignment horizontal="center" vertical="center" wrapText="1"/>
    </xf>
    <xf numFmtId="0" fontId="87" fillId="0" borderId="19" xfId="1962" applyFont="1" applyBorder="1" applyAlignment="1">
      <alignment horizontal="center" vertical="center" wrapText="1"/>
    </xf>
    <xf numFmtId="0" fontId="87" fillId="0" borderId="18" xfId="1962" applyFont="1" applyBorder="1" applyAlignment="1">
      <alignment horizontal="center" vertical="center" wrapText="1"/>
    </xf>
    <xf numFmtId="0" fontId="87" fillId="0" borderId="0" xfId="1962" applyFont="1" applyAlignment="1">
      <alignment horizontal="center" vertical="center" wrapText="1"/>
    </xf>
    <xf numFmtId="0" fontId="87" fillId="0" borderId="17" xfId="1962" applyFont="1" applyBorder="1" applyAlignment="1">
      <alignment horizontal="center" vertical="center" wrapText="1"/>
    </xf>
    <xf numFmtId="0" fontId="87" fillId="0" borderId="16" xfId="1962" applyFont="1" applyBorder="1" applyAlignment="1">
      <alignment horizontal="center" vertical="center" wrapText="1"/>
    </xf>
    <xf numFmtId="0" fontId="87" fillId="0" borderId="15" xfId="1962" applyFont="1" applyBorder="1" applyAlignment="1">
      <alignment horizontal="center" vertical="center" wrapText="1"/>
    </xf>
    <xf numFmtId="0" fontId="87" fillId="0" borderId="14" xfId="1962" applyFont="1" applyBorder="1" applyAlignment="1">
      <alignment horizontal="center" vertical="center" wrapText="1"/>
    </xf>
    <xf numFmtId="0" fontId="115" fillId="0" borderId="18" xfId="1940" applyFont="1" applyBorder="1" applyAlignment="1">
      <alignment horizontal="center" vertical="center" wrapText="1"/>
    </xf>
    <xf numFmtId="0" fontId="115" fillId="0" borderId="0" xfId="1940" applyFont="1" applyAlignment="1">
      <alignment horizontal="center" vertical="center" wrapText="1"/>
    </xf>
    <xf numFmtId="0" fontId="115" fillId="0" borderId="17" xfId="1940" applyFont="1" applyBorder="1" applyAlignment="1">
      <alignment horizontal="center" vertical="center" wrapText="1"/>
    </xf>
    <xf numFmtId="0" fontId="21" fillId="0" borderId="34" xfId="1940" applyBorder="1" applyAlignment="1">
      <alignment horizontal="center" vertical="center"/>
    </xf>
    <xf numFmtId="0" fontId="21" fillId="0" borderId="30" xfId="1940" applyBorder="1" applyAlignment="1">
      <alignment horizontal="center" vertical="center"/>
    </xf>
    <xf numFmtId="0" fontId="21" fillId="0" borderId="23" xfId="1940" applyBorder="1" applyAlignment="1">
      <alignment horizontal="center" vertical="center"/>
    </xf>
    <xf numFmtId="0" fontId="21" fillId="0" borderId="34" xfId="1962" applyBorder="1" applyAlignment="1">
      <alignment horizontal="center" vertical="center" textRotation="90"/>
    </xf>
    <xf numFmtId="0" fontId="66" fillId="0" borderId="30" xfId="1940" applyFont="1" applyBorder="1" applyAlignment="1"/>
    <xf numFmtId="0" fontId="66" fillId="0" borderId="23" xfId="1940" applyFont="1" applyBorder="1" applyAlignment="1"/>
    <xf numFmtId="0" fontId="62" fillId="0" borderId="34" xfId="1962" applyFont="1" applyBorder="1" applyAlignment="1">
      <alignment horizontal="center" vertical="center" textRotation="90" wrapText="1"/>
    </xf>
    <xf numFmtId="0" fontId="62" fillId="0" borderId="30" xfId="1962" applyFont="1" applyBorder="1" applyAlignment="1">
      <alignment horizontal="center" vertical="center" textRotation="90" wrapText="1"/>
    </xf>
    <xf numFmtId="0" fontId="62" fillId="0" borderId="23" xfId="1962" applyFont="1" applyBorder="1" applyAlignment="1">
      <alignment horizontal="center" vertical="center" textRotation="90" wrapText="1"/>
    </xf>
    <xf numFmtId="0" fontId="62" fillId="0" borderId="32" xfId="1962" applyFont="1" applyBorder="1" applyAlignment="1">
      <alignment horizontal="center" vertical="center" textRotation="90" wrapText="1"/>
    </xf>
    <xf numFmtId="0" fontId="62" fillId="0" borderId="29" xfId="1962" applyFont="1" applyBorder="1" applyAlignment="1">
      <alignment horizontal="center" vertical="center" textRotation="90"/>
    </xf>
    <xf numFmtId="0" fontId="62" fillId="0" borderId="20" xfId="1962" applyFont="1" applyBorder="1" applyAlignment="1">
      <alignment horizontal="center" vertical="center" textRotation="90"/>
    </xf>
    <xf numFmtId="0" fontId="62" fillId="0" borderId="26" xfId="1962" applyFont="1" applyBorder="1" applyAlignment="1">
      <alignment horizontal="center" vertical="center" textRotation="90"/>
    </xf>
    <xf numFmtId="0" fontId="62" fillId="0" borderId="30" xfId="1962" applyFont="1" applyBorder="1" applyAlignment="1">
      <alignment horizontal="center" vertical="center" textRotation="90"/>
    </xf>
    <xf numFmtId="0" fontId="62" fillId="0" borderId="33" xfId="1962" applyFont="1" applyBorder="1" applyAlignment="1">
      <alignment horizontal="center" vertical="center" textRotation="90" wrapText="1"/>
    </xf>
    <xf numFmtId="0" fontId="62" fillId="0" borderId="27" xfId="1962" applyFont="1" applyBorder="1" applyAlignment="1">
      <alignment horizontal="center" vertical="center" textRotation="90" wrapText="1"/>
    </xf>
    <xf numFmtId="0" fontId="21" fillId="0" borderId="32" xfId="1940" applyBorder="1" applyAlignment="1">
      <alignment horizontal="center" vertical="center"/>
    </xf>
    <xf numFmtId="0" fontId="21" fillId="0" borderId="29" xfId="1940" applyBorder="1" applyAlignment="1">
      <alignment horizontal="center" vertical="center"/>
    </xf>
    <xf numFmtId="0" fontId="97" fillId="51" borderId="22" xfId="1962" applyFont="1" applyFill="1" applyBorder="1" applyAlignment="1">
      <alignment horizontal="center" vertical="center"/>
    </xf>
    <xf numFmtId="0" fontId="97" fillId="51" borderId="19" xfId="1962" applyFont="1" applyFill="1" applyBorder="1" applyAlignment="1">
      <alignment horizontal="center" vertical="center"/>
    </xf>
    <xf numFmtId="0" fontId="97" fillId="51" borderId="18" xfId="1962" applyFont="1" applyFill="1" applyBorder="1" applyAlignment="1">
      <alignment horizontal="center" vertical="center"/>
    </xf>
    <xf numFmtId="0" fontId="97" fillId="51" borderId="17" xfId="1962" applyFont="1" applyFill="1" applyBorder="1" applyAlignment="1">
      <alignment horizontal="center" vertical="center"/>
    </xf>
    <xf numFmtId="0" fontId="97" fillId="51" borderId="16" xfId="1962" applyFont="1" applyFill="1" applyBorder="1" applyAlignment="1">
      <alignment horizontal="center" vertical="center"/>
    </xf>
    <xf numFmtId="0" fontId="97" fillId="51" borderId="14" xfId="1962" applyFont="1" applyFill="1" applyBorder="1" applyAlignment="1">
      <alignment horizontal="center" vertical="center"/>
    </xf>
    <xf numFmtId="0" fontId="86" fillId="0" borderId="22" xfId="1962" applyFont="1" applyBorder="1" applyAlignment="1">
      <alignment horizontal="center" vertical="center" wrapText="1"/>
    </xf>
    <xf numFmtId="0" fontId="86" fillId="0" borderId="19" xfId="1962" applyFont="1" applyBorder="1" applyAlignment="1">
      <alignment horizontal="center" vertical="center" wrapText="1"/>
    </xf>
    <xf numFmtId="0" fontId="86" fillId="0" borderId="18" xfId="1962" applyFont="1" applyBorder="1" applyAlignment="1">
      <alignment horizontal="center" vertical="center" wrapText="1"/>
    </xf>
    <xf numFmtId="0" fontId="86" fillId="0" borderId="17" xfId="1962" applyFont="1" applyBorder="1" applyAlignment="1">
      <alignment horizontal="center" vertical="center" wrapText="1"/>
    </xf>
    <xf numFmtId="0" fontId="86" fillId="0" borderId="16" xfId="1962" applyFont="1" applyBorder="1" applyAlignment="1">
      <alignment horizontal="center" vertical="center" wrapText="1"/>
    </xf>
    <xf numFmtId="0" fontId="86" fillId="0" borderId="14" xfId="1962" applyFont="1" applyBorder="1" applyAlignment="1">
      <alignment horizontal="center" vertical="center" wrapText="1"/>
    </xf>
    <xf numFmtId="164" fontId="21" fillId="0" borderId="67" xfId="1940" applyNumberFormat="1" applyBorder="1" applyAlignment="1">
      <alignment horizontal="center" vertical="center"/>
    </xf>
    <xf numFmtId="164" fontId="21" fillId="0" borderId="68" xfId="1940" applyNumberFormat="1" applyBorder="1" applyAlignment="1">
      <alignment horizontal="center" vertical="center"/>
    </xf>
    <xf numFmtId="164" fontId="21" fillId="0" borderId="69" xfId="1940" applyNumberFormat="1" applyBorder="1" applyAlignment="1">
      <alignment horizontal="center" vertical="center"/>
    </xf>
    <xf numFmtId="43" fontId="67" fillId="24" borderId="35" xfId="2020" applyNumberFormat="1" applyFont="1" applyFill="1" applyBorder="1" applyAlignment="1">
      <alignment horizontal="center" vertical="center" wrapText="1"/>
    </xf>
    <xf numFmtId="43" fontId="67" fillId="24" borderId="22" xfId="2020" applyNumberFormat="1" applyFont="1" applyFill="1" applyBorder="1" applyAlignment="1">
      <alignment horizontal="center" vertical="center" wrapText="1"/>
    </xf>
    <xf numFmtId="0" fontId="67" fillId="24" borderId="22" xfId="0" applyFont="1" applyFill="1" applyBorder="1" applyAlignment="1" applyProtection="1">
      <alignment horizontal="center" vertical="center" wrapText="1"/>
      <protection locked="0"/>
    </xf>
    <xf numFmtId="0" fontId="67" fillId="24" borderId="21" xfId="0" applyFont="1" applyFill="1" applyBorder="1" applyAlignment="1" applyProtection="1">
      <alignment horizontal="center" vertical="center" wrapText="1"/>
      <protection locked="0"/>
    </xf>
    <xf numFmtId="0" fontId="67" fillId="24" borderId="18" xfId="0" applyFont="1" applyFill="1" applyBorder="1" applyAlignment="1" applyProtection="1">
      <alignment horizontal="center" vertical="center" wrapText="1"/>
      <protection locked="0"/>
    </xf>
    <xf numFmtId="0" fontId="67" fillId="24" borderId="0" xfId="0" applyFont="1" applyFill="1" applyAlignment="1" applyProtection="1">
      <alignment horizontal="center" vertical="center" wrapText="1"/>
      <protection locked="0"/>
    </xf>
    <xf numFmtId="43" fontId="67" fillId="24" borderId="34" xfId="2020" applyNumberFormat="1" applyFont="1" applyFill="1" applyBorder="1" applyAlignment="1">
      <alignment horizontal="center" vertical="center" wrapText="1"/>
    </xf>
    <xf numFmtId="43" fontId="67" fillId="24" borderId="30" xfId="2020" applyNumberFormat="1" applyFont="1" applyFill="1" applyBorder="1" applyAlignment="1">
      <alignment horizontal="center" vertical="center" wrapText="1"/>
    </xf>
    <xf numFmtId="0" fontId="67" fillId="24" borderId="7" xfId="2769" applyFont="1" applyFill="1" applyBorder="1" applyAlignment="1" applyProtection="1">
      <alignment horizontal="center" vertical="center" wrapText="1"/>
      <protection locked="0"/>
    </xf>
    <xf numFmtId="0" fontId="67" fillId="24" borderId="34" xfId="2769" applyFont="1" applyFill="1" applyBorder="1" applyAlignment="1" applyProtection="1">
      <alignment horizontal="center" vertical="center" wrapText="1"/>
      <protection locked="0"/>
    </xf>
    <xf numFmtId="43" fontId="67" fillId="24" borderId="7" xfId="2020" applyNumberFormat="1" applyFont="1" applyFill="1" applyBorder="1" applyAlignment="1">
      <alignment horizontal="center" vertical="center" wrapText="1"/>
    </xf>
    <xf numFmtId="0" fontId="21" fillId="0" borderId="67" xfId="1962" applyBorder="1" applyAlignment="1">
      <alignment horizontal="center" vertical="center"/>
    </xf>
    <xf numFmtId="0" fontId="21" fillId="0" borderId="68" xfId="1962" applyBorder="1" applyAlignment="1">
      <alignment horizontal="center" vertical="center"/>
    </xf>
    <xf numFmtId="0" fontId="21" fillId="0" borderId="69" xfId="1962" applyBorder="1" applyAlignment="1">
      <alignment horizontal="center" vertical="center"/>
    </xf>
    <xf numFmtId="0" fontId="67" fillId="43" borderId="35" xfId="2148" applyFont="1" applyFill="1" applyBorder="1" applyAlignment="1">
      <alignment horizontal="center" vertical="center"/>
    </xf>
    <xf numFmtId="0" fontId="67" fillId="43" borderId="5" xfId="2148" applyFont="1" applyFill="1" applyBorder="1" applyAlignment="1">
      <alignment horizontal="center" vertical="center"/>
    </xf>
    <xf numFmtId="0" fontId="67" fillId="43" borderId="38" xfId="2148" applyFont="1" applyFill="1" applyBorder="1" applyAlignment="1">
      <alignment horizontal="center" vertical="center"/>
    </xf>
    <xf numFmtId="0" fontId="63" fillId="40" borderId="7" xfId="2769" applyFont="1" applyFill="1" applyBorder="1" applyAlignment="1" applyProtection="1">
      <alignment horizontal="center" vertical="center" wrapText="1"/>
      <protection locked="0"/>
    </xf>
    <xf numFmtId="0" fontId="110" fillId="41" borderId="34" xfId="1603" applyFont="1" applyFill="1" applyBorder="1" applyAlignment="1">
      <alignment horizontal="center" vertical="center" wrapText="1"/>
    </xf>
    <xf numFmtId="0" fontId="110" fillId="41" borderId="30" xfId="1603" applyFont="1" applyFill="1" applyBorder="1" applyAlignment="1">
      <alignment horizontal="center" vertical="center" wrapText="1"/>
    </xf>
    <xf numFmtId="0" fontId="110" fillId="41" borderId="23" xfId="1603" applyFont="1" applyFill="1" applyBorder="1" applyAlignment="1">
      <alignment horizontal="center" vertical="center" wrapText="1"/>
    </xf>
    <xf numFmtId="0" fontId="63" fillId="40" borderId="22" xfId="1962" applyFont="1" applyFill="1" applyBorder="1" applyAlignment="1" applyProtection="1">
      <alignment horizontal="center" vertical="center" wrapText="1"/>
      <protection locked="0"/>
    </xf>
    <xf numFmtId="0" fontId="63" fillId="40" borderId="21" xfId="1962" applyFont="1" applyFill="1" applyBorder="1" applyAlignment="1" applyProtection="1">
      <alignment horizontal="center" vertical="center" wrapText="1"/>
      <protection locked="0"/>
    </xf>
    <xf numFmtId="0" fontId="63" fillId="40" borderId="18" xfId="1962" applyFont="1" applyFill="1" applyBorder="1" applyAlignment="1" applyProtection="1">
      <alignment horizontal="center" vertical="center" wrapText="1"/>
      <protection locked="0"/>
    </xf>
    <xf numFmtId="0" fontId="63" fillId="40" borderId="0" xfId="1962" applyFont="1" applyFill="1" applyAlignment="1" applyProtection="1">
      <alignment horizontal="center" vertical="center" wrapText="1"/>
      <protection locked="0"/>
    </xf>
    <xf numFmtId="0" fontId="63" fillId="40" borderId="16" xfId="1962" applyFont="1" applyFill="1" applyBorder="1" applyAlignment="1" applyProtection="1">
      <alignment horizontal="center" vertical="center" wrapText="1"/>
      <protection locked="0"/>
    </xf>
    <xf numFmtId="0" fontId="63" fillId="40" borderId="15" xfId="1962" applyFont="1" applyFill="1" applyBorder="1" applyAlignment="1" applyProtection="1">
      <alignment horizontal="center" vertical="center" wrapText="1"/>
      <protection locked="0"/>
    </xf>
    <xf numFmtId="43" fontId="63" fillId="40" borderId="34" xfId="2775" applyNumberFormat="1" applyFont="1" applyFill="1" applyBorder="1" applyAlignment="1">
      <alignment horizontal="center" vertical="center" wrapText="1"/>
    </xf>
    <xf numFmtId="43" fontId="63" fillId="40" borderId="30" xfId="2775" applyNumberFormat="1" applyFont="1" applyFill="1" applyBorder="1" applyAlignment="1">
      <alignment horizontal="center" vertical="center" wrapText="1"/>
    </xf>
    <xf numFmtId="43" fontId="63" fillId="40" borderId="23" xfId="2775" applyNumberFormat="1" applyFont="1" applyFill="1" applyBorder="1" applyAlignment="1">
      <alignment horizontal="center" vertical="center" wrapText="1"/>
    </xf>
    <xf numFmtId="0" fontId="97" fillId="0" borderId="0" xfId="2782" applyFont="1" applyAlignment="1">
      <alignment horizontal="center" vertical="center"/>
    </xf>
    <xf numFmtId="0" fontId="98" fillId="0" borderId="0" xfId="2768" applyFont="1" applyAlignment="1">
      <alignment horizontal="center" vertical="center"/>
    </xf>
    <xf numFmtId="0" fontId="100" fillId="43" borderId="70" xfId="2781" applyFont="1" applyFill="1" applyBorder="1" applyAlignment="1">
      <alignment horizontal="center" vertical="center"/>
    </xf>
    <xf numFmtId="0" fontId="100" fillId="43" borderId="73" xfId="2781" applyFont="1" applyFill="1" applyBorder="1" applyAlignment="1">
      <alignment horizontal="center" vertical="center"/>
    </xf>
    <xf numFmtId="0" fontId="100" fillId="43" borderId="43" xfId="2781" applyFont="1" applyFill="1" applyBorder="1" applyAlignment="1">
      <alignment horizontal="center" vertical="center"/>
    </xf>
    <xf numFmtId="0" fontId="100" fillId="43" borderId="44" xfId="2781" applyFont="1" applyFill="1" applyBorder="1" applyAlignment="1">
      <alignment horizontal="center" vertical="center"/>
    </xf>
    <xf numFmtId="0" fontId="100" fillId="43" borderId="45" xfId="2781" applyFont="1" applyFill="1" applyBorder="1" applyAlignment="1">
      <alignment horizontal="center" vertical="center"/>
    </xf>
    <xf numFmtId="0" fontId="100" fillId="43" borderId="64" xfId="2781" applyFont="1" applyFill="1" applyBorder="1" applyAlignment="1">
      <alignment horizontal="center" vertical="center"/>
    </xf>
    <xf numFmtId="0" fontId="100" fillId="43" borderId="65" xfId="2781" applyFont="1" applyFill="1" applyBorder="1" applyAlignment="1">
      <alignment horizontal="center" vertical="center"/>
    </xf>
    <xf numFmtId="0" fontId="100" fillId="43" borderId="66" xfId="2781" applyFont="1" applyFill="1" applyBorder="1" applyAlignment="1">
      <alignment horizontal="center" vertical="center"/>
    </xf>
    <xf numFmtId="0" fontId="100" fillId="43" borderId="43" xfId="2769" applyFont="1" applyFill="1" applyBorder="1" applyAlignment="1">
      <alignment horizontal="center" vertical="center" wrapText="1"/>
    </xf>
    <xf numFmtId="0" fontId="100" fillId="43" borderId="73" xfId="2769" applyFont="1" applyFill="1" applyBorder="1" applyAlignment="1">
      <alignment horizontal="center" vertical="center" wrapText="1"/>
    </xf>
    <xf numFmtId="0" fontId="100" fillId="43" borderId="71" xfId="2769" applyFont="1" applyFill="1" applyBorder="1" applyAlignment="1">
      <alignment horizontal="center" vertical="center" wrapText="1"/>
    </xf>
    <xf numFmtId="0" fontId="100" fillId="43" borderId="72" xfId="2769" applyFont="1" applyFill="1" applyBorder="1" applyAlignment="1">
      <alignment horizontal="center" vertical="center" wrapText="1"/>
    </xf>
    <xf numFmtId="0" fontId="39" fillId="43" borderId="35" xfId="2782" applyFont="1" applyFill="1" applyBorder="1" applyAlignment="1">
      <alignment horizontal="center" vertical="center" wrapText="1"/>
    </xf>
    <xf numFmtId="0" fontId="39" fillId="43" borderId="5" xfId="2782" applyFont="1" applyFill="1" applyBorder="1" applyAlignment="1">
      <alignment horizontal="center" vertical="center" wrapText="1"/>
    </xf>
    <xf numFmtId="0" fontId="39" fillId="43" borderId="38" xfId="2782" applyFont="1" applyFill="1" applyBorder="1" applyAlignment="1">
      <alignment horizontal="center" vertical="center" wrapText="1"/>
    </xf>
    <xf numFmtId="0" fontId="21" fillId="55" borderId="7" xfId="2244" applyFont="1" applyFill="1" applyBorder="1" applyAlignment="1">
      <alignment vertical="center"/>
    </xf>
    <xf numFmtId="0" fontId="21" fillId="0" borderId="7" xfId="0" applyFont="1" applyBorder="1" applyAlignment="1">
      <alignment horizontal="center" vertical="top"/>
    </xf>
  </cellXfs>
  <cellStyles count="3366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Énfasis1 2" xfId="1963" xr:uid="{00000000-0005-0000-0000-000006000000}"/>
    <cellStyle name="20% - Énfasis2 2" xfId="1964" xr:uid="{00000000-0005-0000-0000-000007000000}"/>
    <cellStyle name="20% - Énfasis3 2" xfId="1965" xr:uid="{00000000-0005-0000-0000-000008000000}"/>
    <cellStyle name="20% - Énfasis4 2" xfId="1966" xr:uid="{00000000-0005-0000-0000-000009000000}"/>
    <cellStyle name="20% - Énfasis5 2" xfId="1967" xr:uid="{00000000-0005-0000-0000-00000A000000}"/>
    <cellStyle name="20% - Énfasis6 2" xfId="1968" xr:uid="{00000000-0005-0000-0000-00000B000000}"/>
    <cellStyle name="40% - Accent1" xfId="7" xr:uid="{00000000-0005-0000-0000-00000C000000}"/>
    <cellStyle name="40% - Accent2" xfId="8" xr:uid="{00000000-0005-0000-0000-00000D000000}"/>
    <cellStyle name="40% - Accent3" xfId="9" xr:uid="{00000000-0005-0000-0000-00000E000000}"/>
    <cellStyle name="40% - Accent4" xfId="10" xr:uid="{00000000-0005-0000-0000-00000F000000}"/>
    <cellStyle name="40% - Accent5" xfId="11" xr:uid="{00000000-0005-0000-0000-000010000000}"/>
    <cellStyle name="40% - Accent6" xfId="12" xr:uid="{00000000-0005-0000-0000-000011000000}"/>
    <cellStyle name="40% - Énfasis1 2" xfId="1969" xr:uid="{00000000-0005-0000-0000-000012000000}"/>
    <cellStyle name="40% - Énfasis2 2" xfId="1970" xr:uid="{00000000-0005-0000-0000-000013000000}"/>
    <cellStyle name="40% - Énfasis3 2" xfId="1971" xr:uid="{00000000-0005-0000-0000-000014000000}"/>
    <cellStyle name="40% - Énfasis4 2" xfId="1972" xr:uid="{00000000-0005-0000-0000-000015000000}"/>
    <cellStyle name="40% - Énfasis5 2" xfId="1973" xr:uid="{00000000-0005-0000-0000-000016000000}"/>
    <cellStyle name="40% - Énfasis6 2" xfId="1974" xr:uid="{00000000-0005-0000-0000-000017000000}"/>
    <cellStyle name="60% - Accent1" xfId="13" xr:uid="{00000000-0005-0000-0000-000018000000}"/>
    <cellStyle name="60% - Accent2" xfId="14" xr:uid="{00000000-0005-0000-0000-000019000000}"/>
    <cellStyle name="60% - Accent3" xfId="15" xr:uid="{00000000-0005-0000-0000-00001A000000}"/>
    <cellStyle name="60% - Accent4" xfId="16" xr:uid="{00000000-0005-0000-0000-00001B000000}"/>
    <cellStyle name="60% - Accent5" xfId="17" xr:uid="{00000000-0005-0000-0000-00001C000000}"/>
    <cellStyle name="60% - Accent6" xfId="18" xr:uid="{00000000-0005-0000-0000-00001D000000}"/>
    <cellStyle name="60% - Énfasis1 2" xfId="1975" xr:uid="{00000000-0005-0000-0000-00001E000000}"/>
    <cellStyle name="60% - Énfasis2 2" xfId="1976" xr:uid="{00000000-0005-0000-0000-00001F000000}"/>
    <cellStyle name="60% - Énfasis3 2" xfId="1977" xr:uid="{00000000-0005-0000-0000-000020000000}"/>
    <cellStyle name="60% - Énfasis4 2" xfId="1978" xr:uid="{00000000-0005-0000-0000-000021000000}"/>
    <cellStyle name="60% - Énfasis5 2" xfId="1979" xr:uid="{00000000-0005-0000-0000-000022000000}"/>
    <cellStyle name="60% - Énfasis6 2" xfId="1980" xr:uid="{00000000-0005-0000-0000-000023000000}"/>
    <cellStyle name="Accent1" xfId="19" xr:uid="{00000000-0005-0000-0000-000024000000}"/>
    <cellStyle name="Accent2" xfId="20" xr:uid="{00000000-0005-0000-0000-000025000000}"/>
    <cellStyle name="Accent3" xfId="21" xr:uid="{00000000-0005-0000-0000-000026000000}"/>
    <cellStyle name="Accent4" xfId="22" xr:uid="{00000000-0005-0000-0000-000027000000}"/>
    <cellStyle name="Accent5" xfId="23" xr:uid="{00000000-0005-0000-0000-000028000000}"/>
    <cellStyle name="Accent6" xfId="24" xr:uid="{00000000-0005-0000-0000-000029000000}"/>
    <cellStyle name="ACOMETIDAS" xfId="25" xr:uid="{00000000-0005-0000-0000-00002A000000}"/>
    <cellStyle name="args.style" xfId="26" xr:uid="{00000000-0005-0000-0000-00002B000000}"/>
    <cellStyle name="ATITULO" xfId="2246" xr:uid="{00000000-0005-0000-0000-00002C000000}"/>
    <cellStyle name="Bad" xfId="27" xr:uid="{00000000-0005-0000-0000-00002D000000}"/>
    <cellStyle name="BATTY" xfId="28" xr:uid="{00000000-0005-0000-0000-00002E000000}"/>
    <cellStyle name="Buena 2" xfId="1981" xr:uid="{00000000-0005-0000-0000-00002F000000}"/>
    <cellStyle name="ç" xfId="29" xr:uid="{00000000-0005-0000-0000-000030000000}"/>
    <cellStyle name="ç_4. Presup SE GRUPO 3" xfId="30" xr:uid="{00000000-0005-0000-0000-000031000000}"/>
    <cellStyle name="ç_Anex. 1.1 al 2.18-prefact" xfId="31" xr:uid="{00000000-0005-0000-0000-000032000000}"/>
    <cellStyle name="ç_Anex. 1.1 al 2.18-prefact_ELET_RURAL GRUPO 3 - ITEM 2-V01" xfId="32" xr:uid="{00000000-0005-0000-0000-000033000000}"/>
    <cellStyle name="ç_Anex. 1.1 al 2.18-prefact_PropuestaCorregidaSan Juan Bautista" xfId="33" xr:uid="{00000000-0005-0000-0000-000034000000}"/>
    <cellStyle name="ç_Anex. 1.1 al 2.18-prefact_Resumen Grupo 3 LP" xfId="34" xr:uid="{00000000-0005-0000-0000-000035000000}"/>
    <cellStyle name="ç_Anex. 1.1 al 2.18-prefact_Resumen RS Grupo 3" xfId="35" xr:uid="{00000000-0005-0000-0000-000036000000}"/>
    <cellStyle name="ç_Anex. 1.1 al 2.18-prefact_VALOR REFER. ELET_RURAL GRUPO 2" xfId="36" xr:uid="{00000000-0005-0000-0000-000037000000}"/>
    <cellStyle name="ç_Anexo F" xfId="37" xr:uid="{00000000-0005-0000-0000-000038000000}"/>
    <cellStyle name="ç_CAPTA CLTES MAYORES FINAL (version 1) (version 1)" xfId="2247" xr:uid="{00000000-0005-0000-0000-000039000000}"/>
    <cellStyle name="ç_criterios" xfId="38" xr:uid="{00000000-0005-0000-0000-00003A000000}"/>
    <cellStyle name="ç_CUADROS_ VALORIZACIONES_MARZO_RAMAL_2" xfId="39" xr:uid="{00000000-0005-0000-0000-00003B000000}"/>
    <cellStyle name="ç_D2.01-D2.06-D2.07 Res Gen -Gastos Gen-Estd Ing Proy 2" xfId="40" xr:uid="{00000000-0005-0000-0000-00003C000000}"/>
    <cellStyle name="ç_Datos Generales-ok" xfId="41" xr:uid="{00000000-0005-0000-0000-00003D000000}"/>
    <cellStyle name="ç_EJEMPLO PRESUPUESTO CHIMBOTE2" xfId="2248" xr:uid="{00000000-0005-0000-0000-00003E000000}"/>
    <cellStyle name="ç_ESTIMADO ALIM A4124 Y RP - RS(YO)" xfId="2249" xr:uid="{00000000-0005-0000-0000-00003F000000}"/>
    <cellStyle name="ç_Grupo 9 - PNER Cajamarca" xfId="42" xr:uid="{00000000-0005-0000-0000-000040000000}"/>
    <cellStyle name="ç_Indicadores Mercado-ok-Amazonas" xfId="43" xr:uid="{00000000-0005-0000-0000-000041000000}"/>
    <cellStyle name="ç_Libro2" xfId="44" xr:uid="{00000000-0005-0000-0000-000042000000}"/>
    <cellStyle name="ç_Marco Logico" xfId="45" xr:uid="{00000000-0005-0000-0000-000043000000}"/>
    <cellStyle name="ç_Marco Logico_004_Valor Referencial (Grupo N°10)" xfId="2250" xr:uid="{00000000-0005-0000-0000-000044000000}"/>
    <cellStyle name="ç_Marco Logico_Copia de PRESUPUESTO GRUPO 11_6" xfId="2251" xr:uid="{00000000-0005-0000-0000-000045000000}"/>
    <cellStyle name="ç_Marco Logico_ELET_RURAL GRUPO 3 - ITEM 2-V01" xfId="46" xr:uid="{00000000-0005-0000-0000-000046000000}"/>
    <cellStyle name="ç_Marco Logico_PRESUPUESTO GRUPO 9_ITEM 2_4" xfId="2252" xr:uid="{00000000-0005-0000-0000-000047000000}"/>
    <cellStyle name="ç_Marco Logico_PropuestaCorregidaSan Juan Bautista" xfId="47" xr:uid="{00000000-0005-0000-0000-000048000000}"/>
    <cellStyle name="ç_Marco Logico_Resumen Grupo 3 LP" xfId="48" xr:uid="{00000000-0005-0000-0000-000049000000}"/>
    <cellStyle name="ç_Marco Logico_Resumen RS Grupo 3" xfId="49" xr:uid="{00000000-0005-0000-0000-00004A000000}"/>
    <cellStyle name="ç_Marco Logico_VALOR REFER. ELET_RURAL GRUPO 2" xfId="50" xr:uid="{00000000-0005-0000-0000-00004B000000}"/>
    <cellStyle name="ç_Metrado Bambamarca" xfId="51" xr:uid="{00000000-0005-0000-0000-00004C000000}"/>
    <cellStyle name="ç_METRADO BASE HUANUCO1" xfId="2253" xr:uid="{00000000-0005-0000-0000-00004D000000}"/>
    <cellStyle name="ç_METRADO BASE HVCA" xfId="2254" xr:uid="{00000000-0005-0000-0000-00004E000000}"/>
    <cellStyle name="ç_Metrado Chota" xfId="52" xr:uid="{00000000-0005-0000-0000-00004F000000}"/>
    <cellStyle name="ç_METRADO REHABILITACION ALIM A4008" xfId="2255" xr:uid="{00000000-0005-0000-0000-000050000000}"/>
    <cellStyle name="ç_METRADO STA+" xfId="53" xr:uid="{00000000-0005-0000-0000-000051000000}"/>
    <cellStyle name="ç_MTDO Y PPTO MT Y BT-FINAL_" xfId="2256" xr:uid="{00000000-0005-0000-0000-000052000000}"/>
    <cellStyle name="ç_MTDO Y PPTO REMOD BT HV" xfId="2257" xr:uid="{00000000-0005-0000-0000-000053000000}"/>
    <cellStyle name="ç_MTDO Y PPTO REMOD RP LURI" xfId="54" xr:uid="{00000000-0005-0000-0000-000054000000}"/>
    <cellStyle name="ç_Nivel de Aislam" xfId="55" xr:uid="{00000000-0005-0000-0000-000055000000}"/>
    <cellStyle name="ç_P.U" xfId="2258" xr:uid="{00000000-0005-0000-0000-000056000000}"/>
    <cellStyle name="ç_presupuesto  PSE MCrisnejas 1" xfId="2259" xr:uid="{00000000-0005-0000-0000-000057000000}"/>
    <cellStyle name="ç_PRESUPUESTO CACI XII_1" xfId="2260" xr:uid="{00000000-0005-0000-0000-000058000000}"/>
    <cellStyle name="ç_PRESUPUESTO CHICLAYO, LAMBAYEQUE" xfId="2261" xr:uid="{00000000-0005-0000-0000-000059000000}"/>
    <cellStyle name="ç_PRESUPUESTO FERREÑAFE4" xfId="2262" xr:uid="{00000000-0005-0000-0000-00005A000000}"/>
    <cellStyle name="ç_PRESUPUESTO FINAL REMODELACION TARMA" xfId="2263" xr:uid="{00000000-0005-0000-0000-00005B000000}"/>
    <cellStyle name="ç_PRESUPUESTO REMODELACION  VALLE MANTARO FINAL" xfId="2264" xr:uid="{00000000-0005-0000-0000-00005C000000}"/>
    <cellStyle name="ç_PRESUPUESTO REMODELACION HUANCAYO 3(final)" xfId="2265" xr:uid="{00000000-0005-0000-0000-00005D000000}"/>
    <cellStyle name="ç_PRESUPUESTO TARMA 4" xfId="2266" xr:uid="{00000000-0005-0000-0000-00005E000000}"/>
    <cellStyle name="ç_PRESUPUESTO Viru 5" xfId="2267" xr:uid="{00000000-0005-0000-0000-00005F000000}"/>
    <cellStyle name="ç_pu" xfId="2268" xr:uid="{00000000-0005-0000-0000-000060000000}"/>
    <cellStyle name="ç_Resumen de Gastos Generales" xfId="56" xr:uid="{00000000-0005-0000-0000-000061000000}"/>
    <cellStyle name="ç_Resumen Presup. Aranceles" xfId="57" xr:uid="{00000000-0005-0000-0000-000062000000}"/>
    <cellStyle name="ç_Resumen valoril (3)" xfId="58" xr:uid="{00000000-0005-0000-0000-000063000000}"/>
    <cellStyle name="ç_SSEE Elevadoras" xfId="59" xr:uid="{00000000-0005-0000-0000-000064000000}"/>
    <cellStyle name="ç_VAL 03-MAR 2008-CONTRATISTA_Rev01" xfId="60" xr:uid="{00000000-0005-0000-0000-000065000000}"/>
    <cellStyle name="ç_VALORIZACION 03-MARZO 08_Rev02" xfId="61" xr:uid="{00000000-0005-0000-0000-000066000000}"/>
    <cellStyle name="ç_VALORIZACION Nº 03_CONDOR" xfId="62" xr:uid="{00000000-0005-0000-0000-000067000000}"/>
    <cellStyle name="ç_xx" xfId="63" xr:uid="{00000000-0005-0000-0000-000068000000}"/>
    <cellStyle name="ç_xx 10" xfId="64" xr:uid="{00000000-0005-0000-0000-000069000000}"/>
    <cellStyle name="ç_xx 11" xfId="65" xr:uid="{00000000-0005-0000-0000-00006A000000}"/>
    <cellStyle name="ç_xx 12" xfId="66" xr:uid="{00000000-0005-0000-0000-00006B000000}"/>
    <cellStyle name="ç_xx 13" xfId="67" xr:uid="{00000000-0005-0000-0000-00006C000000}"/>
    <cellStyle name="ç_xx 14" xfId="68" xr:uid="{00000000-0005-0000-0000-00006D000000}"/>
    <cellStyle name="ç_xx 15" xfId="69" xr:uid="{00000000-0005-0000-0000-00006E000000}"/>
    <cellStyle name="ç_xx 16" xfId="70" xr:uid="{00000000-0005-0000-0000-00006F000000}"/>
    <cellStyle name="ç_xx 17" xfId="71" xr:uid="{00000000-0005-0000-0000-000070000000}"/>
    <cellStyle name="ç_xx 18" xfId="72" xr:uid="{00000000-0005-0000-0000-000071000000}"/>
    <cellStyle name="ç_xx 19" xfId="73" xr:uid="{00000000-0005-0000-0000-000072000000}"/>
    <cellStyle name="ç_xx 2" xfId="74" xr:uid="{00000000-0005-0000-0000-000073000000}"/>
    <cellStyle name="ç_xx 20" xfId="75" xr:uid="{00000000-0005-0000-0000-000074000000}"/>
    <cellStyle name="ç_xx 21" xfId="76" xr:uid="{00000000-0005-0000-0000-000075000000}"/>
    <cellStyle name="ç_xx 22" xfId="77" xr:uid="{00000000-0005-0000-0000-000076000000}"/>
    <cellStyle name="ç_xx 23" xfId="78" xr:uid="{00000000-0005-0000-0000-000077000000}"/>
    <cellStyle name="ç_xx 24" xfId="79" xr:uid="{00000000-0005-0000-0000-000078000000}"/>
    <cellStyle name="ç_xx 25" xfId="80" xr:uid="{00000000-0005-0000-0000-000079000000}"/>
    <cellStyle name="ç_xx 26" xfId="81" xr:uid="{00000000-0005-0000-0000-00007A000000}"/>
    <cellStyle name="ç_xx 27" xfId="82" xr:uid="{00000000-0005-0000-0000-00007B000000}"/>
    <cellStyle name="ç_xx 28" xfId="83" xr:uid="{00000000-0005-0000-0000-00007C000000}"/>
    <cellStyle name="ç_xx 29" xfId="84" xr:uid="{00000000-0005-0000-0000-00007D000000}"/>
    <cellStyle name="ç_xx 3" xfId="85" xr:uid="{00000000-0005-0000-0000-00007E000000}"/>
    <cellStyle name="ç_xx 30" xfId="86" xr:uid="{00000000-0005-0000-0000-00007F000000}"/>
    <cellStyle name="ç_xx 31" xfId="87" xr:uid="{00000000-0005-0000-0000-000080000000}"/>
    <cellStyle name="ç_xx 32" xfId="88" xr:uid="{00000000-0005-0000-0000-000081000000}"/>
    <cellStyle name="ç_xx 33" xfId="89" xr:uid="{00000000-0005-0000-0000-000082000000}"/>
    <cellStyle name="ç_xx 34" xfId="90" xr:uid="{00000000-0005-0000-0000-000083000000}"/>
    <cellStyle name="ç_xx 35" xfId="91" xr:uid="{00000000-0005-0000-0000-000084000000}"/>
    <cellStyle name="ç_xx 36" xfId="92" xr:uid="{00000000-0005-0000-0000-000085000000}"/>
    <cellStyle name="ç_xx 37" xfId="93" xr:uid="{00000000-0005-0000-0000-000086000000}"/>
    <cellStyle name="ç_xx 38" xfId="94" xr:uid="{00000000-0005-0000-0000-000087000000}"/>
    <cellStyle name="ç_xx 39" xfId="95" xr:uid="{00000000-0005-0000-0000-000088000000}"/>
    <cellStyle name="ç_xx 4" xfId="96" xr:uid="{00000000-0005-0000-0000-000089000000}"/>
    <cellStyle name="ç_xx 40" xfId="97" xr:uid="{00000000-0005-0000-0000-00008A000000}"/>
    <cellStyle name="ç_xx 41" xfId="98" xr:uid="{00000000-0005-0000-0000-00008B000000}"/>
    <cellStyle name="ç_xx 42" xfId="99" xr:uid="{00000000-0005-0000-0000-00008C000000}"/>
    <cellStyle name="ç_xx 43" xfId="100" xr:uid="{00000000-0005-0000-0000-00008D000000}"/>
    <cellStyle name="ç_xx 44" xfId="101" xr:uid="{00000000-0005-0000-0000-00008E000000}"/>
    <cellStyle name="ç_xx 45" xfId="102" xr:uid="{00000000-0005-0000-0000-00008F000000}"/>
    <cellStyle name="ç_xx 46" xfId="103" xr:uid="{00000000-0005-0000-0000-000090000000}"/>
    <cellStyle name="ç_xx 47" xfId="104" xr:uid="{00000000-0005-0000-0000-000091000000}"/>
    <cellStyle name="ç_xx 48" xfId="105" xr:uid="{00000000-0005-0000-0000-000092000000}"/>
    <cellStyle name="ç_xx 49" xfId="106" xr:uid="{00000000-0005-0000-0000-000093000000}"/>
    <cellStyle name="ç_xx 5" xfId="107" xr:uid="{00000000-0005-0000-0000-000094000000}"/>
    <cellStyle name="ç_xx 50" xfId="108" xr:uid="{00000000-0005-0000-0000-000095000000}"/>
    <cellStyle name="ç_xx 51" xfId="109" xr:uid="{00000000-0005-0000-0000-000096000000}"/>
    <cellStyle name="ç_xx 52" xfId="110" xr:uid="{00000000-0005-0000-0000-000097000000}"/>
    <cellStyle name="ç_xx 53" xfId="111" xr:uid="{00000000-0005-0000-0000-000098000000}"/>
    <cellStyle name="ç_xx 54" xfId="112" xr:uid="{00000000-0005-0000-0000-000099000000}"/>
    <cellStyle name="ç_xx 55" xfId="113" xr:uid="{00000000-0005-0000-0000-00009A000000}"/>
    <cellStyle name="ç_xx 6" xfId="114" xr:uid="{00000000-0005-0000-0000-00009B000000}"/>
    <cellStyle name="ç_xx 7" xfId="115" xr:uid="{00000000-0005-0000-0000-00009C000000}"/>
    <cellStyle name="ç_xx 8" xfId="116" xr:uid="{00000000-0005-0000-0000-00009D000000}"/>
    <cellStyle name="ç_xx 9" xfId="117" xr:uid="{00000000-0005-0000-0000-00009E000000}"/>
    <cellStyle name="ç_xx_Axo E 2.3 G1-1 ok+" xfId="2269" xr:uid="{00000000-0005-0000-0000-00009F000000}"/>
    <cellStyle name="ç_xx_ELET_RURAL GRUPO 3 - ITEM 2-V01" xfId="118" xr:uid="{00000000-0005-0000-0000-0000A0000000}"/>
    <cellStyle name="ç_xx_MyP%20HDNA(1)" xfId="2270" xr:uid="{00000000-0005-0000-0000-0000A1000000}"/>
    <cellStyle name="ç_xx_PRESUPUESTO BT  Precios     MEM 2006  RS" xfId="2271" xr:uid="{00000000-0005-0000-0000-0000A2000000}"/>
    <cellStyle name="ç_xx_PRESUPUESTO BT  Precios     MEM 2006  RS_Estimado Cajabamba" xfId="2272" xr:uid="{00000000-0005-0000-0000-0000A3000000}"/>
    <cellStyle name="ç_xx_PRESUPUESTO BT  Precios     MEM 2006  RS_Presupuesto final SanGregorio" xfId="2273" xr:uid="{00000000-0005-0000-0000-0000A4000000}"/>
    <cellStyle name="ç_xx_presupuesto Huaylas final" xfId="2274" xr:uid="{00000000-0005-0000-0000-0000A5000000}"/>
    <cellStyle name="ç_xx_PropuestaCorregidaSan Juan Bautista" xfId="119" xr:uid="{00000000-0005-0000-0000-0000A6000000}"/>
    <cellStyle name="ç_xx_Resumen Gastos Generale E.R. GRUPO 2" xfId="120" xr:uid="{00000000-0005-0000-0000-0000A7000000}"/>
    <cellStyle name="Calc Currency (0)" xfId="121" xr:uid="{00000000-0005-0000-0000-0000A8000000}"/>
    <cellStyle name="Calc Currency (0) 2" xfId="1982" xr:uid="{00000000-0005-0000-0000-0000A9000000}"/>
    <cellStyle name="Calc Currency (0) 3" xfId="2788" xr:uid="{E6290310-F149-4F47-8C0C-B47F679D5E59}"/>
    <cellStyle name="Calculation" xfId="122" xr:uid="{00000000-0005-0000-0000-0000AA000000}"/>
    <cellStyle name="Cálculo 2" xfId="1983" xr:uid="{00000000-0005-0000-0000-0000AB000000}"/>
    <cellStyle name="Cancel" xfId="123" xr:uid="{00000000-0005-0000-0000-0000AC000000}"/>
    <cellStyle name="Cancel 10" xfId="124" xr:uid="{00000000-0005-0000-0000-0000AD000000}"/>
    <cellStyle name="Cancel 11" xfId="125" xr:uid="{00000000-0005-0000-0000-0000AE000000}"/>
    <cellStyle name="Cancel 12" xfId="126" xr:uid="{00000000-0005-0000-0000-0000AF000000}"/>
    <cellStyle name="Cancel 13" xfId="127" xr:uid="{00000000-0005-0000-0000-0000B0000000}"/>
    <cellStyle name="Cancel 14" xfId="128" xr:uid="{00000000-0005-0000-0000-0000B1000000}"/>
    <cellStyle name="Cancel 15" xfId="129" xr:uid="{00000000-0005-0000-0000-0000B2000000}"/>
    <cellStyle name="Cancel 16" xfId="130" xr:uid="{00000000-0005-0000-0000-0000B3000000}"/>
    <cellStyle name="Cancel 17" xfId="131" xr:uid="{00000000-0005-0000-0000-0000B4000000}"/>
    <cellStyle name="Cancel 18" xfId="132" xr:uid="{00000000-0005-0000-0000-0000B5000000}"/>
    <cellStyle name="Cancel 19" xfId="133" xr:uid="{00000000-0005-0000-0000-0000B6000000}"/>
    <cellStyle name="Cancel 2" xfId="134" xr:uid="{00000000-0005-0000-0000-0000B7000000}"/>
    <cellStyle name="Cancel 2 2" xfId="2244" xr:uid="{00000000-0005-0000-0000-0000B8000000}"/>
    <cellStyle name="Cancel 2 2 2" xfId="3356" xr:uid="{4BEE70CC-6AE4-4128-9C91-97B88DC4B921}"/>
    <cellStyle name="Cancel 20" xfId="135" xr:uid="{00000000-0005-0000-0000-0000B9000000}"/>
    <cellStyle name="Cancel 21" xfId="136" xr:uid="{00000000-0005-0000-0000-0000BA000000}"/>
    <cellStyle name="Cancel 22" xfId="137" xr:uid="{00000000-0005-0000-0000-0000BB000000}"/>
    <cellStyle name="Cancel 23" xfId="138" xr:uid="{00000000-0005-0000-0000-0000BC000000}"/>
    <cellStyle name="Cancel 24" xfId="139" xr:uid="{00000000-0005-0000-0000-0000BD000000}"/>
    <cellStyle name="Cancel 25" xfId="140" xr:uid="{00000000-0005-0000-0000-0000BE000000}"/>
    <cellStyle name="Cancel 26" xfId="141" xr:uid="{00000000-0005-0000-0000-0000BF000000}"/>
    <cellStyle name="Cancel 27" xfId="142" xr:uid="{00000000-0005-0000-0000-0000C0000000}"/>
    <cellStyle name="Cancel 28" xfId="143" xr:uid="{00000000-0005-0000-0000-0000C1000000}"/>
    <cellStyle name="Cancel 29" xfId="144" xr:uid="{00000000-0005-0000-0000-0000C2000000}"/>
    <cellStyle name="Cancel 3" xfId="145" xr:uid="{00000000-0005-0000-0000-0000C3000000}"/>
    <cellStyle name="Cancel 3 2" xfId="2768" xr:uid="{00000000-0005-0000-0000-0000C4000000}"/>
    <cellStyle name="Cancel 3 3" xfId="2789" xr:uid="{7EBC193F-146A-4294-B8B9-4D1585695FCE}"/>
    <cellStyle name="Cancel 30" xfId="146" xr:uid="{00000000-0005-0000-0000-0000C5000000}"/>
    <cellStyle name="Cancel 31" xfId="147" xr:uid="{00000000-0005-0000-0000-0000C6000000}"/>
    <cellStyle name="Cancel 32" xfId="148" xr:uid="{00000000-0005-0000-0000-0000C7000000}"/>
    <cellStyle name="Cancel 33" xfId="149" xr:uid="{00000000-0005-0000-0000-0000C8000000}"/>
    <cellStyle name="Cancel 34" xfId="150" xr:uid="{00000000-0005-0000-0000-0000C9000000}"/>
    <cellStyle name="Cancel 35" xfId="151" xr:uid="{00000000-0005-0000-0000-0000CA000000}"/>
    <cellStyle name="Cancel 36" xfId="152" xr:uid="{00000000-0005-0000-0000-0000CB000000}"/>
    <cellStyle name="Cancel 37" xfId="153" xr:uid="{00000000-0005-0000-0000-0000CC000000}"/>
    <cellStyle name="Cancel 38" xfId="154" xr:uid="{00000000-0005-0000-0000-0000CD000000}"/>
    <cellStyle name="Cancel 39" xfId="155" xr:uid="{00000000-0005-0000-0000-0000CE000000}"/>
    <cellStyle name="Cancel 4" xfId="156" xr:uid="{00000000-0005-0000-0000-0000CF000000}"/>
    <cellStyle name="Cancel 40" xfId="157" xr:uid="{00000000-0005-0000-0000-0000D0000000}"/>
    <cellStyle name="Cancel 41" xfId="158" xr:uid="{00000000-0005-0000-0000-0000D1000000}"/>
    <cellStyle name="Cancel 42" xfId="159" xr:uid="{00000000-0005-0000-0000-0000D2000000}"/>
    <cellStyle name="Cancel 43" xfId="160" xr:uid="{00000000-0005-0000-0000-0000D3000000}"/>
    <cellStyle name="Cancel 44" xfId="161" xr:uid="{00000000-0005-0000-0000-0000D4000000}"/>
    <cellStyle name="Cancel 45" xfId="162" xr:uid="{00000000-0005-0000-0000-0000D5000000}"/>
    <cellStyle name="Cancel 46" xfId="163" xr:uid="{00000000-0005-0000-0000-0000D6000000}"/>
    <cellStyle name="Cancel 47" xfId="164" xr:uid="{00000000-0005-0000-0000-0000D7000000}"/>
    <cellStyle name="Cancel 48" xfId="165" xr:uid="{00000000-0005-0000-0000-0000D8000000}"/>
    <cellStyle name="Cancel 49" xfId="166" xr:uid="{00000000-0005-0000-0000-0000D9000000}"/>
    <cellStyle name="Cancel 5" xfId="167" xr:uid="{00000000-0005-0000-0000-0000DA000000}"/>
    <cellStyle name="Cancel 50" xfId="168" xr:uid="{00000000-0005-0000-0000-0000DB000000}"/>
    <cellStyle name="Cancel 51" xfId="169" xr:uid="{00000000-0005-0000-0000-0000DC000000}"/>
    <cellStyle name="Cancel 52" xfId="170" xr:uid="{00000000-0005-0000-0000-0000DD000000}"/>
    <cellStyle name="Cancel 53" xfId="171" xr:uid="{00000000-0005-0000-0000-0000DE000000}"/>
    <cellStyle name="Cancel 54" xfId="172" xr:uid="{00000000-0005-0000-0000-0000DF000000}"/>
    <cellStyle name="Cancel 55" xfId="173" xr:uid="{00000000-0005-0000-0000-0000E0000000}"/>
    <cellStyle name="Cancel 56" xfId="174" xr:uid="{00000000-0005-0000-0000-0000E1000000}"/>
    <cellStyle name="Cancel 57" xfId="175" xr:uid="{00000000-0005-0000-0000-0000E2000000}"/>
    <cellStyle name="Cancel 58" xfId="176" xr:uid="{00000000-0005-0000-0000-0000E3000000}"/>
    <cellStyle name="Cancel 59" xfId="2776" xr:uid="{00000000-0005-0000-0000-0000E4000000}"/>
    <cellStyle name="Cancel 6" xfId="177" xr:uid="{00000000-0005-0000-0000-0000E5000000}"/>
    <cellStyle name="Cancel 7" xfId="178" xr:uid="{00000000-0005-0000-0000-0000E6000000}"/>
    <cellStyle name="Cancel 8" xfId="179" xr:uid="{00000000-0005-0000-0000-0000E7000000}"/>
    <cellStyle name="Cancel 9" xfId="180" xr:uid="{00000000-0005-0000-0000-0000E8000000}"/>
    <cellStyle name="Cancel_1. Presup RS ZONA NORTE - GRUPO 1" xfId="181" xr:uid="{00000000-0005-0000-0000-0000E9000000}"/>
    <cellStyle name="Cancel_Resumen RS Grupo 3" xfId="2781" xr:uid="{00000000-0005-0000-0000-0000EA000000}"/>
    <cellStyle name="Celda de comprobación 2" xfId="1984" xr:uid="{00000000-0005-0000-0000-0000EB000000}"/>
    <cellStyle name="Celda vinculada 2" xfId="1985" xr:uid="{00000000-0005-0000-0000-0000EC000000}"/>
    <cellStyle name="Check Cell" xfId="182" xr:uid="{00000000-0005-0000-0000-0000ED000000}"/>
    <cellStyle name="Comma" xfId="183" xr:uid="{00000000-0005-0000-0000-0000EE000000}"/>
    <cellStyle name="Comma 2" xfId="184" xr:uid="{00000000-0005-0000-0000-0000F0000000}"/>
    <cellStyle name="Comma 3" xfId="185" xr:uid="{00000000-0005-0000-0000-0000F1000000}"/>
    <cellStyle name="Comma 3 2" xfId="2790" xr:uid="{1AA106C0-8470-4ED7-A25D-0FFBCB4EB431}"/>
    <cellStyle name="Comma0" xfId="186" xr:uid="{00000000-0005-0000-0000-0000F3000000}"/>
    <cellStyle name="Comma0 - Style1" xfId="187" xr:uid="{00000000-0005-0000-0000-0000F4000000}"/>
    <cellStyle name="Comma0 - Style1 2" xfId="1986" xr:uid="{00000000-0005-0000-0000-0000F5000000}"/>
    <cellStyle name="Comma0 - Style2" xfId="188" xr:uid="{00000000-0005-0000-0000-0000F6000000}"/>
    <cellStyle name="Comma0_01 Cuadros_Valorizacion01_Febrero Satipo Ramal 2" xfId="189" xr:uid="{00000000-0005-0000-0000-0000F7000000}"/>
    <cellStyle name="Comma1 - Estilo1" xfId="190" xr:uid="{00000000-0005-0000-0000-0000F8000000}"/>
    <cellStyle name="Comma1 - Style1" xfId="191" xr:uid="{00000000-0005-0000-0000-0000F9000000}"/>
    <cellStyle name="Comma1 - Style2" xfId="192" xr:uid="{00000000-0005-0000-0000-0000FA000000}"/>
    <cellStyle name="Copied" xfId="193" xr:uid="{00000000-0005-0000-0000-0000FB000000}"/>
    <cellStyle name="COST1" xfId="194" xr:uid="{00000000-0005-0000-0000-0000FC000000}"/>
    <cellStyle name="Currency" xfId="195" xr:uid="{00000000-0005-0000-0000-0000FD000000}"/>
    <cellStyle name="Currency0" xfId="196" xr:uid="{00000000-0005-0000-0000-000000010000}"/>
    <cellStyle name="Date" xfId="197" xr:uid="{00000000-0005-0000-0000-000001010000}"/>
    <cellStyle name="Date 2" xfId="1987" xr:uid="{00000000-0005-0000-0000-000002010000}"/>
    <cellStyle name="Dia" xfId="198" xr:uid="{00000000-0005-0000-0000-000003010000}"/>
    <cellStyle name="DIA 10" xfId="199" xr:uid="{00000000-0005-0000-0000-000004010000}"/>
    <cellStyle name="DIA 11" xfId="200" xr:uid="{00000000-0005-0000-0000-000005010000}"/>
    <cellStyle name="DIA 12" xfId="201" xr:uid="{00000000-0005-0000-0000-000006010000}"/>
    <cellStyle name="DIA 13" xfId="202" xr:uid="{00000000-0005-0000-0000-000007010000}"/>
    <cellStyle name="DIA 14" xfId="203" xr:uid="{00000000-0005-0000-0000-000008010000}"/>
    <cellStyle name="DIA 15" xfId="204" xr:uid="{00000000-0005-0000-0000-000009010000}"/>
    <cellStyle name="DIA 16" xfId="205" xr:uid="{00000000-0005-0000-0000-00000A010000}"/>
    <cellStyle name="DIA 17" xfId="206" xr:uid="{00000000-0005-0000-0000-00000B010000}"/>
    <cellStyle name="DIA 18" xfId="207" xr:uid="{00000000-0005-0000-0000-00000C010000}"/>
    <cellStyle name="DIA 19" xfId="208" xr:uid="{00000000-0005-0000-0000-00000D010000}"/>
    <cellStyle name="DIA 2" xfId="209" xr:uid="{00000000-0005-0000-0000-00000E010000}"/>
    <cellStyle name="DIA 20" xfId="210" xr:uid="{00000000-0005-0000-0000-00000F010000}"/>
    <cellStyle name="DIA 21" xfId="211" xr:uid="{00000000-0005-0000-0000-000010010000}"/>
    <cellStyle name="DIA 22" xfId="212" xr:uid="{00000000-0005-0000-0000-000011010000}"/>
    <cellStyle name="DIA 23" xfId="213" xr:uid="{00000000-0005-0000-0000-000012010000}"/>
    <cellStyle name="DIA 24" xfId="214" xr:uid="{00000000-0005-0000-0000-000013010000}"/>
    <cellStyle name="DIA 25" xfId="215" xr:uid="{00000000-0005-0000-0000-000014010000}"/>
    <cellStyle name="DIA 26" xfId="216" xr:uid="{00000000-0005-0000-0000-000015010000}"/>
    <cellStyle name="DIA 27" xfId="217" xr:uid="{00000000-0005-0000-0000-000016010000}"/>
    <cellStyle name="DIA 28" xfId="218" xr:uid="{00000000-0005-0000-0000-000017010000}"/>
    <cellStyle name="DIA 29" xfId="219" xr:uid="{00000000-0005-0000-0000-000018010000}"/>
    <cellStyle name="DIA 3" xfId="220" xr:uid="{00000000-0005-0000-0000-000019010000}"/>
    <cellStyle name="DIA 30" xfId="221" xr:uid="{00000000-0005-0000-0000-00001A010000}"/>
    <cellStyle name="DIA 31" xfId="222" xr:uid="{00000000-0005-0000-0000-00001B010000}"/>
    <cellStyle name="DIA 32" xfId="223" xr:uid="{00000000-0005-0000-0000-00001C010000}"/>
    <cellStyle name="DIA 33" xfId="224" xr:uid="{00000000-0005-0000-0000-00001D010000}"/>
    <cellStyle name="DIA 34" xfId="225" xr:uid="{00000000-0005-0000-0000-00001E010000}"/>
    <cellStyle name="DIA 35" xfId="226" xr:uid="{00000000-0005-0000-0000-00001F010000}"/>
    <cellStyle name="DIA 36" xfId="227" xr:uid="{00000000-0005-0000-0000-000020010000}"/>
    <cellStyle name="DIA 37" xfId="228" xr:uid="{00000000-0005-0000-0000-000021010000}"/>
    <cellStyle name="DIA 38" xfId="229" xr:uid="{00000000-0005-0000-0000-000022010000}"/>
    <cellStyle name="DIA 39" xfId="230" xr:uid="{00000000-0005-0000-0000-000023010000}"/>
    <cellStyle name="DIA 4" xfId="231" xr:uid="{00000000-0005-0000-0000-000024010000}"/>
    <cellStyle name="DIA 40" xfId="232" xr:uid="{00000000-0005-0000-0000-000025010000}"/>
    <cellStyle name="DIA 41" xfId="233" xr:uid="{00000000-0005-0000-0000-000026010000}"/>
    <cellStyle name="DIA 42" xfId="234" xr:uid="{00000000-0005-0000-0000-000027010000}"/>
    <cellStyle name="DIA 43" xfId="235" xr:uid="{00000000-0005-0000-0000-000028010000}"/>
    <cellStyle name="DIA 44" xfId="236" xr:uid="{00000000-0005-0000-0000-000029010000}"/>
    <cellStyle name="DIA 45" xfId="237" xr:uid="{00000000-0005-0000-0000-00002A010000}"/>
    <cellStyle name="DIA 46" xfId="238" xr:uid="{00000000-0005-0000-0000-00002B010000}"/>
    <cellStyle name="DIA 47" xfId="239" xr:uid="{00000000-0005-0000-0000-00002C010000}"/>
    <cellStyle name="DIA 48" xfId="240" xr:uid="{00000000-0005-0000-0000-00002D010000}"/>
    <cellStyle name="DIA 49" xfId="241" xr:uid="{00000000-0005-0000-0000-00002E010000}"/>
    <cellStyle name="DIA 5" xfId="242" xr:uid="{00000000-0005-0000-0000-00002F010000}"/>
    <cellStyle name="DIA 50" xfId="243" xr:uid="{00000000-0005-0000-0000-000030010000}"/>
    <cellStyle name="DIA 51" xfId="244" xr:uid="{00000000-0005-0000-0000-000031010000}"/>
    <cellStyle name="DIA 52" xfId="245" xr:uid="{00000000-0005-0000-0000-000032010000}"/>
    <cellStyle name="DIA 53" xfId="246" xr:uid="{00000000-0005-0000-0000-000033010000}"/>
    <cellStyle name="DIA 54" xfId="247" xr:uid="{00000000-0005-0000-0000-000034010000}"/>
    <cellStyle name="DIA 55" xfId="248" xr:uid="{00000000-0005-0000-0000-000035010000}"/>
    <cellStyle name="DIA 56" xfId="249" xr:uid="{00000000-0005-0000-0000-000036010000}"/>
    <cellStyle name="DIA 57" xfId="250" xr:uid="{00000000-0005-0000-0000-000037010000}"/>
    <cellStyle name="DIA 58" xfId="251" xr:uid="{00000000-0005-0000-0000-000038010000}"/>
    <cellStyle name="DIA 59" xfId="252" xr:uid="{00000000-0005-0000-0000-000039010000}"/>
    <cellStyle name="DIA 6" xfId="253" xr:uid="{00000000-0005-0000-0000-00003A010000}"/>
    <cellStyle name="DIA 60" xfId="254" xr:uid="{00000000-0005-0000-0000-00003B010000}"/>
    <cellStyle name="DIA 61" xfId="255" xr:uid="{00000000-0005-0000-0000-00003C010000}"/>
    <cellStyle name="DIA 62" xfId="256" xr:uid="{00000000-0005-0000-0000-00003D010000}"/>
    <cellStyle name="DIA 63" xfId="257" xr:uid="{00000000-0005-0000-0000-00003E010000}"/>
    <cellStyle name="DIA 64" xfId="258" xr:uid="{00000000-0005-0000-0000-00003F010000}"/>
    <cellStyle name="DIA 65" xfId="259" xr:uid="{00000000-0005-0000-0000-000040010000}"/>
    <cellStyle name="DIA 66" xfId="260" xr:uid="{00000000-0005-0000-0000-000041010000}"/>
    <cellStyle name="DIA 67" xfId="261" xr:uid="{00000000-0005-0000-0000-000042010000}"/>
    <cellStyle name="DIA 68" xfId="262" xr:uid="{00000000-0005-0000-0000-000043010000}"/>
    <cellStyle name="DIA 69" xfId="263" xr:uid="{00000000-0005-0000-0000-000044010000}"/>
    <cellStyle name="DIA 7" xfId="264" xr:uid="{00000000-0005-0000-0000-000045010000}"/>
    <cellStyle name="DIA 70" xfId="265" xr:uid="{00000000-0005-0000-0000-000046010000}"/>
    <cellStyle name="DIA 71" xfId="266" xr:uid="{00000000-0005-0000-0000-000047010000}"/>
    <cellStyle name="DIA 72" xfId="267" xr:uid="{00000000-0005-0000-0000-000048010000}"/>
    <cellStyle name="DIA 73" xfId="268" xr:uid="{00000000-0005-0000-0000-000049010000}"/>
    <cellStyle name="DIA 74" xfId="269" xr:uid="{00000000-0005-0000-0000-00004A010000}"/>
    <cellStyle name="DIA 75" xfId="270" xr:uid="{00000000-0005-0000-0000-00004B010000}"/>
    <cellStyle name="DIA 76" xfId="271" xr:uid="{00000000-0005-0000-0000-00004C010000}"/>
    <cellStyle name="DIA 8" xfId="272" xr:uid="{00000000-0005-0000-0000-00004D010000}"/>
    <cellStyle name="DIA 9" xfId="273" xr:uid="{00000000-0005-0000-0000-00004E010000}"/>
    <cellStyle name="Dia_METRADO CACI X- B BT" xfId="274" xr:uid="{00000000-0005-0000-0000-00004F010000}"/>
    <cellStyle name="Diseño" xfId="275" xr:uid="{00000000-0005-0000-0000-000050010000}"/>
    <cellStyle name="Diseño 2" xfId="276" xr:uid="{00000000-0005-0000-0000-000051010000}"/>
    <cellStyle name="Diseño 2 2" xfId="2791" xr:uid="{E3A824BB-83B4-4E49-A4FF-D0FFC0FFA658}"/>
    <cellStyle name="Diseño 3" xfId="277" xr:uid="{00000000-0005-0000-0000-000052010000}"/>
    <cellStyle name="Diseño 3 2" xfId="2792" xr:uid="{5DB75CD7-CB41-484B-B6FA-B8980869F401}"/>
    <cellStyle name="Encabez1" xfId="278" xr:uid="{00000000-0005-0000-0000-000053010000}"/>
    <cellStyle name="ENCABEZ1 10" xfId="279" xr:uid="{00000000-0005-0000-0000-000054010000}"/>
    <cellStyle name="ENCABEZ1 11" xfId="280" xr:uid="{00000000-0005-0000-0000-000055010000}"/>
    <cellStyle name="ENCABEZ1 12" xfId="281" xr:uid="{00000000-0005-0000-0000-000056010000}"/>
    <cellStyle name="ENCABEZ1 13" xfId="282" xr:uid="{00000000-0005-0000-0000-000057010000}"/>
    <cellStyle name="ENCABEZ1 14" xfId="283" xr:uid="{00000000-0005-0000-0000-000058010000}"/>
    <cellStyle name="ENCABEZ1 15" xfId="284" xr:uid="{00000000-0005-0000-0000-000059010000}"/>
    <cellStyle name="ENCABEZ1 16" xfId="285" xr:uid="{00000000-0005-0000-0000-00005A010000}"/>
    <cellStyle name="ENCABEZ1 17" xfId="286" xr:uid="{00000000-0005-0000-0000-00005B010000}"/>
    <cellStyle name="ENCABEZ1 18" xfId="287" xr:uid="{00000000-0005-0000-0000-00005C010000}"/>
    <cellStyle name="ENCABEZ1 19" xfId="288" xr:uid="{00000000-0005-0000-0000-00005D010000}"/>
    <cellStyle name="ENCABEZ1 2" xfId="289" xr:uid="{00000000-0005-0000-0000-00005E010000}"/>
    <cellStyle name="ENCABEZ1 20" xfId="290" xr:uid="{00000000-0005-0000-0000-00005F010000}"/>
    <cellStyle name="ENCABEZ1 21" xfId="291" xr:uid="{00000000-0005-0000-0000-000060010000}"/>
    <cellStyle name="ENCABEZ1 22" xfId="292" xr:uid="{00000000-0005-0000-0000-000061010000}"/>
    <cellStyle name="ENCABEZ1 3" xfId="293" xr:uid="{00000000-0005-0000-0000-000062010000}"/>
    <cellStyle name="ENCABEZ1 4" xfId="294" xr:uid="{00000000-0005-0000-0000-000063010000}"/>
    <cellStyle name="ENCABEZ1 5" xfId="295" xr:uid="{00000000-0005-0000-0000-000064010000}"/>
    <cellStyle name="ENCABEZ1 6" xfId="296" xr:uid="{00000000-0005-0000-0000-000065010000}"/>
    <cellStyle name="ENCABEZ1 7" xfId="297" xr:uid="{00000000-0005-0000-0000-000066010000}"/>
    <cellStyle name="ENCABEZ1 8" xfId="298" xr:uid="{00000000-0005-0000-0000-000067010000}"/>
    <cellStyle name="ENCABEZ1 9" xfId="299" xr:uid="{00000000-0005-0000-0000-000068010000}"/>
    <cellStyle name="Encabez1_METRADO CACI X- B BT" xfId="300" xr:uid="{00000000-0005-0000-0000-000069010000}"/>
    <cellStyle name="Encabez2" xfId="301" xr:uid="{00000000-0005-0000-0000-00006A010000}"/>
    <cellStyle name="ENCABEZ2 10" xfId="302" xr:uid="{00000000-0005-0000-0000-00006B010000}"/>
    <cellStyle name="ENCABEZ2 11" xfId="303" xr:uid="{00000000-0005-0000-0000-00006C010000}"/>
    <cellStyle name="ENCABEZ2 12" xfId="304" xr:uid="{00000000-0005-0000-0000-00006D010000}"/>
    <cellStyle name="ENCABEZ2 13" xfId="305" xr:uid="{00000000-0005-0000-0000-00006E010000}"/>
    <cellStyle name="ENCABEZ2 14" xfId="306" xr:uid="{00000000-0005-0000-0000-00006F010000}"/>
    <cellStyle name="ENCABEZ2 15" xfId="307" xr:uid="{00000000-0005-0000-0000-000070010000}"/>
    <cellStyle name="ENCABEZ2 16" xfId="308" xr:uid="{00000000-0005-0000-0000-000071010000}"/>
    <cellStyle name="ENCABEZ2 17" xfId="309" xr:uid="{00000000-0005-0000-0000-000072010000}"/>
    <cellStyle name="ENCABEZ2 18" xfId="310" xr:uid="{00000000-0005-0000-0000-000073010000}"/>
    <cellStyle name="ENCABEZ2 19" xfId="311" xr:uid="{00000000-0005-0000-0000-000074010000}"/>
    <cellStyle name="ENCABEZ2 2" xfId="312" xr:uid="{00000000-0005-0000-0000-000075010000}"/>
    <cellStyle name="ENCABEZ2 20" xfId="313" xr:uid="{00000000-0005-0000-0000-000076010000}"/>
    <cellStyle name="ENCABEZ2 21" xfId="314" xr:uid="{00000000-0005-0000-0000-000077010000}"/>
    <cellStyle name="ENCABEZ2 22" xfId="315" xr:uid="{00000000-0005-0000-0000-000078010000}"/>
    <cellStyle name="ENCABEZ2 23" xfId="316" xr:uid="{00000000-0005-0000-0000-000079010000}"/>
    <cellStyle name="ENCABEZ2 24" xfId="317" xr:uid="{00000000-0005-0000-0000-00007A010000}"/>
    <cellStyle name="ENCABEZ2 25" xfId="318" xr:uid="{00000000-0005-0000-0000-00007B010000}"/>
    <cellStyle name="ENCABEZ2 26" xfId="319" xr:uid="{00000000-0005-0000-0000-00007C010000}"/>
    <cellStyle name="ENCABEZ2 27" xfId="320" xr:uid="{00000000-0005-0000-0000-00007D010000}"/>
    <cellStyle name="ENCABEZ2 28" xfId="321" xr:uid="{00000000-0005-0000-0000-00007E010000}"/>
    <cellStyle name="ENCABEZ2 29" xfId="322" xr:uid="{00000000-0005-0000-0000-00007F010000}"/>
    <cellStyle name="ENCABEZ2 3" xfId="323" xr:uid="{00000000-0005-0000-0000-000080010000}"/>
    <cellStyle name="ENCABEZ2 30" xfId="324" xr:uid="{00000000-0005-0000-0000-000081010000}"/>
    <cellStyle name="ENCABEZ2 31" xfId="325" xr:uid="{00000000-0005-0000-0000-000082010000}"/>
    <cellStyle name="ENCABEZ2 32" xfId="326" xr:uid="{00000000-0005-0000-0000-000083010000}"/>
    <cellStyle name="ENCABEZ2 33" xfId="327" xr:uid="{00000000-0005-0000-0000-000084010000}"/>
    <cellStyle name="ENCABEZ2 34" xfId="328" xr:uid="{00000000-0005-0000-0000-000085010000}"/>
    <cellStyle name="ENCABEZ2 35" xfId="329" xr:uid="{00000000-0005-0000-0000-000086010000}"/>
    <cellStyle name="ENCABEZ2 36" xfId="330" xr:uid="{00000000-0005-0000-0000-000087010000}"/>
    <cellStyle name="ENCABEZ2 37" xfId="331" xr:uid="{00000000-0005-0000-0000-000088010000}"/>
    <cellStyle name="ENCABEZ2 38" xfId="332" xr:uid="{00000000-0005-0000-0000-000089010000}"/>
    <cellStyle name="ENCABEZ2 39" xfId="333" xr:uid="{00000000-0005-0000-0000-00008A010000}"/>
    <cellStyle name="ENCABEZ2 4" xfId="334" xr:uid="{00000000-0005-0000-0000-00008B010000}"/>
    <cellStyle name="ENCABEZ2 40" xfId="335" xr:uid="{00000000-0005-0000-0000-00008C010000}"/>
    <cellStyle name="ENCABEZ2 41" xfId="336" xr:uid="{00000000-0005-0000-0000-00008D010000}"/>
    <cellStyle name="ENCABEZ2 42" xfId="337" xr:uid="{00000000-0005-0000-0000-00008E010000}"/>
    <cellStyle name="ENCABEZ2 43" xfId="338" xr:uid="{00000000-0005-0000-0000-00008F010000}"/>
    <cellStyle name="ENCABEZ2 44" xfId="339" xr:uid="{00000000-0005-0000-0000-000090010000}"/>
    <cellStyle name="ENCABEZ2 45" xfId="340" xr:uid="{00000000-0005-0000-0000-000091010000}"/>
    <cellStyle name="ENCABEZ2 46" xfId="341" xr:uid="{00000000-0005-0000-0000-000092010000}"/>
    <cellStyle name="ENCABEZ2 47" xfId="342" xr:uid="{00000000-0005-0000-0000-000093010000}"/>
    <cellStyle name="ENCABEZ2 48" xfId="343" xr:uid="{00000000-0005-0000-0000-000094010000}"/>
    <cellStyle name="ENCABEZ2 49" xfId="344" xr:uid="{00000000-0005-0000-0000-000095010000}"/>
    <cellStyle name="ENCABEZ2 5" xfId="345" xr:uid="{00000000-0005-0000-0000-000096010000}"/>
    <cellStyle name="ENCABEZ2 50" xfId="346" xr:uid="{00000000-0005-0000-0000-000097010000}"/>
    <cellStyle name="ENCABEZ2 51" xfId="347" xr:uid="{00000000-0005-0000-0000-000098010000}"/>
    <cellStyle name="ENCABEZ2 52" xfId="348" xr:uid="{00000000-0005-0000-0000-000099010000}"/>
    <cellStyle name="ENCABEZ2 53" xfId="349" xr:uid="{00000000-0005-0000-0000-00009A010000}"/>
    <cellStyle name="ENCABEZ2 54" xfId="350" xr:uid="{00000000-0005-0000-0000-00009B010000}"/>
    <cellStyle name="ENCABEZ2 55" xfId="351" xr:uid="{00000000-0005-0000-0000-00009C010000}"/>
    <cellStyle name="ENCABEZ2 56" xfId="352" xr:uid="{00000000-0005-0000-0000-00009D010000}"/>
    <cellStyle name="ENCABEZ2 57" xfId="353" xr:uid="{00000000-0005-0000-0000-00009E010000}"/>
    <cellStyle name="ENCABEZ2 58" xfId="354" xr:uid="{00000000-0005-0000-0000-00009F010000}"/>
    <cellStyle name="ENCABEZ2 59" xfId="355" xr:uid="{00000000-0005-0000-0000-0000A0010000}"/>
    <cellStyle name="ENCABEZ2 6" xfId="356" xr:uid="{00000000-0005-0000-0000-0000A1010000}"/>
    <cellStyle name="ENCABEZ2 60" xfId="357" xr:uid="{00000000-0005-0000-0000-0000A2010000}"/>
    <cellStyle name="ENCABEZ2 61" xfId="358" xr:uid="{00000000-0005-0000-0000-0000A3010000}"/>
    <cellStyle name="ENCABEZ2 62" xfId="359" xr:uid="{00000000-0005-0000-0000-0000A4010000}"/>
    <cellStyle name="ENCABEZ2 63" xfId="360" xr:uid="{00000000-0005-0000-0000-0000A5010000}"/>
    <cellStyle name="ENCABEZ2 64" xfId="361" xr:uid="{00000000-0005-0000-0000-0000A6010000}"/>
    <cellStyle name="ENCABEZ2 65" xfId="362" xr:uid="{00000000-0005-0000-0000-0000A7010000}"/>
    <cellStyle name="ENCABEZ2 66" xfId="363" xr:uid="{00000000-0005-0000-0000-0000A8010000}"/>
    <cellStyle name="ENCABEZ2 67" xfId="364" xr:uid="{00000000-0005-0000-0000-0000A9010000}"/>
    <cellStyle name="ENCABEZ2 68" xfId="365" xr:uid="{00000000-0005-0000-0000-0000AA010000}"/>
    <cellStyle name="ENCABEZ2 69" xfId="366" xr:uid="{00000000-0005-0000-0000-0000AB010000}"/>
    <cellStyle name="ENCABEZ2 7" xfId="367" xr:uid="{00000000-0005-0000-0000-0000AC010000}"/>
    <cellStyle name="ENCABEZ2 70" xfId="368" xr:uid="{00000000-0005-0000-0000-0000AD010000}"/>
    <cellStyle name="ENCABEZ2 71" xfId="369" xr:uid="{00000000-0005-0000-0000-0000AE010000}"/>
    <cellStyle name="ENCABEZ2 72" xfId="370" xr:uid="{00000000-0005-0000-0000-0000AF010000}"/>
    <cellStyle name="ENCABEZ2 73" xfId="371" xr:uid="{00000000-0005-0000-0000-0000B0010000}"/>
    <cellStyle name="ENCABEZ2 74" xfId="372" xr:uid="{00000000-0005-0000-0000-0000B1010000}"/>
    <cellStyle name="ENCABEZ2 75" xfId="373" xr:uid="{00000000-0005-0000-0000-0000B2010000}"/>
    <cellStyle name="ENCABEZ2 76" xfId="374" xr:uid="{00000000-0005-0000-0000-0000B3010000}"/>
    <cellStyle name="ENCABEZ2 8" xfId="375" xr:uid="{00000000-0005-0000-0000-0000B4010000}"/>
    <cellStyle name="ENCABEZ2 9" xfId="376" xr:uid="{00000000-0005-0000-0000-0000B5010000}"/>
    <cellStyle name="Encabez2_METRADO CACI X- B BT" xfId="377" xr:uid="{00000000-0005-0000-0000-0000B6010000}"/>
    <cellStyle name="Encabezado 4 2" xfId="1988" xr:uid="{00000000-0005-0000-0000-0000B7010000}"/>
    <cellStyle name="Énfasis1 2" xfId="1989" xr:uid="{00000000-0005-0000-0000-0000B8010000}"/>
    <cellStyle name="Énfasis2 2" xfId="1990" xr:uid="{00000000-0005-0000-0000-0000B9010000}"/>
    <cellStyle name="Énfasis3 2" xfId="1991" xr:uid="{00000000-0005-0000-0000-0000BA010000}"/>
    <cellStyle name="Énfasis4 2" xfId="1992" xr:uid="{00000000-0005-0000-0000-0000BB010000}"/>
    <cellStyle name="Énfasis5 2" xfId="1993" xr:uid="{00000000-0005-0000-0000-0000BC010000}"/>
    <cellStyle name="Énfasis6 2" xfId="1994" xr:uid="{00000000-0005-0000-0000-0000BD010000}"/>
    <cellStyle name="Entered" xfId="378" xr:uid="{00000000-0005-0000-0000-0000BE010000}"/>
    <cellStyle name="Entrada 2" xfId="1995" xr:uid="{00000000-0005-0000-0000-0000BF010000}"/>
    <cellStyle name="EST1" xfId="379" xr:uid="{00000000-0005-0000-0000-0000C0010000}"/>
    <cellStyle name="Estilo 1" xfId="380" xr:uid="{00000000-0005-0000-0000-0000C1010000}"/>
    <cellStyle name="Euro" xfId="381" xr:uid="{00000000-0005-0000-0000-0000C2010000}"/>
    <cellStyle name="Euro 10" xfId="382" xr:uid="{00000000-0005-0000-0000-0000C3010000}"/>
    <cellStyle name="Euro 10 2" xfId="2793" xr:uid="{F39BACE7-681F-4E7F-AA33-B34C4A8CC796}"/>
    <cellStyle name="Euro 11" xfId="383" xr:uid="{00000000-0005-0000-0000-0000C4010000}"/>
    <cellStyle name="Euro 11 2" xfId="2794" xr:uid="{435E80B0-EF74-4E0A-9CB2-6557872D571A}"/>
    <cellStyle name="Euro 12" xfId="384" xr:uid="{00000000-0005-0000-0000-0000C5010000}"/>
    <cellStyle name="Euro 12 2" xfId="2795" xr:uid="{5E104E94-CCF9-42BF-B432-5F463A00CD3C}"/>
    <cellStyle name="Euro 13" xfId="385" xr:uid="{00000000-0005-0000-0000-0000C6010000}"/>
    <cellStyle name="Euro 13 2" xfId="2796" xr:uid="{4396944A-2D43-4247-8D09-DD8A9B153405}"/>
    <cellStyle name="Euro 14" xfId="386" xr:uid="{00000000-0005-0000-0000-0000C7010000}"/>
    <cellStyle name="Euro 14 2" xfId="2797" xr:uid="{37A4B4F3-975E-47CE-9667-7A961A47A1C9}"/>
    <cellStyle name="Euro 15" xfId="387" xr:uid="{00000000-0005-0000-0000-0000C8010000}"/>
    <cellStyle name="Euro 15 2" xfId="2798" xr:uid="{50FFDE37-BDB2-4E2F-AC02-E9EEBA75AD0E}"/>
    <cellStyle name="Euro 16" xfId="388" xr:uid="{00000000-0005-0000-0000-0000C9010000}"/>
    <cellStyle name="Euro 16 2" xfId="2799" xr:uid="{9B37838F-743A-4DB7-ACFE-04806931D407}"/>
    <cellStyle name="Euro 17" xfId="389" xr:uid="{00000000-0005-0000-0000-0000CA010000}"/>
    <cellStyle name="Euro 17 2" xfId="2800" xr:uid="{6D33D849-E0C2-42F5-85F2-310E28A86B7A}"/>
    <cellStyle name="Euro 18" xfId="390" xr:uid="{00000000-0005-0000-0000-0000CB010000}"/>
    <cellStyle name="Euro 18 2" xfId="2801" xr:uid="{2BECCED2-9BB4-464E-B9FA-1D6F86AB7214}"/>
    <cellStyle name="Euro 19" xfId="391" xr:uid="{00000000-0005-0000-0000-0000CC010000}"/>
    <cellStyle name="Euro 19 2" xfId="2802" xr:uid="{B9C5259C-9C85-4FE3-BB74-47F5DEE1F0D6}"/>
    <cellStyle name="Euro 2" xfId="392" xr:uid="{00000000-0005-0000-0000-0000CD010000}"/>
    <cellStyle name="Euro 2 2" xfId="1996" xr:uid="{00000000-0005-0000-0000-0000CE010000}"/>
    <cellStyle name="Euro 20" xfId="393" xr:uid="{00000000-0005-0000-0000-0000CF010000}"/>
    <cellStyle name="Euro 20 2" xfId="2803" xr:uid="{FC223FEC-3B80-4788-A3B2-9510C9BD2E6A}"/>
    <cellStyle name="Euro 21" xfId="394" xr:uid="{00000000-0005-0000-0000-0000D0010000}"/>
    <cellStyle name="Euro 21 2" xfId="2804" xr:uid="{E0741327-E867-4C5B-96E5-EF9E3E1CE30D}"/>
    <cellStyle name="Euro 22" xfId="395" xr:uid="{00000000-0005-0000-0000-0000D1010000}"/>
    <cellStyle name="Euro 22 2" xfId="2805" xr:uid="{E60934B2-5C99-41B6-8D14-0A0B20D10B9A}"/>
    <cellStyle name="Euro 23" xfId="396" xr:uid="{00000000-0005-0000-0000-0000D2010000}"/>
    <cellStyle name="Euro 24" xfId="397" xr:uid="{00000000-0005-0000-0000-0000D3010000}"/>
    <cellStyle name="Euro 25" xfId="398" xr:uid="{00000000-0005-0000-0000-0000D4010000}"/>
    <cellStyle name="Euro 26" xfId="399" xr:uid="{00000000-0005-0000-0000-0000D5010000}"/>
    <cellStyle name="Euro 27" xfId="400" xr:uid="{00000000-0005-0000-0000-0000D6010000}"/>
    <cellStyle name="Euro 28" xfId="401" xr:uid="{00000000-0005-0000-0000-0000D7010000}"/>
    <cellStyle name="Euro 29" xfId="402" xr:uid="{00000000-0005-0000-0000-0000D8010000}"/>
    <cellStyle name="Euro 3" xfId="403" xr:uid="{00000000-0005-0000-0000-0000D9010000}"/>
    <cellStyle name="Euro 3 2" xfId="2806" xr:uid="{55FBF8C3-81E8-4234-8D35-3A5A76A204A5}"/>
    <cellStyle name="Euro 30" xfId="404" xr:uid="{00000000-0005-0000-0000-0000DA010000}"/>
    <cellStyle name="Euro 31" xfId="405" xr:uid="{00000000-0005-0000-0000-0000DB010000}"/>
    <cellStyle name="Euro 32" xfId="406" xr:uid="{00000000-0005-0000-0000-0000DC010000}"/>
    <cellStyle name="Euro 33" xfId="407" xr:uid="{00000000-0005-0000-0000-0000DD010000}"/>
    <cellStyle name="Euro 34" xfId="408" xr:uid="{00000000-0005-0000-0000-0000DE010000}"/>
    <cellStyle name="Euro 35" xfId="409" xr:uid="{00000000-0005-0000-0000-0000DF010000}"/>
    <cellStyle name="Euro 36" xfId="410" xr:uid="{00000000-0005-0000-0000-0000E0010000}"/>
    <cellStyle name="Euro 37" xfId="411" xr:uid="{00000000-0005-0000-0000-0000E1010000}"/>
    <cellStyle name="Euro 38" xfId="412" xr:uid="{00000000-0005-0000-0000-0000E2010000}"/>
    <cellStyle name="Euro 39" xfId="413" xr:uid="{00000000-0005-0000-0000-0000E3010000}"/>
    <cellStyle name="Euro 4" xfId="414" xr:uid="{00000000-0005-0000-0000-0000E4010000}"/>
    <cellStyle name="Euro 4 2" xfId="2807" xr:uid="{569A79A8-16A4-4A65-9FF6-901AF1FE5E8A}"/>
    <cellStyle name="Euro 40" xfId="415" xr:uid="{00000000-0005-0000-0000-0000E5010000}"/>
    <cellStyle name="Euro 41" xfId="416" xr:uid="{00000000-0005-0000-0000-0000E6010000}"/>
    <cellStyle name="Euro 42" xfId="417" xr:uid="{00000000-0005-0000-0000-0000E7010000}"/>
    <cellStyle name="Euro 43" xfId="418" xr:uid="{00000000-0005-0000-0000-0000E8010000}"/>
    <cellStyle name="Euro 44" xfId="419" xr:uid="{00000000-0005-0000-0000-0000E9010000}"/>
    <cellStyle name="Euro 45" xfId="420" xr:uid="{00000000-0005-0000-0000-0000EA010000}"/>
    <cellStyle name="Euro 46" xfId="421" xr:uid="{00000000-0005-0000-0000-0000EB010000}"/>
    <cellStyle name="Euro 47" xfId="422" xr:uid="{00000000-0005-0000-0000-0000EC010000}"/>
    <cellStyle name="Euro 48" xfId="423" xr:uid="{00000000-0005-0000-0000-0000ED010000}"/>
    <cellStyle name="Euro 49" xfId="424" xr:uid="{00000000-0005-0000-0000-0000EE010000}"/>
    <cellStyle name="Euro 5" xfId="425" xr:uid="{00000000-0005-0000-0000-0000EF010000}"/>
    <cellStyle name="Euro 5 2" xfId="2808" xr:uid="{2A47830C-815C-438E-A32D-3A1981839C09}"/>
    <cellStyle name="Euro 50" xfId="426" xr:uid="{00000000-0005-0000-0000-0000F0010000}"/>
    <cellStyle name="Euro 51" xfId="427" xr:uid="{00000000-0005-0000-0000-0000F1010000}"/>
    <cellStyle name="Euro 52" xfId="428" xr:uid="{00000000-0005-0000-0000-0000F2010000}"/>
    <cellStyle name="Euro 53" xfId="429" xr:uid="{00000000-0005-0000-0000-0000F3010000}"/>
    <cellStyle name="Euro 54" xfId="430" xr:uid="{00000000-0005-0000-0000-0000F4010000}"/>
    <cellStyle name="Euro 55" xfId="431" xr:uid="{00000000-0005-0000-0000-0000F5010000}"/>
    <cellStyle name="Euro 56" xfId="432" xr:uid="{00000000-0005-0000-0000-0000F6010000}"/>
    <cellStyle name="Euro 57" xfId="433" xr:uid="{00000000-0005-0000-0000-0000F7010000}"/>
    <cellStyle name="Euro 58" xfId="434" xr:uid="{00000000-0005-0000-0000-0000F8010000}"/>
    <cellStyle name="Euro 59" xfId="435" xr:uid="{00000000-0005-0000-0000-0000F9010000}"/>
    <cellStyle name="Euro 6" xfId="436" xr:uid="{00000000-0005-0000-0000-0000FA010000}"/>
    <cellStyle name="Euro 6 2" xfId="2809" xr:uid="{EEA17BA4-2A4D-481B-A36D-8DE100628F53}"/>
    <cellStyle name="Euro 60" xfId="437" xr:uid="{00000000-0005-0000-0000-0000FB010000}"/>
    <cellStyle name="Euro 61" xfId="438" xr:uid="{00000000-0005-0000-0000-0000FC010000}"/>
    <cellStyle name="Euro 62" xfId="439" xr:uid="{00000000-0005-0000-0000-0000FD010000}"/>
    <cellStyle name="Euro 63" xfId="440" xr:uid="{00000000-0005-0000-0000-0000FE010000}"/>
    <cellStyle name="Euro 64" xfId="441" xr:uid="{00000000-0005-0000-0000-0000FF010000}"/>
    <cellStyle name="Euro 65" xfId="442" xr:uid="{00000000-0005-0000-0000-000000020000}"/>
    <cellStyle name="Euro 66" xfId="443" xr:uid="{00000000-0005-0000-0000-000001020000}"/>
    <cellStyle name="Euro 67" xfId="444" xr:uid="{00000000-0005-0000-0000-000002020000}"/>
    <cellStyle name="Euro 68" xfId="445" xr:uid="{00000000-0005-0000-0000-000003020000}"/>
    <cellStyle name="Euro 69" xfId="446" xr:uid="{00000000-0005-0000-0000-000004020000}"/>
    <cellStyle name="Euro 7" xfId="447" xr:uid="{00000000-0005-0000-0000-000005020000}"/>
    <cellStyle name="Euro 7 2" xfId="2810" xr:uid="{4DF027F5-E5EC-4F90-A6E8-DE534F13D1F8}"/>
    <cellStyle name="Euro 70" xfId="448" xr:uid="{00000000-0005-0000-0000-000006020000}"/>
    <cellStyle name="Euro 71" xfId="449" xr:uid="{00000000-0005-0000-0000-000007020000}"/>
    <cellStyle name="Euro 72" xfId="450" xr:uid="{00000000-0005-0000-0000-000008020000}"/>
    <cellStyle name="Euro 73" xfId="451" xr:uid="{00000000-0005-0000-0000-000009020000}"/>
    <cellStyle name="Euro 74" xfId="452" xr:uid="{00000000-0005-0000-0000-00000A020000}"/>
    <cellStyle name="Euro 75" xfId="453" xr:uid="{00000000-0005-0000-0000-00000B020000}"/>
    <cellStyle name="Euro 76" xfId="454" xr:uid="{00000000-0005-0000-0000-00000C020000}"/>
    <cellStyle name="Euro 77" xfId="1997" xr:uid="{00000000-0005-0000-0000-00000D020000}"/>
    <cellStyle name="Euro 8" xfId="455" xr:uid="{00000000-0005-0000-0000-00000E020000}"/>
    <cellStyle name="Euro 8 2" xfId="2811" xr:uid="{832B43A7-926B-4790-9701-F3186454BD03}"/>
    <cellStyle name="Euro 9" xfId="456" xr:uid="{00000000-0005-0000-0000-00000F020000}"/>
    <cellStyle name="Euro 9 2" xfId="2812" xr:uid="{EFB766DB-D8DF-466B-8698-9B7E58560AE2}"/>
    <cellStyle name="Euro_Aproximado Huacariz-Porcon" xfId="2275" xr:uid="{00000000-0005-0000-0000-000010020000}"/>
    <cellStyle name="Explanatory Text" xfId="457" xr:uid="{00000000-0005-0000-0000-000011020000}"/>
    <cellStyle name="F2" xfId="458" xr:uid="{00000000-0005-0000-0000-000012020000}"/>
    <cellStyle name="F2 - Estilo1" xfId="459" xr:uid="{00000000-0005-0000-0000-000013020000}"/>
    <cellStyle name="F2 - Estilo1 2" xfId="1998" xr:uid="{00000000-0005-0000-0000-000014020000}"/>
    <cellStyle name="F2 10" xfId="460" xr:uid="{00000000-0005-0000-0000-000015020000}"/>
    <cellStyle name="F2 11" xfId="461" xr:uid="{00000000-0005-0000-0000-000016020000}"/>
    <cellStyle name="F2 12" xfId="462" xr:uid="{00000000-0005-0000-0000-000017020000}"/>
    <cellStyle name="F2 13" xfId="463" xr:uid="{00000000-0005-0000-0000-000018020000}"/>
    <cellStyle name="F2 14" xfId="464" xr:uid="{00000000-0005-0000-0000-000019020000}"/>
    <cellStyle name="F2 15" xfId="465" xr:uid="{00000000-0005-0000-0000-00001A020000}"/>
    <cellStyle name="F2 16" xfId="466" xr:uid="{00000000-0005-0000-0000-00001B020000}"/>
    <cellStyle name="F2 17" xfId="467" xr:uid="{00000000-0005-0000-0000-00001C020000}"/>
    <cellStyle name="F2 18" xfId="468" xr:uid="{00000000-0005-0000-0000-00001D020000}"/>
    <cellStyle name="F2 19" xfId="469" xr:uid="{00000000-0005-0000-0000-00001E020000}"/>
    <cellStyle name="F2 2" xfId="470" xr:uid="{00000000-0005-0000-0000-00001F020000}"/>
    <cellStyle name="F2 20" xfId="471" xr:uid="{00000000-0005-0000-0000-000020020000}"/>
    <cellStyle name="F2 21" xfId="472" xr:uid="{00000000-0005-0000-0000-000021020000}"/>
    <cellStyle name="F2 22" xfId="473" xr:uid="{00000000-0005-0000-0000-000022020000}"/>
    <cellStyle name="F2 23" xfId="474" xr:uid="{00000000-0005-0000-0000-000023020000}"/>
    <cellStyle name="F2 24" xfId="475" xr:uid="{00000000-0005-0000-0000-000024020000}"/>
    <cellStyle name="F2 25" xfId="476" xr:uid="{00000000-0005-0000-0000-000025020000}"/>
    <cellStyle name="F2 26" xfId="477" xr:uid="{00000000-0005-0000-0000-000026020000}"/>
    <cellStyle name="F2 27" xfId="478" xr:uid="{00000000-0005-0000-0000-000027020000}"/>
    <cellStyle name="F2 28" xfId="479" xr:uid="{00000000-0005-0000-0000-000028020000}"/>
    <cellStyle name="F2 29" xfId="480" xr:uid="{00000000-0005-0000-0000-000029020000}"/>
    <cellStyle name="F2 3" xfId="481" xr:uid="{00000000-0005-0000-0000-00002A020000}"/>
    <cellStyle name="F2 30" xfId="482" xr:uid="{00000000-0005-0000-0000-00002B020000}"/>
    <cellStyle name="F2 31" xfId="483" xr:uid="{00000000-0005-0000-0000-00002C020000}"/>
    <cellStyle name="F2 32" xfId="484" xr:uid="{00000000-0005-0000-0000-00002D020000}"/>
    <cellStyle name="F2 33" xfId="485" xr:uid="{00000000-0005-0000-0000-00002E020000}"/>
    <cellStyle name="F2 34" xfId="486" xr:uid="{00000000-0005-0000-0000-00002F020000}"/>
    <cellStyle name="F2 35" xfId="487" xr:uid="{00000000-0005-0000-0000-000030020000}"/>
    <cellStyle name="F2 36" xfId="488" xr:uid="{00000000-0005-0000-0000-000031020000}"/>
    <cellStyle name="F2 37" xfId="489" xr:uid="{00000000-0005-0000-0000-000032020000}"/>
    <cellStyle name="F2 38" xfId="490" xr:uid="{00000000-0005-0000-0000-000033020000}"/>
    <cellStyle name="F2 39" xfId="491" xr:uid="{00000000-0005-0000-0000-000034020000}"/>
    <cellStyle name="F2 4" xfId="492" xr:uid="{00000000-0005-0000-0000-000035020000}"/>
    <cellStyle name="F2 40" xfId="493" xr:uid="{00000000-0005-0000-0000-000036020000}"/>
    <cellStyle name="F2 41" xfId="494" xr:uid="{00000000-0005-0000-0000-000037020000}"/>
    <cellStyle name="F2 42" xfId="495" xr:uid="{00000000-0005-0000-0000-000038020000}"/>
    <cellStyle name="F2 43" xfId="496" xr:uid="{00000000-0005-0000-0000-000039020000}"/>
    <cellStyle name="F2 44" xfId="497" xr:uid="{00000000-0005-0000-0000-00003A020000}"/>
    <cellStyle name="F2 45" xfId="498" xr:uid="{00000000-0005-0000-0000-00003B020000}"/>
    <cellStyle name="F2 46" xfId="499" xr:uid="{00000000-0005-0000-0000-00003C020000}"/>
    <cellStyle name="F2 47" xfId="500" xr:uid="{00000000-0005-0000-0000-00003D020000}"/>
    <cellStyle name="F2 48" xfId="501" xr:uid="{00000000-0005-0000-0000-00003E020000}"/>
    <cellStyle name="F2 49" xfId="502" xr:uid="{00000000-0005-0000-0000-00003F020000}"/>
    <cellStyle name="F2 5" xfId="503" xr:uid="{00000000-0005-0000-0000-000040020000}"/>
    <cellStyle name="F2 50" xfId="504" xr:uid="{00000000-0005-0000-0000-000041020000}"/>
    <cellStyle name="F2 51" xfId="505" xr:uid="{00000000-0005-0000-0000-000042020000}"/>
    <cellStyle name="F2 52" xfId="506" xr:uid="{00000000-0005-0000-0000-000043020000}"/>
    <cellStyle name="F2 53" xfId="507" xr:uid="{00000000-0005-0000-0000-000044020000}"/>
    <cellStyle name="F2 54" xfId="508" xr:uid="{00000000-0005-0000-0000-000045020000}"/>
    <cellStyle name="F2 55" xfId="509" xr:uid="{00000000-0005-0000-0000-000046020000}"/>
    <cellStyle name="F2 56" xfId="510" xr:uid="{00000000-0005-0000-0000-000047020000}"/>
    <cellStyle name="F2 57" xfId="511" xr:uid="{00000000-0005-0000-0000-000048020000}"/>
    <cellStyle name="F2 58" xfId="512" xr:uid="{00000000-0005-0000-0000-000049020000}"/>
    <cellStyle name="F2 59" xfId="513" xr:uid="{00000000-0005-0000-0000-00004A020000}"/>
    <cellStyle name="F2 6" xfId="514" xr:uid="{00000000-0005-0000-0000-00004B020000}"/>
    <cellStyle name="F2 60" xfId="515" xr:uid="{00000000-0005-0000-0000-00004C020000}"/>
    <cellStyle name="F2 61" xfId="516" xr:uid="{00000000-0005-0000-0000-00004D020000}"/>
    <cellStyle name="F2 62" xfId="517" xr:uid="{00000000-0005-0000-0000-00004E020000}"/>
    <cellStyle name="F2 63" xfId="518" xr:uid="{00000000-0005-0000-0000-00004F020000}"/>
    <cellStyle name="F2 64" xfId="519" xr:uid="{00000000-0005-0000-0000-000050020000}"/>
    <cellStyle name="F2 65" xfId="520" xr:uid="{00000000-0005-0000-0000-000051020000}"/>
    <cellStyle name="F2 66" xfId="521" xr:uid="{00000000-0005-0000-0000-000052020000}"/>
    <cellStyle name="F2 67" xfId="522" xr:uid="{00000000-0005-0000-0000-000053020000}"/>
    <cellStyle name="F2 68" xfId="523" xr:uid="{00000000-0005-0000-0000-000054020000}"/>
    <cellStyle name="F2 69" xfId="524" xr:uid="{00000000-0005-0000-0000-000055020000}"/>
    <cellStyle name="F2 7" xfId="525" xr:uid="{00000000-0005-0000-0000-000056020000}"/>
    <cellStyle name="F2 70" xfId="526" xr:uid="{00000000-0005-0000-0000-000057020000}"/>
    <cellStyle name="F2 71" xfId="527" xr:uid="{00000000-0005-0000-0000-000058020000}"/>
    <cellStyle name="F2 72" xfId="528" xr:uid="{00000000-0005-0000-0000-000059020000}"/>
    <cellStyle name="F2 73" xfId="529" xr:uid="{00000000-0005-0000-0000-00005A020000}"/>
    <cellStyle name="F2 74" xfId="530" xr:uid="{00000000-0005-0000-0000-00005B020000}"/>
    <cellStyle name="F2 75" xfId="531" xr:uid="{00000000-0005-0000-0000-00005C020000}"/>
    <cellStyle name="F2 76" xfId="532" xr:uid="{00000000-0005-0000-0000-00005D020000}"/>
    <cellStyle name="F2 77" xfId="1999" xr:uid="{00000000-0005-0000-0000-00005E020000}"/>
    <cellStyle name="F2 8" xfId="533" xr:uid="{00000000-0005-0000-0000-00005F020000}"/>
    <cellStyle name="F2 9" xfId="534" xr:uid="{00000000-0005-0000-0000-000060020000}"/>
    <cellStyle name="F2_00 Valor Referencial LP-RP-RS PSE CHINCHEROS II" xfId="535" xr:uid="{00000000-0005-0000-0000-000061020000}"/>
    <cellStyle name="F3" xfId="536" xr:uid="{00000000-0005-0000-0000-000062020000}"/>
    <cellStyle name="F3 - Estilo2" xfId="537" xr:uid="{00000000-0005-0000-0000-000063020000}"/>
    <cellStyle name="F3 - Estilo2 2" xfId="2000" xr:uid="{00000000-0005-0000-0000-000064020000}"/>
    <cellStyle name="F3 10" xfId="538" xr:uid="{00000000-0005-0000-0000-000065020000}"/>
    <cellStyle name="F3 11" xfId="539" xr:uid="{00000000-0005-0000-0000-000066020000}"/>
    <cellStyle name="F3 12" xfId="540" xr:uid="{00000000-0005-0000-0000-000067020000}"/>
    <cellStyle name="F3 13" xfId="541" xr:uid="{00000000-0005-0000-0000-000068020000}"/>
    <cellStyle name="F3 14" xfId="542" xr:uid="{00000000-0005-0000-0000-000069020000}"/>
    <cellStyle name="F3 15" xfId="543" xr:uid="{00000000-0005-0000-0000-00006A020000}"/>
    <cellStyle name="F3 16" xfId="544" xr:uid="{00000000-0005-0000-0000-00006B020000}"/>
    <cellStyle name="F3 17" xfId="545" xr:uid="{00000000-0005-0000-0000-00006C020000}"/>
    <cellStyle name="F3 18" xfId="546" xr:uid="{00000000-0005-0000-0000-00006D020000}"/>
    <cellStyle name="F3 19" xfId="547" xr:uid="{00000000-0005-0000-0000-00006E020000}"/>
    <cellStyle name="F3 2" xfId="548" xr:uid="{00000000-0005-0000-0000-00006F020000}"/>
    <cellStyle name="F3 20" xfId="549" xr:uid="{00000000-0005-0000-0000-000070020000}"/>
    <cellStyle name="F3 21" xfId="550" xr:uid="{00000000-0005-0000-0000-000071020000}"/>
    <cellStyle name="F3 22" xfId="551" xr:uid="{00000000-0005-0000-0000-000072020000}"/>
    <cellStyle name="F3 23" xfId="552" xr:uid="{00000000-0005-0000-0000-000073020000}"/>
    <cellStyle name="F3 24" xfId="553" xr:uid="{00000000-0005-0000-0000-000074020000}"/>
    <cellStyle name="F3 25" xfId="554" xr:uid="{00000000-0005-0000-0000-000075020000}"/>
    <cellStyle name="F3 26" xfId="555" xr:uid="{00000000-0005-0000-0000-000076020000}"/>
    <cellStyle name="F3 27" xfId="556" xr:uid="{00000000-0005-0000-0000-000077020000}"/>
    <cellStyle name="F3 28" xfId="557" xr:uid="{00000000-0005-0000-0000-000078020000}"/>
    <cellStyle name="F3 29" xfId="558" xr:uid="{00000000-0005-0000-0000-000079020000}"/>
    <cellStyle name="F3 3" xfId="559" xr:uid="{00000000-0005-0000-0000-00007A020000}"/>
    <cellStyle name="F3 30" xfId="560" xr:uid="{00000000-0005-0000-0000-00007B020000}"/>
    <cellStyle name="F3 31" xfId="561" xr:uid="{00000000-0005-0000-0000-00007C020000}"/>
    <cellStyle name="F3 32" xfId="562" xr:uid="{00000000-0005-0000-0000-00007D020000}"/>
    <cellStyle name="F3 33" xfId="563" xr:uid="{00000000-0005-0000-0000-00007E020000}"/>
    <cellStyle name="F3 34" xfId="564" xr:uid="{00000000-0005-0000-0000-00007F020000}"/>
    <cellStyle name="F3 35" xfId="565" xr:uid="{00000000-0005-0000-0000-000080020000}"/>
    <cellStyle name="F3 36" xfId="566" xr:uid="{00000000-0005-0000-0000-000081020000}"/>
    <cellStyle name="F3 37" xfId="567" xr:uid="{00000000-0005-0000-0000-000082020000}"/>
    <cellStyle name="F3 38" xfId="568" xr:uid="{00000000-0005-0000-0000-000083020000}"/>
    <cellStyle name="F3 39" xfId="569" xr:uid="{00000000-0005-0000-0000-000084020000}"/>
    <cellStyle name="F3 4" xfId="570" xr:uid="{00000000-0005-0000-0000-000085020000}"/>
    <cellStyle name="F3 40" xfId="571" xr:uid="{00000000-0005-0000-0000-000086020000}"/>
    <cellStyle name="F3 41" xfId="572" xr:uid="{00000000-0005-0000-0000-000087020000}"/>
    <cellStyle name="F3 42" xfId="573" xr:uid="{00000000-0005-0000-0000-000088020000}"/>
    <cellStyle name="F3 43" xfId="574" xr:uid="{00000000-0005-0000-0000-000089020000}"/>
    <cellStyle name="F3 44" xfId="575" xr:uid="{00000000-0005-0000-0000-00008A020000}"/>
    <cellStyle name="F3 45" xfId="576" xr:uid="{00000000-0005-0000-0000-00008B020000}"/>
    <cellStyle name="F3 46" xfId="577" xr:uid="{00000000-0005-0000-0000-00008C020000}"/>
    <cellStyle name="F3 47" xfId="578" xr:uid="{00000000-0005-0000-0000-00008D020000}"/>
    <cellStyle name="F3 48" xfId="579" xr:uid="{00000000-0005-0000-0000-00008E020000}"/>
    <cellStyle name="F3 49" xfId="580" xr:uid="{00000000-0005-0000-0000-00008F020000}"/>
    <cellStyle name="F3 5" xfId="581" xr:uid="{00000000-0005-0000-0000-000090020000}"/>
    <cellStyle name="F3 50" xfId="582" xr:uid="{00000000-0005-0000-0000-000091020000}"/>
    <cellStyle name="F3 51" xfId="583" xr:uid="{00000000-0005-0000-0000-000092020000}"/>
    <cellStyle name="F3 52" xfId="584" xr:uid="{00000000-0005-0000-0000-000093020000}"/>
    <cellStyle name="F3 53" xfId="585" xr:uid="{00000000-0005-0000-0000-000094020000}"/>
    <cellStyle name="F3 54" xfId="586" xr:uid="{00000000-0005-0000-0000-000095020000}"/>
    <cellStyle name="F3 55" xfId="587" xr:uid="{00000000-0005-0000-0000-000096020000}"/>
    <cellStyle name="F3 56" xfId="588" xr:uid="{00000000-0005-0000-0000-000097020000}"/>
    <cellStyle name="F3 57" xfId="589" xr:uid="{00000000-0005-0000-0000-000098020000}"/>
    <cellStyle name="F3 58" xfId="590" xr:uid="{00000000-0005-0000-0000-000099020000}"/>
    <cellStyle name="F3 59" xfId="591" xr:uid="{00000000-0005-0000-0000-00009A020000}"/>
    <cellStyle name="F3 6" xfId="592" xr:uid="{00000000-0005-0000-0000-00009B020000}"/>
    <cellStyle name="F3 60" xfId="593" xr:uid="{00000000-0005-0000-0000-00009C020000}"/>
    <cellStyle name="F3 61" xfId="594" xr:uid="{00000000-0005-0000-0000-00009D020000}"/>
    <cellStyle name="F3 62" xfId="595" xr:uid="{00000000-0005-0000-0000-00009E020000}"/>
    <cellStyle name="F3 63" xfId="596" xr:uid="{00000000-0005-0000-0000-00009F020000}"/>
    <cellStyle name="F3 64" xfId="597" xr:uid="{00000000-0005-0000-0000-0000A0020000}"/>
    <cellStyle name="F3 65" xfId="598" xr:uid="{00000000-0005-0000-0000-0000A1020000}"/>
    <cellStyle name="F3 66" xfId="599" xr:uid="{00000000-0005-0000-0000-0000A2020000}"/>
    <cellStyle name="F3 67" xfId="600" xr:uid="{00000000-0005-0000-0000-0000A3020000}"/>
    <cellStyle name="F3 68" xfId="601" xr:uid="{00000000-0005-0000-0000-0000A4020000}"/>
    <cellStyle name="F3 69" xfId="602" xr:uid="{00000000-0005-0000-0000-0000A5020000}"/>
    <cellStyle name="F3 7" xfId="603" xr:uid="{00000000-0005-0000-0000-0000A6020000}"/>
    <cellStyle name="F3 70" xfId="604" xr:uid="{00000000-0005-0000-0000-0000A7020000}"/>
    <cellStyle name="F3 71" xfId="605" xr:uid="{00000000-0005-0000-0000-0000A8020000}"/>
    <cellStyle name="F3 72" xfId="606" xr:uid="{00000000-0005-0000-0000-0000A9020000}"/>
    <cellStyle name="F3 73" xfId="607" xr:uid="{00000000-0005-0000-0000-0000AA020000}"/>
    <cellStyle name="F3 74" xfId="608" xr:uid="{00000000-0005-0000-0000-0000AB020000}"/>
    <cellStyle name="F3 75" xfId="609" xr:uid="{00000000-0005-0000-0000-0000AC020000}"/>
    <cellStyle name="F3 76" xfId="610" xr:uid="{00000000-0005-0000-0000-0000AD020000}"/>
    <cellStyle name="F3 77" xfId="2001" xr:uid="{00000000-0005-0000-0000-0000AE020000}"/>
    <cellStyle name="F3 8" xfId="611" xr:uid="{00000000-0005-0000-0000-0000AF020000}"/>
    <cellStyle name="F3 9" xfId="612" xr:uid="{00000000-0005-0000-0000-0000B0020000}"/>
    <cellStyle name="F3_00 Valor Referencial LP-RP-RS PSE CHINCHEROS II" xfId="613" xr:uid="{00000000-0005-0000-0000-0000B1020000}"/>
    <cellStyle name="F4" xfId="614" xr:uid="{00000000-0005-0000-0000-0000B2020000}"/>
    <cellStyle name="F4 - Estilo3" xfId="615" xr:uid="{00000000-0005-0000-0000-0000B3020000}"/>
    <cellStyle name="F4 - Estilo3 2" xfId="2002" xr:uid="{00000000-0005-0000-0000-0000B4020000}"/>
    <cellStyle name="F4 10" xfId="616" xr:uid="{00000000-0005-0000-0000-0000B5020000}"/>
    <cellStyle name="F4 11" xfId="617" xr:uid="{00000000-0005-0000-0000-0000B6020000}"/>
    <cellStyle name="F4 12" xfId="618" xr:uid="{00000000-0005-0000-0000-0000B7020000}"/>
    <cellStyle name="F4 13" xfId="619" xr:uid="{00000000-0005-0000-0000-0000B8020000}"/>
    <cellStyle name="F4 14" xfId="620" xr:uid="{00000000-0005-0000-0000-0000B9020000}"/>
    <cellStyle name="F4 15" xfId="621" xr:uid="{00000000-0005-0000-0000-0000BA020000}"/>
    <cellStyle name="F4 16" xfId="622" xr:uid="{00000000-0005-0000-0000-0000BB020000}"/>
    <cellStyle name="F4 17" xfId="623" xr:uid="{00000000-0005-0000-0000-0000BC020000}"/>
    <cellStyle name="F4 18" xfId="624" xr:uid="{00000000-0005-0000-0000-0000BD020000}"/>
    <cellStyle name="F4 19" xfId="625" xr:uid="{00000000-0005-0000-0000-0000BE020000}"/>
    <cellStyle name="F4 2" xfId="626" xr:uid="{00000000-0005-0000-0000-0000BF020000}"/>
    <cellStyle name="F4 20" xfId="627" xr:uid="{00000000-0005-0000-0000-0000C0020000}"/>
    <cellStyle name="F4 21" xfId="628" xr:uid="{00000000-0005-0000-0000-0000C1020000}"/>
    <cellStyle name="F4 22" xfId="629" xr:uid="{00000000-0005-0000-0000-0000C2020000}"/>
    <cellStyle name="F4 23" xfId="630" xr:uid="{00000000-0005-0000-0000-0000C3020000}"/>
    <cellStyle name="F4 24" xfId="631" xr:uid="{00000000-0005-0000-0000-0000C4020000}"/>
    <cellStyle name="F4 25" xfId="632" xr:uid="{00000000-0005-0000-0000-0000C5020000}"/>
    <cellStyle name="F4 26" xfId="633" xr:uid="{00000000-0005-0000-0000-0000C6020000}"/>
    <cellStyle name="F4 27" xfId="634" xr:uid="{00000000-0005-0000-0000-0000C7020000}"/>
    <cellStyle name="F4 28" xfId="635" xr:uid="{00000000-0005-0000-0000-0000C8020000}"/>
    <cellStyle name="F4 29" xfId="636" xr:uid="{00000000-0005-0000-0000-0000C9020000}"/>
    <cellStyle name="F4 3" xfId="637" xr:uid="{00000000-0005-0000-0000-0000CA020000}"/>
    <cellStyle name="F4 30" xfId="638" xr:uid="{00000000-0005-0000-0000-0000CB020000}"/>
    <cellStyle name="F4 31" xfId="639" xr:uid="{00000000-0005-0000-0000-0000CC020000}"/>
    <cellStyle name="F4 32" xfId="640" xr:uid="{00000000-0005-0000-0000-0000CD020000}"/>
    <cellStyle name="F4 33" xfId="641" xr:uid="{00000000-0005-0000-0000-0000CE020000}"/>
    <cellStyle name="F4 34" xfId="642" xr:uid="{00000000-0005-0000-0000-0000CF020000}"/>
    <cellStyle name="F4 35" xfId="643" xr:uid="{00000000-0005-0000-0000-0000D0020000}"/>
    <cellStyle name="F4 36" xfId="644" xr:uid="{00000000-0005-0000-0000-0000D1020000}"/>
    <cellStyle name="F4 37" xfId="645" xr:uid="{00000000-0005-0000-0000-0000D2020000}"/>
    <cellStyle name="F4 38" xfId="646" xr:uid="{00000000-0005-0000-0000-0000D3020000}"/>
    <cellStyle name="F4 39" xfId="647" xr:uid="{00000000-0005-0000-0000-0000D4020000}"/>
    <cellStyle name="F4 4" xfId="648" xr:uid="{00000000-0005-0000-0000-0000D5020000}"/>
    <cellStyle name="F4 40" xfId="649" xr:uid="{00000000-0005-0000-0000-0000D6020000}"/>
    <cellStyle name="F4 41" xfId="650" xr:uid="{00000000-0005-0000-0000-0000D7020000}"/>
    <cellStyle name="F4 42" xfId="651" xr:uid="{00000000-0005-0000-0000-0000D8020000}"/>
    <cellStyle name="F4 43" xfId="652" xr:uid="{00000000-0005-0000-0000-0000D9020000}"/>
    <cellStyle name="F4 44" xfId="653" xr:uid="{00000000-0005-0000-0000-0000DA020000}"/>
    <cellStyle name="F4 45" xfId="654" xr:uid="{00000000-0005-0000-0000-0000DB020000}"/>
    <cellStyle name="F4 46" xfId="655" xr:uid="{00000000-0005-0000-0000-0000DC020000}"/>
    <cellStyle name="F4 47" xfId="656" xr:uid="{00000000-0005-0000-0000-0000DD020000}"/>
    <cellStyle name="F4 48" xfId="657" xr:uid="{00000000-0005-0000-0000-0000DE020000}"/>
    <cellStyle name="F4 49" xfId="658" xr:uid="{00000000-0005-0000-0000-0000DF020000}"/>
    <cellStyle name="F4 5" xfId="659" xr:uid="{00000000-0005-0000-0000-0000E0020000}"/>
    <cellStyle name="F4 50" xfId="660" xr:uid="{00000000-0005-0000-0000-0000E1020000}"/>
    <cellStyle name="F4 51" xfId="661" xr:uid="{00000000-0005-0000-0000-0000E2020000}"/>
    <cellStyle name="F4 52" xfId="662" xr:uid="{00000000-0005-0000-0000-0000E3020000}"/>
    <cellStyle name="F4 53" xfId="663" xr:uid="{00000000-0005-0000-0000-0000E4020000}"/>
    <cellStyle name="F4 54" xfId="664" xr:uid="{00000000-0005-0000-0000-0000E5020000}"/>
    <cellStyle name="F4 55" xfId="665" xr:uid="{00000000-0005-0000-0000-0000E6020000}"/>
    <cellStyle name="F4 56" xfId="666" xr:uid="{00000000-0005-0000-0000-0000E7020000}"/>
    <cellStyle name="F4 57" xfId="667" xr:uid="{00000000-0005-0000-0000-0000E8020000}"/>
    <cellStyle name="F4 58" xfId="668" xr:uid="{00000000-0005-0000-0000-0000E9020000}"/>
    <cellStyle name="F4 59" xfId="669" xr:uid="{00000000-0005-0000-0000-0000EA020000}"/>
    <cellStyle name="F4 6" xfId="670" xr:uid="{00000000-0005-0000-0000-0000EB020000}"/>
    <cellStyle name="F4 60" xfId="671" xr:uid="{00000000-0005-0000-0000-0000EC020000}"/>
    <cellStyle name="F4 61" xfId="672" xr:uid="{00000000-0005-0000-0000-0000ED020000}"/>
    <cellStyle name="F4 62" xfId="673" xr:uid="{00000000-0005-0000-0000-0000EE020000}"/>
    <cellStyle name="F4 63" xfId="674" xr:uid="{00000000-0005-0000-0000-0000EF020000}"/>
    <cellStyle name="F4 64" xfId="675" xr:uid="{00000000-0005-0000-0000-0000F0020000}"/>
    <cellStyle name="F4 65" xfId="676" xr:uid="{00000000-0005-0000-0000-0000F1020000}"/>
    <cellStyle name="F4 66" xfId="677" xr:uid="{00000000-0005-0000-0000-0000F2020000}"/>
    <cellStyle name="F4 67" xfId="678" xr:uid="{00000000-0005-0000-0000-0000F3020000}"/>
    <cellStyle name="F4 68" xfId="679" xr:uid="{00000000-0005-0000-0000-0000F4020000}"/>
    <cellStyle name="F4 69" xfId="680" xr:uid="{00000000-0005-0000-0000-0000F5020000}"/>
    <cellStyle name="F4 7" xfId="681" xr:uid="{00000000-0005-0000-0000-0000F6020000}"/>
    <cellStyle name="F4 70" xfId="682" xr:uid="{00000000-0005-0000-0000-0000F7020000}"/>
    <cellStyle name="F4 71" xfId="683" xr:uid="{00000000-0005-0000-0000-0000F8020000}"/>
    <cellStyle name="F4 72" xfId="684" xr:uid="{00000000-0005-0000-0000-0000F9020000}"/>
    <cellStyle name="F4 73" xfId="685" xr:uid="{00000000-0005-0000-0000-0000FA020000}"/>
    <cellStyle name="F4 74" xfId="686" xr:uid="{00000000-0005-0000-0000-0000FB020000}"/>
    <cellStyle name="F4 75" xfId="687" xr:uid="{00000000-0005-0000-0000-0000FC020000}"/>
    <cellStyle name="F4 76" xfId="688" xr:uid="{00000000-0005-0000-0000-0000FD020000}"/>
    <cellStyle name="F4 77" xfId="2003" xr:uid="{00000000-0005-0000-0000-0000FE020000}"/>
    <cellStyle name="F4 8" xfId="689" xr:uid="{00000000-0005-0000-0000-0000FF020000}"/>
    <cellStyle name="F4 9" xfId="690" xr:uid="{00000000-0005-0000-0000-000000030000}"/>
    <cellStyle name="F4_00 Valor Referencial LP-RP-RS PSE CHINCHEROS II" xfId="691" xr:uid="{00000000-0005-0000-0000-000001030000}"/>
    <cellStyle name="F5" xfId="692" xr:uid="{00000000-0005-0000-0000-000002030000}"/>
    <cellStyle name="F5 - Estilo4" xfId="693" xr:uid="{00000000-0005-0000-0000-000003030000}"/>
    <cellStyle name="F5 - Estilo4 2" xfId="2004" xr:uid="{00000000-0005-0000-0000-000004030000}"/>
    <cellStyle name="F5 10" xfId="694" xr:uid="{00000000-0005-0000-0000-000005030000}"/>
    <cellStyle name="F5 11" xfId="695" xr:uid="{00000000-0005-0000-0000-000006030000}"/>
    <cellStyle name="F5 12" xfId="696" xr:uid="{00000000-0005-0000-0000-000007030000}"/>
    <cellStyle name="F5 13" xfId="697" xr:uid="{00000000-0005-0000-0000-000008030000}"/>
    <cellStyle name="F5 14" xfId="698" xr:uid="{00000000-0005-0000-0000-000009030000}"/>
    <cellStyle name="F5 15" xfId="699" xr:uid="{00000000-0005-0000-0000-00000A030000}"/>
    <cellStyle name="F5 16" xfId="700" xr:uid="{00000000-0005-0000-0000-00000B030000}"/>
    <cellStyle name="F5 17" xfId="701" xr:uid="{00000000-0005-0000-0000-00000C030000}"/>
    <cellStyle name="F5 18" xfId="702" xr:uid="{00000000-0005-0000-0000-00000D030000}"/>
    <cellStyle name="F5 19" xfId="703" xr:uid="{00000000-0005-0000-0000-00000E030000}"/>
    <cellStyle name="F5 2" xfId="704" xr:uid="{00000000-0005-0000-0000-00000F030000}"/>
    <cellStyle name="F5 20" xfId="705" xr:uid="{00000000-0005-0000-0000-000010030000}"/>
    <cellStyle name="F5 21" xfId="706" xr:uid="{00000000-0005-0000-0000-000011030000}"/>
    <cellStyle name="F5 22" xfId="707" xr:uid="{00000000-0005-0000-0000-000012030000}"/>
    <cellStyle name="F5 23" xfId="708" xr:uid="{00000000-0005-0000-0000-000013030000}"/>
    <cellStyle name="F5 24" xfId="709" xr:uid="{00000000-0005-0000-0000-000014030000}"/>
    <cellStyle name="F5 25" xfId="710" xr:uid="{00000000-0005-0000-0000-000015030000}"/>
    <cellStyle name="F5 26" xfId="711" xr:uid="{00000000-0005-0000-0000-000016030000}"/>
    <cellStyle name="F5 27" xfId="712" xr:uid="{00000000-0005-0000-0000-000017030000}"/>
    <cellStyle name="F5 28" xfId="713" xr:uid="{00000000-0005-0000-0000-000018030000}"/>
    <cellStyle name="F5 29" xfId="714" xr:uid="{00000000-0005-0000-0000-000019030000}"/>
    <cellStyle name="F5 3" xfId="715" xr:uid="{00000000-0005-0000-0000-00001A030000}"/>
    <cellStyle name="F5 30" xfId="716" xr:uid="{00000000-0005-0000-0000-00001B030000}"/>
    <cellStyle name="F5 31" xfId="717" xr:uid="{00000000-0005-0000-0000-00001C030000}"/>
    <cellStyle name="F5 32" xfId="718" xr:uid="{00000000-0005-0000-0000-00001D030000}"/>
    <cellStyle name="F5 33" xfId="719" xr:uid="{00000000-0005-0000-0000-00001E030000}"/>
    <cellStyle name="F5 34" xfId="720" xr:uid="{00000000-0005-0000-0000-00001F030000}"/>
    <cellStyle name="F5 35" xfId="721" xr:uid="{00000000-0005-0000-0000-000020030000}"/>
    <cellStyle name="F5 36" xfId="722" xr:uid="{00000000-0005-0000-0000-000021030000}"/>
    <cellStyle name="F5 37" xfId="723" xr:uid="{00000000-0005-0000-0000-000022030000}"/>
    <cellStyle name="F5 38" xfId="724" xr:uid="{00000000-0005-0000-0000-000023030000}"/>
    <cellStyle name="F5 39" xfId="725" xr:uid="{00000000-0005-0000-0000-000024030000}"/>
    <cellStyle name="F5 4" xfId="726" xr:uid="{00000000-0005-0000-0000-000025030000}"/>
    <cellStyle name="F5 40" xfId="727" xr:uid="{00000000-0005-0000-0000-000026030000}"/>
    <cellStyle name="F5 41" xfId="728" xr:uid="{00000000-0005-0000-0000-000027030000}"/>
    <cellStyle name="F5 42" xfId="729" xr:uid="{00000000-0005-0000-0000-000028030000}"/>
    <cellStyle name="F5 43" xfId="730" xr:uid="{00000000-0005-0000-0000-000029030000}"/>
    <cellStyle name="F5 44" xfId="731" xr:uid="{00000000-0005-0000-0000-00002A030000}"/>
    <cellStyle name="F5 45" xfId="732" xr:uid="{00000000-0005-0000-0000-00002B030000}"/>
    <cellStyle name="F5 46" xfId="733" xr:uid="{00000000-0005-0000-0000-00002C030000}"/>
    <cellStyle name="F5 47" xfId="734" xr:uid="{00000000-0005-0000-0000-00002D030000}"/>
    <cellStyle name="F5 48" xfId="735" xr:uid="{00000000-0005-0000-0000-00002E030000}"/>
    <cellStyle name="F5 49" xfId="736" xr:uid="{00000000-0005-0000-0000-00002F030000}"/>
    <cellStyle name="F5 5" xfId="737" xr:uid="{00000000-0005-0000-0000-000030030000}"/>
    <cellStyle name="F5 50" xfId="738" xr:uid="{00000000-0005-0000-0000-000031030000}"/>
    <cellStyle name="F5 51" xfId="739" xr:uid="{00000000-0005-0000-0000-000032030000}"/>
    <cellStyle name="F5 52" xfId="740" xr:uid="{00000000-0005-0000-0000-000033030000}"/>
    <cellStyle name="F5 53" xfId="741" xr:uid="{00000000-0005-0000-0000-000034030000}"/>
    <cellStyle name="F5 54" xfId="742" xr:uid="{00000000-0005-0000-0000-000035030000}"/>
    <cellStyle name="F5 55" xfId="743" xr:uid="{00000000-0005-0000-0000-000036030000}"/>
    <cellStyle name="F5 56" xfId="744" xr:uid="{00000000-0005-0000-0000-000037030000}"/>
    <cellStyle name="F5 57" xfId="745" xr:uid="{00000000-0005-0000-0000-000038030000}"/>
    <cellStyle name="F5 58" xfId="746" xr:uid="{00000000-0005-0000-0000-000039030000}"/>
    <cellStyle name="F5 59" xfId="747" xr:uid="{00000000-0005-0000-0000-00003A030000}"/>
    <cellStyle name="F5 6" xfId="748" xr:uid="{00000000-0005-0000-0000-00003B030000}"/>
    <cellStyle name="F5 60" xfId="749" xr:uid="{00000000-0005-0000-0000-00003C030000}"/>
    <cellStyle name="F5 61" xfId="750" xr:uid="{00000000-0005-0000-0000-00003D030000}"/>
    <cellStyle name="F5 62" xfId="751" xr:uid="{00000000-0005-0000-0000-00003E030000}"/>
    <cellStyle name="F5 63" xfId="752" xr:uid="{00000000-0005-0000-0000-00003F030000}"/>
    <cellStyle name="F5 64" xfId="753" xr:uid="{00000000-0005-0000-0000-000040030000}"/>
    <cellStyle name="F5 65" xfId="754" xr:uid="{00000000-0005-0000-0000-000041030000}"/>
    <cellStyle name="F5 66" xfId="755" xr:uid="{00000000-0005-0000-0000-000042030000}"/>
    <cellStyle name="F5 67" xfId="756" xr:uid="{00000000-0005-0000-0000-000043030000}"/>
    <cellStyle name="F5 68" xfId="757" xr:uid="{00000000-0005-0000-0000-000044030000}"/>
    <cellStyle name="F5 69" xfId="758" xr:uid="{00000000-0005-0000-0000-000045030000}"/>
    <cellStyle name="F5 7" xfId="759" xr:uid="{00000000-0005-0000-0000-000046030000}"/>
    <cellStyle name="F5 70" xfId="760" xr:uid="{00000000-0005-0000-0000-000047030000}"/>
    <cellStyle name="F5 71" xfId="761" xr:uid="{00000000-0005-0000-0000-000048030000}"/>
    <cellStyle name="F5 72" xfId="762" xr:uid="{00000000-0005-0000-0000-000049030000}"/>
    <cellStyle name="F5 73" xfId="763" xr:uid="{00000000-0005-0000-0000-00004A030000}"/>
    <cellStyle name="F5 74" xfId="764" xr:uid="{00000000-0005-0000-0000-00004B030000}"/>
    <cellStyle name="F5 75" xfId="765" xr:uid="{00000000-0005-0000-0000-00004C030000}"/>
    <cellStyle name="F5 76" xfId="766" xr:uid="{00000000-0005-0000-0000-00004D030000}"/>
    <cellStyle name="F5 77" xfId="2005" xr:uid="{00000000-0005-0000-0000-00004E030000}"/>
    <cellStyle name="F5 8" xfId="767" xr:uid="{00000000-0005-0000-0000-00004F030000}"/>
    <cellStyle name="F5 9" xfId="768" xr:uid="{00000000-0005-0000-0000-000050030000}"/>
    <cellStyle name="F5_00 Valor Referencial LP-RP-RS PSE CHINCHEROS II" xfId="769" xr:uid="{00000000-0005-0000-0000-000051030000}"/>
    <cellStyle name="F6" xfId="770" xr:uid="{00000000-0005-0000-0000-000052030000}"/>
    <cellStyle name="F6 - Estilo5" xfId="771" xr:uid="{00000000-0005-0000-0000-000053030000}"/>
    <cellStyle name="F6 - Estilo5 2" xfId="2006" xr:uid="{00000000-0005-0000-0000-000054030000}"/>
    <cellStyle name="F6 10" xfId="772" xr:uid="{00000000-0005-0000-0000-000055030000}"/>
    <cellStyle name="F6 11" xfId="773" xr:uid="{00000000-0005-0000-0000-000056030000}"/>
    <cellStyle name="F6 12" xfId="774" xr:uid="{00000000-0005-0000-0000-000057030000}"/>
    <cellStyle name="F6 13" xfId="775" xr:uid="{00000000-0005-0000-0000-000058030000}"/>
    <cellStyle name="F6 14" xfId="776" xr:uid="{00000000-0005-0000-0000-000059030000}"/>
    <cellStyle name="F6 15" xfId="777" xr:uid="{00000000-0005-0000-0000-00005A030000}"/>
    <cellStyle name="F6 16" xfId="778" xr:uid="{00000000-0005-0000-0000-00005B030000}"/>
    <cellStyle name="F6 17" xfId="779" xr:uid="{00000000-0005-0000-0000-00005C030000}"/>
    <cellStyle name="F6 18" xfId="780" xr:uid="{00000000-0005-0000-0000-00005D030000}"/>
    <cellStyle name="F6 19" xfId="781" xr:uid="{00000000-0005-0000-0000-00005E030000}"/>
    <cellStyle name="F6 2" xfId="782" xr:uid="{00000000-0005-0000-0000-00005F030000}"/>
    <cellStyle name="F6 20" xfId="783" xr:uid="{00000000-0005-0000-0000-000060030000}"/>
    <cellStyle name="F6 21" xfId="784" xr:uid="{00000000-0005-0000-0000-000061030000}"/>
    <cellStyle name="F6 22" xfId="785" xr:uid="{00000000-0005-0000-0000-000062030000}"/>
    <cellStyle name="F6 23" xfId="786" xr:uid="{00000000-0005-0000-0000-000063030000}"/>
    <cellStyle name="F6 24" xfId="787" xr:uid="{00000000-0005-0000-0000-000064030000}"/>
    <cellStyle name="F6 25" xfId="788" xr:uid="{00000000-0005-0000-0000-000065030000}"/>
    <cellStyle name="F6 26" xfId="789" xr:uid="{00000000-0005-0000-0000-000066030000}"/>
    <cellStyle name="F6 27" xfId="790" xr:uid="{00000000-0005-0000-0000-000067030000}"/>
    <cellStyle name="F6 28" xfId="791" xr:uid="{00000000-0005-0000-0000-000068030000}"/>
    <cellStyle name="F6 29" xfId="792" xr:uid="{00000000-0005-0000-0000-000069030000}"/>
    <cellStyle name="F6 3" xfId="793" xr:uid="{00000000-0005-0000-0000-00006A030000}"/>
    <cellStyle name="F6 30" xfId="794" xr:uid="{00000000-0005-0000-0000-00006B030000}"/>
    <cellStyle name="F6 31" xfId="795" xr:uid="{00000000-0005-0000-0000-00006C030000}"/>
    <cellStyle name="F6 32" xfId="796" xr:uid="{00000000-0005-0000-0000-00006D030000}"/>
    <cellStyle name="F6 33" xfId="797" xr:uid="{00000000-0005-0000-0000-00006E030000}"/>
    <cellStyle name="F6 34" xfId="798" xr:uid="{00000000-0005-0000-0000-00006F030000}"/>
    <cellStyle name="F6 35" xfId="799" xr:uid="{00000000-0005-0000-0000-000070030000}"/>
    <cellStyle name="F6 36" xfId="800" xr:uid="{00000000-0005-0000-0000-000071030000}"/>
    <cellStyle name="F6 37" xfId="801" xr:uid="{00000000-0005-0000-0000-000072030000}"/>
    <cellStyle name="F6 38" xfId="802" xr:uid="{00000000-0005-0000-0000-000073030000}"/>
    <cellStyle name="F6 39" xfId="803" xr:uid="{00000000-0005-0000-0000-000074030000}"/>
    <cellStyle name="F6 4" xfId="804" xr:uid="{00000000-0005-0000-0000-000075030000}"/>
    <cellStyle name="F6 40" xfId="805" xr:uid="{00000000-0005-0000-0000-000076030000}"/>
    <cellStyle name="F6 41" xfId="806" xr:uid="{00000000-0005-0000-0000-000077030000}"/>
    <cellStyle name="F6 42" xfId="807" xr:uid="{00000000-0005-0000-0000-000078030000}"/>
    <cellStyle name="F6 43" xfId="808" xr:uid="{00000000-0005-0000-0000-000079030000}"/>
    <cellStyle name="F6 44" xfId="809" xr:uid="{00000000-0005-0000-0000-00007A030000}"/>
    <cellStyle name="F6 45" xfId="810" xr:uid="{00000000-0005-0000-0000-00007B030000}"/>
    <cellStyle name="F6 46" xfId="811" xr:uid="{00000000-0005-0000-0000-00007C030000}"/>
    <cellStyle name="F6 47" xfId="812" xr:uid="{00000000-0005-0000-0000-00007D030000}"/>
    <cellStyle name="F6 48" xfId="813" xr:uid="{00000000-0005-0000-0000-00007E030000}"/>
    <cellStyle name="F6 49" xfId="814" xr:uid="{00000000-0005-0000-0000-00007F030000}"/>
    <cellStyle name="F6 5" xfId="815" xr:uid="{00000000-0005-0000-0000-000080030000}"/>
    <cellStyle name="F6 50" xfId="816" xr:uid="{00000000-0005-0000-0000-000081030000}"/>
    <cellStyle name="F6 51" xfId="817" xr:uid="{00000000-0005-0000-0000-000082030000}"/>
    <cellStyle name="F6 52" xfId="818" xr:uid="{00000000-0005-0000-0000-000083030000}"/>
    <cellStyle name="F6 53" xfId="819" xr:uid="{00000000-0005-0000-0000-000084030000}"/>
    <cellStyle name="F6 54" xfId="820" xr:uid="{00000000-0005-0000-0000-000085030000}"/>
    <cellStyle name="F6 55" xfId="821" xr:uid="{00000000-0005-0000-0000-000086030000}"/>
    <cellStyle name="F6 56" xfId="822" xr:uid="{00000000-0005-0000-0000-000087030000}"/>
    <cellStyle name="F6 57" xfId="823" xr:uid="{00000000-0005-0000-0000-000088030000}"/>
    <cellStyle name="F6 58" xfId="824" xr:uid="{00000000-0005-0000-0000-000089030000}"/>
    <cellStyle name="F6 59" xfId="825" xr:uid="{00000000-0005-0000-0000-00008A030000}"/>
    <cellStyle name="F6 6" xfId="826" xr:uid="{00000000-0005-0000-0000-00008B030000}"/>
    <cellStyle name="F6 60" xfId="827" xr:uid="{00000000-0005-0000-0000-00008C030000}"/>
    <cellStyle name="F6 61" xfId="828" xr:uid="{00000000-0005-0000-0000-00008D030000}"/>
    <cellStyle name="F6 62" xfId="829" xr:uid="{00000000-0005-0000-0000-00008E030000}"/>
    <cellStyle name="F6 63" xfId="830" xr:uid="{00000000-0005-0000-0000-00008F030000}"/>
    <cellStyle name="F6 64" xfId="831" xr:uid="{00000000-0005-0000-0000-000090030000}"/>
    <cellStyle name="F6 65" xfId="832" xr:uid="{00000000-0005-0000-0000-000091030000}"/>
    <cellStyle name="F6 66" xfId="833" xr:uid="{00000000-0005-0000-0000-000092030000}"/>
    <cellStyle name="F6 67" xfId="834" xr:uid="{00000000-0005-0000-0000-000093030000}"/>
    <cellStyle name="F6 68" xfId="835" xr:uid="{00000000-0005-0000-0000-000094030000}"/>
    <cellStyle name="F6 69" xfId="836" xr:uid="{00000000-0005-0000-0000-000095030000}"/>
    <cellStyle name="F6 7" xfId="837" xr:uid="{00000000-0005-0000-0000-000096030000}"/>
    <cellStyle name="F6 70" xfId="838" xr:uid="{00000000-0005-0000-0000-000097030000}"/>
    <cellStyle name="F6 71" xfId="839" xr:uid="{00000000-0005-0000-0000-000098030000}"/>
    <cellStyle name="F6 72" xfId="840" xr:uid="{00000000-0005-0000-0000-000099030000}"/>
    <cellStyle name="F6 73" xfId="841" xr:uid="{00000000-0005-0000-0000-00009A030000}"/>
    <cellStyle name="F6 74" xfId="842" xr:uid="{00000000-0005-0000-0000-00009B030000}"/>
    <cellStyle name="F6 75" xfId="843" xr:uid="{00000000-0005-0000-0000-00009C030000}"/>
    <cellStyle name="F6 76" xfId="844" xr:uid="{00000000-0005-0000-0000-00009D030000}"/>
    <cellStyle name="F6 77" xfId="2007" xr:uid="{00000000-0005-0000-0000-00009E030000}"/>
    <cellStyle name="F6 8" xfId="845" xr:uid="{00000000-0005-0000-0000-00009F030000}"/>
    <cellStyle name="F6 9" xfId="846" xr:uid="{00000000-0005-0000-0000-0000A0030000}"/>
    <cellStyle name="F6_00 Valor Referencial LP-RP-RS PSE CHINCHEROS II" xfId="847" xr:uid="{00000000-0005-0000-0000-0000A1030000}"/>
    <cellStyle name="F7" xfId="848" xr:uid="{00000000-0005-0000-0000-0000A2030000}"/>
    <cellStyle name="F7 - Estilo6" xfId="849" xr:uid="{00000000-0005-0000-0000-0000A3030000}"/>
    <cellStyle name="F7 - Estilo6 2" xfId="2008" xr:uid="{00000000-0005-0000-0000-0000A4030000}"/>
    <cellStyle name="F7 10" xfId="850" xr:uid="{00000000-0005-0000-0000-0000A5030000}"/>
    <cellStyle name="F7 11" xfId="851" xr:uid="{00000000-0005-0000-0000-0000A6030000}"/>
    <cellStyle name="F7 12" xfId="852" xr:uid="{00000000-0005-0000-0000-0000A7030000}"/>
    <cellStyle name="F7 13" xfId="853" xr:uid="{00000000-0005-0000-0000-0000A8030000}"/>
    <cellStyle name="F7 14" xfId="854" xr:uid="{00000000-0005-0000-0000-0000A9030000}"/>
    <cellStyle name="F7 15" xfId="855" xr:uid="{00000000-0005-0000-0000-0000AA030000}"/>
    <cellStyle name="F7 16" xfId="856" xr:uid="{00000000-0005-0000-0000-0000AB030000}"/>
    <cellStyle name="F7 17" xfId="857" xr:uid="{00000000-0005-0000-0000-0000AC030000}"/>
    <cellStyle name="F7 18" xfId="858" xr:uid="{00000000-0005-0000-0000-0000AD030000}"/>
    <cellStyle name="F7 19" xfId="859" xr:uid="{00000000-0005-0000-0000-0000AE030000}"/>
    <cellStyle name="F7 2" xfId="860" xr:uid="{00000000-0005-0000-0000-0000AF030000}"/>
    <cellStyle name="F7 20" xfId="861" xr:uid="{00000000-0005-0000-0000-0000B0030000}"/>
    <cellStyle name="F7 21" xfId="862" xr:uid="{00000000-0005-0000-0000-0000B1030000}"/>
    <cellStyle name="F7 22" xfId="863" xr:uid="{00000000-0005-0000-0000-0000B2030000}"/>
    <cellStyle name="F7 23" xfId="864" xr:uid="{00000000-0005-0000-0000-0000B3030000}"/>
    <cellStyle name="F7 24" xfId="865" xr:uid="{00000000-0005-0000-0000-0000B4030000}"/>
    <cellStyle name="F7 25" xfId="866" xr:uid="{00000000-0005-0000-0000-0000B5030000}"/>
    <cellStyle name="F7 26" xfId="867" xr:uid="{00000000-0005-0000-0000-0000B6030000}"/>
    <cellStyle name="F7 27" xfId="868" xr:uid="{00000000-0005-0000-0000-0000B7030000}"/>
    <cellStyle name="F7 28" xfId="869" xr:uid="{00000000-0005-0000-0000-0000B8030000}"/>
    <cellStyle name="F7 29" xfId="870" xr:uid="{00000000-0005-0000-0000-0000B9030000}"/>
    <cellStyle name="F7 3" xfId="871" xr:uid="{00000000-0005-0000-0000-0000BA030000}"/>
    <cellStyle name="F7 30" xfId="872" xr:uid="{00000000-0005-0000-0000-0000BB030000}"/>
    <cellStyle name="F7 31" xfId="873" xr:uid="{00000000-0005-0000-0000-0000BC030000}"/>
    <cellStyle name="F7 32" xfId="874" xr:uid="{00000000-0005-0000-0000-0000BD030000}"/>
    <cellStyle name="F7 33" xfId="875" xr:uid="{00000000-0005-0000-0000-0000BE030000}"/>
    <cellStyle name="F7 34" xfId="876" xr:uid="{00000000-0005-0000-0000-0000BF030000}"/>
    <cellStyle name="F7 35" xfId="877" xr:uid="{00000000-0005-0000-0000-0000C0030000}"/>
    <cellStyle name="F7 36" xfId="878" xr:uid="{00000000-0005-0000-0000-0000C1030000}"/>
    <cellStyle name="F7 37" xfId="879" xr:uid="{00000000-0005-0000-0000-0000C2030000}"/>
    <cellStyle name="F7 38" xfId="880" xr:uid="{00000000-0005-0000-0000-0000C3030000}"/>
    <cellStyle name="F7 39" xfId="881" xr:uid="{00000000-0005-0000-0000-0000C4030000}"/>
    <cellStyle name="F7 4" xfId="882" xr:uid="{00000000-0005-0000-0000-0000C5030000}"/>
    <cellStyle name="F7 40" xfId="883" xr:uid="{00000000-0005-0000-0000-0000C6030000}"/>
    <cellStyle name="F7 41" xfId="884" xr:uid="{00000000-0005-0000-0000-0000C7030000}"/>
    <cellStyle name="F7 42" xfId="885" xr:uid="{00000000-0005-0000-0000-0000C8030000}"/>
    <cellStyle name="F7 43" xfId="886" xr:uid="{00000000-0005-0000-0000-0000C9030000}"/>
    <cellStyle name="F7 44" xfId="887" xr:uid="{00000000-0005-0000-0000-0000CA030000}"/>
    <cellStyle name="F7 45" xfId="888" xr:uid="{00000000-0005-0000-0000-0000CB030000}"/>
    <cellStyle name="F7 46" xfId="889" xr:uid="{00000000-0005-0000-0000-0000CC030000}"/>
    <cellStyle name="F7 47" xfId="890" xr:uid="{00000000-0005-0000-0000-0000CD030000}"/>
    <cellStyle name="F7 48" xfId="891" xr:uid="{00000000-0005-0000-0000-0000CE030000}"/>
    <cellStyle name="F7 49" xfId="892" xr:uid="{00000000-0005-0000-0000-0000CF030000}"/>
    <cellStyle name="F7 5" xfId="893" xr:uid="{00000000-0005-0000-0000-0000D0030000}"/>
    <cellStyle name="F7 50" xfId="894" xr:uid="{00000000-0005-0000-0000-0000D1030000}"/>
    <cellStyle name="F7 51" xfId="895" xr:uid="{00000000-0005-0000-0000-0000D2030000}"/>
    <cellStyle name="F7 52" xfId="896" xr:uid="{00000000-0005-0000-0000-0000D3030000}"/>
    <cellStyle name="F7 53" xfId="897" xr:uid="{00000000-0005-0000-0000-0000D4030000}"/>
    <cellStyle name="F7 54" xfId="898" xr:uid="{00000000-0005-0000-0000-0000D5030000}"/>
    <cellStyle name="F7 55" xfId="899" xr:uid="{00000000-0005-0000-0000-0000D6030000}"/>
    <cellStyle name="F7 56" xfId="900" xr:uid="{00000000-0005-0000-0000-0000D7030000}"/>
    <cellStyle name="F7 57" xfId="901" xr:uid="{00000000-0005-0000-0000-0000D8030000}"/>
    <cellStyle name="F7 58" xfId="902" xr:uid="{00000000-0005-0000-0000-0000D9030000}"/>
    <cellStyle name="F7 59" xfId="903" xr:uid="{00000000-0005-0000-0000-0000DA030000}"/>
    <cellStyle name="F7 6" xfId="904" xr:uid="{00000000-0005-0000-0000-0000DB030000}"/>
    <cellStyle name="F7 60" xfId="905" xr:uid="{00000000-0005-0000-0000-0000DC030000}"/>
    <cellStyle name="F7 61" xfId="906" xr:uid="{00000000-0005-0000-0000-0000DD030000}"/>
    <cellStyle name="F7 62" xfId="907" xr:uid="{00000000-0005-0000-0000-0000DE030000}"/>
    <cellStyle name="F7 63" xfId="908" xr:uid="{00000000-0005-0000-0000-0000DF030000}"/>
    <cellStyle name="F7 64" xfId="909" xr:uid="{00000000-0005-0000-0000-0000E0030000}"/>
    <cellStyle name="F7 65" xfId="910" xr:uid="{00000000-0005-0000-0000-0000E1030000}"/>
    <cellStyle name="F7 66" xfId="911" xr:uid="{00000000-0005-0000-0000-0000E2030000}"/>
    <cellStyle name="F7 67" xfId="912" xr:uid="{00000000-0005-0000-0000-0000E3030000}"/>
    <cellStyle name="F7 68" xfId="913" xr:uid="{00000000-0005-0000-0000-0000E4030000}"/>
    <cellStyle name="F7 69" xfId="914" xr:uid="{00000000-0005-0000-0000-0000E5030000}"/>
    <cellStyle name="F7 7" xfId="915" xr:uid="{00000000-0005-0000-0000-0000E6030000}"/>
    <cellStyle name="F7 70" xfId="916" xr:uid="{00000000-0005-0000-0000-0000E7030000}"/>
    <cellStyle name="F7 71" xfId="917" xr:uid="{00000000-0005-0000-0000-0000E8030000}"/>
    <cellStyle name="F7 72" xfId="918" xr:uid="{00000000-0005-0000-0000-0000E9030000}"/>
    <cellStyle name="F7 73" xfId="919" xr:uid="{00000000-0005-0000-0000-0000EA030000}"/>
    <cellStyle name="F7 74" xfId="920" xr:uid="{00000000-0005-0000-0000-0000EB030000}"/>
    <cellStyle name="F7 75" xfId="921" xr:uid="{00000000-0005-0000-0000-0000EC030000}"/>
    <cellStyle name="F7 76" xfId="922" xr:uid="{00000000-0005-0000-0000-0000ED030000}"/>
    <cellStyle name="F7 77" xfId="2009" xr:uid="{00000000-0005-0000-0000-0000EE030000}"/>
    <cellStyle name="F7 8" xfId="923" xr:uid="{00000000-0005-0000-0000-0000EF030000}"/>
    <cellStyle name="F7 9" xfId="924" xr:uid="{00000000-0005-0000-0000-0000F0030000}"/>
    <cellStyle name="F7_00 Valor Referencial LP-RP-RS PSE CHINCHEROS II" xfId="925" xr:uid="{00000000-0005-0000-0000-0000F1030000}"/>
    <cellStyle name="F8" xfId="926" xr:uid="{00000000-0005-0000-0000-0000F2030000}"/>
    <cellStyle name="F8 10" xfId="927" xr:uid="{00000000-0005-0000-0000-0000F3030000}"/>
    <cellStyle name="F8 11" xfId="928" xr:uid="{00000000-0005-0000-0000-0000F4030000}"/>
    <cellStyle name="F8 12" xfId="929" xr:uid="{00000000-0005-0000-0000-0000F5030000}"/>
    <cellStyle name="F8 13" xfId="930" xr:uid="{00000000-0005-0000-0000-0000F6030000}"/>
    <cellStyle name="F8 14" xfId="931" xr:uid="{00000000-0005-0000-0000-0000F7030000}"/>
    <cellStyle name="F8 15" xfId="932" xr:uid="{00000000-0005-0000-0000-0000F8030000}"/>
    <cellStyle name="F8 16" xfId="933" xr:uid="{00000000-0005-0000-0000-0000F9030000}"/>
    <cellStyle name="F8 17" xfId="934" xr:uid="{00000000-0005-0000-0000-0000FA030000}"/>
    <cellStyle name="F8 18" xfId="935" xr:uid="{00000000-0005-0000-0000-0000FB030000}"/>
    <cellStyle name="F8 19" xfId="936" xr:uid="{00000000-0005-0000-0000-0000FC030000}"/>
    <cellStyle name="F8 2" xfId="937" xr:uid="{00000000-0005-0000-0000-0000FD030000}"/>
    <cellStyle name="F8 20" xfId="938" xr:uid="{00000000-0005-0000-0000-0000FE030000}"/>
    <cellStyle name="F8 21" xfId="939" xr:uid="{00000000-0005-0000-0000-0000FF030000}"/>
    <cellStyle name="F8 22" xfId="940" xr:uid="{00000000-0005-0000-0000-000000040000}"/>
    <cellStyle name="F8 23" xfId="941" xr:uid="{00000000-0005-0000-0000-000001040000}"/>
    <cellStyle name="F8 24" xfId="942" xr:uid="{00000000-0005-0000-0000-000002040000}"/>
    <cellStyle name="F8 25" xfId="943" xr:uid="{00000000-0005-0000-0000-000003040000}"/>
    <cellStyle name="F8 26" xfId="944" xr:uid="{00000000-0005-0000-0000-000004040000}"/>
    <cellStyle name="F8 27" xfId="945" xr:uid="{00000000-0005-0000-0000-000005040000}"/>
    <cellStyle name="F8 28" xfId="946" xr:uid="{00000000-0005-0000-0000-000006040000}"/>
    <cellStyle name="F8 29" xfId="947" xr:uid="{00000000-0005-0000-0000-000007040000}"/>
    <cellStyle name="F8 3" xfId="948" xr:uid="{00000000-0005-0000-0000-000008040000}"/>
    <cellStyle name="F8 30" xfId="949" xr:uid="{00000000-0005-0000-0000-000009040000}"/>
    <cellStyle name="F8 31" xfId="950" xr:uid="{00000000-0005-0000-0000-00000A040000}"/>
    <cellStyle name="F8 32" xfId="951" xr:uid="{00000000-0005-0000-0000-00000B040000}"/>
    <cellStyle name="F8 33" xfId="952" xr:uid="{00000000-0005-0000-0000-00000C040000}"/>
    <cellStyle name="F8 34" xfId="953" xr:uid="{00000000-0005-0000-0000-00000D040000}"/>
    <cellStyle name="F8 35" xfId="954" xr:uid="{00000000-0005-0000-0000-00000E040000}"/>
    <cellStyle name="F8 36" xfId="955" xr:uid="{00000000-0005-0000-0000-00000F040000}"/>
    <cellStyle name="F8 37" xfId="956" xr:uid="{00000000-0005-0000-0000-000010040000}"/>
    <cellStyle name="F8 38" xfId="957" xr:uid="{00000000-0005-0000-0000-000011040000}"/>
    <cellStyle name="F8 39" xfId="958" xr:uid="{00000000-0005-0000-0000-000012040000}"/>
    <cellStyle name="F8 4" xfId="959" xr:uid="{00000000-0005-0000-0000-000013040000}"/>
    <cellStyle name="F8 40" xfId="960" xr:uid="{00000000-0005-0000-0000-000014040000}"/>
    <cellStyle name="F8 41" xfId="961" xr:uid="{00000000-0005-0000-0000-000015040000}"/>
    <cellStyle name="F8 42" xfId="962" xr:uid="{00000000-0005-0000-0000-000016040000}"/>
    <cellStyle name="F8 43" xfId="963" xr:uid="{00000000-0005-0000-0000-000017040000}"/>
    <cellStyle name="F8 44" xfId="964" xr:uid="{00000000-0005-0000-0000-000018040000}"/>
    <cellStyle name="F8 45" xfId="965" xr:uid="{00000000-0005-0000-0000-000019040000}"/>
    <cellStyle name="F8 46" xfId="966" xr:uid="{00000000-0005-0000-0000-00001A040000}"/>
    <cellStyle name="F8 47" xfId="967" xr:uid="{00000000-0005-0000-0000-00001B040000}"/>
    <cellStyle name="F8 48" xfId="968" xr:uid="{00000000-0005-0000-0000-00001C040000}"/>
    <cellStyle name="F8 49" xfId="969" xr:uid="{00000000-0005-0000-0000-00001D040000}"/>
    <cellStyle name="F8 5" xfId="970" xr:uid="{00000000-0005-0000-0000-00001E040000}"/>
    <cellStyle name="F8 50" xfId="971" xr:uid="{00000000-0005-0000-0000-00001F040000}"/>
    <cellStyle name="F8 51" xfId="972" xr:uid="{00000000-0005-0000-0000-000020040000}"/>
    <cellStyle name="F8 52" xfId="973" xr:uid="{00000000-0005-0000-0000-000021040000}"/>
    <cellStyle name="F8 53" xfId="974" xr:uid="{00000000-0005-0000-0000-000022040000}"/>
    <cellStyle name="F8 54" xfId="975" xr:uid="{00000000-0005-0000-0000-000023040000}"/>
    <cellStyle name="F8 55" xfId="976" xr:uid="{00000000-0005-0000-0000-000024040000}"/>
    <cellStyle name="F8 56" xfId="977" xr:uid="{00000000-0005-0000-0000-000025040000}"/>
    <cellStyle name="F8 57" xfId="978" xr:uid="{00000000-0005-0000-0000-000026040000}"/>
    <cellStyle name="F8 58" xfId="979" xr:uid="{00000000-0005-0000-0000-000027040000}"/>
    <cellStyle name="F8 59" xfId="980" xr:uid="{00000000-0005-0000-0000-000028040000}"/>
    <cellStyle name="F8 6" xfId="981" xr:uid="{00000000-0005-0000-0000-000029040000}"/>
    <cellStyle name="F8 60" xfId="982" xr:uid="{00000000-0005-0000-0000-00002A040000}"/>
    <cellStyle name="F8 61" xfId="983" xr:uid="{00000000-0005-0000-0000-00002B040000}"/>
    <cellStyle name="F8 62" xfId="984" xr:uid="{00000000-0005-0000-0000-00002C040000}"/>
    <cellStyle name="F8 63" xfId="985" xr:uid="{00000000-0005-0000-0000-00002D040000}"/>
    <cellStyle name="F8 64" xfId="986" xr:uid="{00000000-0005-0000-0000-00002E040000}"/>
    <cellStyle name="F8 65" xfId="987" xr:uid="{00000000-0005-0000-0000-00002F040000}"/>
    <cellStyle name="F8 66" xfId="988" xr:uid="{00000000-0005-0000-0000-000030040000}"/>
    <cellStyle name="F8 67" xfId="989" xr:uid="{00000000-0005-0000-0000-000031040000}"/>
    <cellStyle name="F8 68" xfId="990" xr:uid="{00000000-0005-0000-0000-000032040000}"/>
    <cellStyle name="F8 69" xfId="991" xr:uid="{00000000-0005-0000-0000-000033040000}"/>
    <cellStyle name="F8 7" xfId="992" xr:uid="{00000000-0005-0000-0000-000034040000}"/>
    <cellStyle name="F8 70" xfId="993" xr:uid="{00000000-0005-0000-0000-000035040000}"/>
    <cellStyle name="F8 71" xfId="994" xr:uid="{00000000-0005-0000-0000-000036040000}"/>
    <cellStyle name="F8 72" xfId="995" xr:uid="{00000000-0005-0000-0000-000037040000}"/>
    <cellStyle name="F8 73" xfId="996" xr:uid="{00000000-0005-0000-0000-000038040000}"/>
    <cellStyle name="F8 74" xfId="997" xr:uid="{00000000-0005-0000-0000-000039040000}"/>
    <cellStyle name="F8 75" xfId="998" xr:uid="{00000000-0005-0000-0000-00003A040000}"/>
    <cellStyle name="F8 76" xfId="999" xr:uid="{00000000-0005-0000-0000-00003B040000}"/>
    <cellStyle name="F8 77" xfId="2010" xr:uid="{00000000-0005-0000-0000-00003C040000}"/>
    <cellStyle name="F8 8" xfId="1000" xr:uid="{00000000-0005-0000-0000-00003D040000}"/>
    <cellStyle name="F8 9" xfId="1001" xr:uid="{00000000-0005-0000-0000-00003E040000}"/>
    <cellStyle name="F8_METRADO CACI X- B BT" xfId="1002" xr:uid="{00000000-0005-0000-0000-00003F040000}"/>
    <cellStyle name="Fecha" xfId="1003" xr:uid="{00000000-0005-0000-0000-000040040000}"/>
    <cellStyle name="Fijo" xfId="1004" xr:uid="{00000000-0005-0000-0000-000041040000}"/>
    <cellStyle name="FIJO 10" xfId="1005" xr:uid="{00000000-0005-0000-0000-000042040000}"/>
    <cellStyle name="FIJO 11" xfId="1006" xr:uid="{00000000-0005-0000-0000-000043040000}"/>
    <cellStyle name="FIJO 12" xfId="1007" xr:uid="{00000000-0005-0000-0000-000044040000}"/>
    <cellStyle name="FIJO 13" xfId="1008" xr:uid="{00000000-0005-0000-0000-000045040000}"/>
    <cellStyle name="FIJO 14" xfId="1009" xr:uid="{00000000-0005-0000-0000-000046040000}"/>
    <cellStyle name="FIJO 15" xfId="1010" xr:uid="{00000000-0005-0000-0000-000047040000}"/>
    <cellStyle name="FIJO 16" xfId="1011" xr:uid="{00000000-0005-0000-0000-000048040000}"/>
    <cellStyle name="FIJO 17" xfId="1012" xr:uid="{00000000-0005-0000-0000-000049040000}"/>
    <cellStyle name="FIJO 18" xfId="1013" xr:uid="{00000000-0005-0000-0000-00004A040000}"/>
    <cellStyle name="FIJO 19" xfId="1014" xr:uid="{00000000-0005-0000-0000-00004B040000}"/>
    <cellStyle name="FIJO 2" xfId="1015" xr:uid="{00000000-0005-0000-0000-00004C040000}"/>
    <cellStyle name="FIJO 20" xfId="1016" xr:uid="{00000000-0005-0000-0000-00004D040000}"/>
    <cellStyle name="FIJO 21" xfId="1017" xr:uid="{00000000-0005-0000-0000-00004E040000}"/>
    <cellStyle name="FIJO 22" xfId="1018" xr:uid="{00000000-0005-0000-0000-00004F040000}"/>
    <cellStyle name="FIJO 23" xfId="1019" xr:uid="{00000000-0005-0000-0000-000050040000}"/>
    <cellStyle name="FIJO 24" xfId="1020" xr:uid="{00000000-0005-0000-0000-000051040000}"/>
    <cellStyle name="FIJO 25" xfId="1021" xr:uid="{00000000-0005-0000-0000-000052040000}"/>
    <cellStyle name="FIJO 26" xfId="1022" xr:uid="{00000000-0005-0000-0000-000053040000}"/>
    <cellStyle name="FIJO 27" xfId="1023" xr:uid="{00000000-0005-0000-0000-000054040000}"/>
    <cellStyle name="FIJO 28" xfId="1024" xr:uid="{00000000-0005-0000-0000-000055040000}"/>
    <cellStyle name="FIJO 29" xfId="1025" xr:uid="{00000000-0005-0000-0000-000056040000}"/>
    <cellStyle name="FIJO 3" xfId="1026" xr:uid="{00000000-0005-0000-0000-000057040000}"/>
    <cellStyle name="FIJO 30" xfId="1027" xr:uid="{00000000-0005-0000-0000-000058040000}"/>
    <cellStyle name="FIJO 31" xfId="1028" xr:uid="{00000000-0005-0000-0000-000059040000}"/>
    <cellStyle name="FIJO 32" xfId="1029" xr:uid="{00000000-0005-0000-0000-00005A040000}"/>
    <cellStyle name="FIJO 33" xfId="1030" xr:uid="{00000000-0005-0000-0000-00005B040000}"/>
    <cellStyle name="FIJO 34" xfId="1031" xr:uid="{00000000-0005-0000-0000-00005C040000}"/>
    <cellStyle name="FIJO 35" xfId="1032" xr:uid="{00000000-0005-0000-0000-00005D040000}"/>
    <cellStyle name="FIJO 36" xfId="1033" xr:uid="{00000000-0005-0000-0000-00005E040000}"/>
    <cellStyle name="FIJO 37" xfId="1034" xr:uid="{00000000-0005-0000-0000-00005F040000}"/>
    <cellStyle name="FIJO 38" xfId="1035" xr:uid="{00000000-0005-0000-0000-000060040000}"/>
    <cellStyle name="FIJO 39" xfId="1036" xr:uid="{00000000-0005-0000-0000-000061040000}"/>
    <cellStyle name="FIJO 4" xfId="1037" xr:uid="{00000000-0005-0000-0000-000062040000}"/>
    <cellStyle name="FIJO 40" xfId="1038" xr:uid="{00000000-0005-0000-0000-000063040000}"/>
    <cellStyle name="FIJO 41" xfId="1039" xr:uid="{00000000-0005-0000-0000-000064040000}"/>
    <cellStyle name="FIJO 42" xfId="1040" xr:uid="{00000000-0005-0000-0000-000065040000}"/>
    <cellStyle name="FIJO 43" xfId="1041" xr:uid="{00000000-0005-0000-0000-000066040000}"/>
    <cellStyle name="FIJO 44" xfId="1042" xr:uid="{00000000-0005-0000-0000-000067040000}"/>
    <cellStyle name="FIJO 45" xfId="1043" xr:uid="{00000000-0005-0000-0000-000068040000}"/>
    <cellStyle name="FIJO 46" xfId="1044" xr:uid="{00000000-0005-0000-0000-000069040000}"/>
    <cellStyle name="FIJO 47" xfId="1045" xr:uid="{00000000-0005-0000-0000-00006A040000}"/>
    <cellStyle name="FIJO 48" xfId="1046" xr:uid="{00000000-0005-0000-0000-00006B040000}"/>
    <cellStyle name="FIJO 49" xfId="1047" xr:uid="{00000000-0005-0000-0000-00006C040000}"/>
    <cellStyle name="FIJO 5" xfId="1048" xr:uid="{00000000-0005-0000-0000-00006D040000}"/>
    <cellStyle name="FIJO 50" xfId="1049" xr:uid="{00000000-0005-0000-0000-00006E040000}"/>
    <cellStyle name="FIJO 51" xfId="1050" xr:uid="{00000000-0005-0000-0000-00006F040000}"/>
    <cellStyle name="FIJO 52" xfId="1051" xr:uid="{00000000-0005-0000-0000-000070040000}"/>
    <cellStyle name="FIJO 53" xfId="1052" xr:uid="{00000000-0005-0000-0000-000071040000}"/>
    <cellStyle name="FIJO 54" xfId="1053" xr:uid="{00000000-0005-0000-0000-000072040000}"/>
    <cellStyle name="FIJO 55" xfId="1054" xr:uid="{00000000-0005-0000-0000-000073040000}"/>
    <cellStyle name="FIJO 56" xfId="1055" xr:uid="{00000000-0005-0000-0000-000074040000}"/>
    <cellStyle name="FIJO 57" xfId="1056" xr:uid="{00000000-0005-0000-0000-000075040000}"/>
    <cellStyle name="FIJO 58" xfId="1057" xr:uid="{00000000-0005-0000-0000-000076040000}"/>
    <cellStyle name="FIJO 59" xfId="1058" xr:uid="{00000000-0005-0000-0000-000077040000}"/>
    <cellStyle name="FIJO 6" xfId="1059" xr:uid="{00000000-0005-0000-0000-000078040000}"/>
    <cellStyle name="FIJO 60" xfId="1060" xr:uid="{00000000-0005-0000-0000-000079040000}"/>
    <cellStyle name="FIJO 61" xfId="1061" xr:uid="{00000000-0005-0000-0000-00007A040000}"/>
    <cellStyle name="FIJO 62" xfId="1062" xr:uid="{00000000-0005-0000-0000-00007B040000}"/>
    <cellStyle name="FIJO 63" xfId="1063" xr:uid="{00000000-0005-0000-0000-00007C040000}"/>
    <cellStyle name="FIJO 64" xfId="1064" xr:uid="{00000000-0005-0000-0000-00007D040000}"/>
    <cellStyle name="FIJO 65" xfId="1065" xr:uid="{00000000-0005-0000-0000-00007E040000}"/>
    <cellStyle name="FIJO 66" xfId="1066" xr:uid="{00000000-0005-0000-0000-00007F040000}"/>
    <cellStyle name="FIJO 67" xfId="1067" xr:uid="{00000000-0005-0000-0000-000080040000}"/>
    <cellStyle name="FIJO 68" xfId="1068" xr:uid="{00000000-0005-0000-0000-000081040000}"/>
    <cellStyle name="FIJO 69" xfId="1069" xr:uid="{00000000-0005-0000-0000-000082040000}"/>
    <cellStyle name="FIJO 7" xfId="1070" xr:uid="{00000000-0005-0000-0000-000083040000}"/>
    <cellStyle name="FIJO 70" xfId="1071" xr:uid="{00000000-0005-0000-0000-000084040000}"/>
    <cellStyle name="FIJO 71" xfId="1072" xr:uid="{00000000-0005-0000-0000-000085040000}"/>
    <cellStyle name="FIJO 72" xfId="1073" xr:uid="{00000000-0005-0000-0000-000086040000}"/>
    <cellStyle name="FIJO 73" xfId="1074" xr:uid="{00000000-0005-0000-0000-000087040000}"/>
    <cellStyle name="FIJO 74" xfId="1075" xr:uid="{00000000-0005-0000-0000-000088040000}"/>
    <cellStyle name="FIJO 75" xfId="1076" xr:uid="{00000000-0005-0000-0000-000089040000}"/>
    <cellStyle name="FIJO 76" xfId="1077" xr:uid="{00000000-0005-0000-0000-00008A040000}"/>
    <cellStyle name="Fijo 77" xfId="2011" xr:uid="{00000000-0005-0000-0000-00008B040000}"/>
    <cellStyle name="Fijo 78" xfId="2813" xr:uid="{500483CA-52A9-468B-8F01-27B9DEDDC206}"/>
    <cellStyle name="FIJO 8" xfId="1078" xr:uid="{00000000-0005-0000-0000-00008C040000}"/>
    <cellStyle name="FIJO 9" xfId="1079" xr:uid="{00000000-0005-0000-0000-00008D040000}"/>
    <cellStyle name="Fijo_METRADO CACI X- B BT" xfId="1080" xr:uid="{00000000-0005-0000-0000-00008E040000}"/>
    <cellStyle name="Financiero" xfId="1081" xr:uid="{00000000-0005-0000-0000-00008F040000}"/>
    <cellStyle name="FINANCIERO 10" xfId="1082" xr:uid="{00000000-0005-0000-0000-000090040000}"/>
    <cellStyle name="FINANCIERO 11" xfId="1083" xr:uid="{00000000-0005-0000-0000-000091040000}"/>
    <cellStyle name="FINANCIERO 12" xfId="1084" xr:uid="{00000000-0005-0000-0000-000092040000}"/>
    <cellStyle name="FINANCIERO 13" xfId="1085" xr:uid="{00000000-0005-0000-0000-000093040000}"/>
    <cellStyle name="FINANCIERO 14" xfId="1086" xr:uid="{00000000-0005-0000-0000-000094040000}"/>
    <cellStyle name="FINANCIERO 15" xfId="1087" xr:uid="{00000000-0005-0000-0000-000095040000}"/>
    <cellStyle name="FINANCIERO 16" xfId="1088" xr:uid="{00000000-0005-0000-0000-000096040000}"/>
    <cellStyle name="FINANCIERO 17" xfId="1089" xr:uid="{00000000-0005-0000-0000-000097040000}"/>
    <cellStyle name="FINANCIERO 18" xfId="1090" xr:uid="{00000000-0005-0000-0000-000098040000}"/>
    <cellStyle name="FINANCIERO 19" xfId="1091" xr:uid="{00000000-0005-0000-0000-000099040000}"/>
    <cellStyle name="FINANCIERO 2" xfId="1092" xr:uid="{00000000-0005-0000-0000-00009A040000}"/>
    <cellStyle name="FINANCIERO 20" xfId="1093" xr:uid="{00000000-0005-0000-0000-00009B040000}"/>
    <cellStyle name="FINANCIERO 21" xfId="1094" xr:uid="{00000000-0005-0000-0000-00009C040000}"/>
    <cellStyle name="FINANCIERO 22" xfId="1095" xr:uid="{00000000-0005-0000-0000-00009D040000}"/>
    <cellStyle name="FINANCIERO 23" xfId="1096" xr:uid="{00000000-0005-0000-0000-00009E040000}"/>
    <cellStyle name="FINANCIERO 24" xfId="1097" xr:uid="{00000000-0005-0000-0000-00009F040000}"/>
    <cellStyle name="FINANCIERO 25" xfId="1098" xr:uid="{00000000-0005-0000-0000-0000A0040000}"/>
    <cellStyle name="FINANCIERO 26" xfId="1099" xr:uid="{00000000-0005-0000-0000-0000A1040000}"/>
    <cellStyle name="FINANCIERO 27" xfId="1100" xr:uid="{00000000-0005-0000-0000-0000A2040000}"/>
    <cellStyle name="FINANCIERO 28" xfId="1101" xr:uid="{00000000-0005-0000-0000-0000A3040000}"/>
    <cellStyle name="FINANCIERO 29" xfId="1102" xr:uid="{00000000-0005-0000-0000-0000A4040000}"/>
    <cellStyle name="FINANCIERO 3" xfId="1103" xr:uid="{00000000-0005-0000-0000-0000A5040000}"/>
    <cellStyle name="FINANCIERO 30" xfId="1104" xr:uid="{00000000-0005-0000-0000-0000A6040000}"/>
    <cellStyle name="FINANCIERO 31" xfId="1105" xr:uid="{00000000-0005-0000-0000-0000A7040000}"/>
    <cellStyle name="FINANCIERO 32" xfId="1106" xr:uid="{00000000-0005-0000-0000-0000A8040000}"/>
    <cellStyle name="FINANCIERO 33" xfId="1107" xr:uid="{00000000-0005-0000-0000-0000A9040000}"/>
    <cellStyle name="FINANCIERO 34" xfId="1108" xr:uid="{00000000-0005-0000-0000-0000AA040000}"/>
    <cellStyle name="FINANCIERO 35" xfId="1109" xr:uid="{00000000-0005-0000-0000-0000AB040000}"/>
    <cellStyle name="FINANCIERO 36" xfId="1110" xr:uid="{00000000-0005-0000-0000-0000AC040000}"/>
    <cellStyle name="FINANCIERO 37" xfId="1111" xr:uid="{00000000-0005-0000-0000-0000AD040000}"/>
    <cellStyle name="FINANCIERO 38" xfId="1112" xr:uid="{00000000-0005-0000-0000-0000AE040000}"/>
    <cellStyle name="FINANCIERO 39" xfId="1113" xr:uid="{00000000-0005-0000-0000-0000AF040000}"/>
    <cellStyle name="FINANCIERO 4" xfId="1114" xr:uid="{00000000-0005-0000-0000-0000B0040000}"/>
    <cellStyle name="FINANCIERO 40" xfId="1115" xr:uid="{00000000-0005-0000-0000-0000B1040000}"/>
    <cellStyle name="FINANCIERO 41" xfId="1116" xr:uid="{00000000-0005-0000-0000-0000B2040000}"/>
    <cellStyle name="FINANCIERO 42" xfId="1117" xr:uid="{00000000-0005-0000-0000-0000B3040000}"/>
    <cellStyle name="FINANCIERO 43" xfId="1118" xr:uid="{00000000-0005-0000-0000-0000B4040000}"/>
    <cellStyle name="FINANCIERO 44" xfId="1119" xr:uid="{00000000-0005-0000-0000-0000B5040000}"/>
    <cellStyle name="FINANCIERO 45" xfId="1120" xr:uid="{00000000-0005-0000-0000-0000B6040000}"/>
    <cellStyle name="FINANCIERO 46" xfId="1121" xr:uid="{00000000-0005-0000-0000-0000B7040000}"/>
    <cellStyle name="FINANCIERO 47" xfId="1122" xr:uid="{00000000-0005-0000-0000-0000B8040000}"/>
    <cellStyle name="FINANCIERO 48" xfId="1123" xr:uid="{00000000-0005-0000-0000-0000B9040000}"/>
    <cellStyle name="FINANCIERO 49" xfId="1124" xr:uid="{00000000-0005-0000-0000-0000BA040000}"/>
    <cellStyle name="FINANCIERO 5" xfId="1125" xr:uid="{00000000-0005-0000-0000-0000BB040000}"/>
    <cellStyle name="FINANCIERO 50" xfId="1126" xr:uid="{00000000-0005-0000-0000-0000BC040000}"/>
    <cellStyle name="FINANCIERO 51" xfId="1127" xr:uid="{00000000-0005-0000-0000-0000BD040000}"/>
    <cellStyle name="FINANCIERO 52" xfId="1128" xr:uid="{00000000-0005-0000-0000-0000BE040000}"/>
    <cellStyle name="FINANCIERO 53" xfId="1129" xr:uid="{00000000-0005-0000-0000-0000BF040000}"/>
    <cellStyle name="FINANCIERO 54" xfId="1130" xr:uid="{00000000-0005-0000-0000-0000C0040000}"/>
    <cellStyle name="FINANCIERO 55" xfId="1131" xr:uid="{00000000-0005-0000-0000-0000C1040000}"/>
    <cellStyle name="FINANCIERO 56" xfId="1132" xr:uid="{00000000-0005-0000-0000-0000C2040000}"/>
    <cellStyle name="FINANCIERO 57" xfId="1133" xr:uid="{00000000-0005-0000-0000-0000C3040000}"/>
    <cellStyle name="FINANCIERO 58" xfId="1134" xr:uid="{00000000-0005-0000-0000-0000C4040000}"/>
    <cellStyle name="FINANCIERO 59" xfId="1135" xr:uid="{00000000-0005-0000-0000-0000C5040000}"/>
    <cellStyle name="FINANCIERO 6" xfId="1136" xr:uid="{00000000-0005-0000-0000-0000C6040000}"/>
    <cellStyle name="FINANCIERO 60" xfId="1137" xr:uid="{00000000-0005-0000-0000-0000C7040000}"/>
    <cellStyle name="FINANCIERO 61" xfId="1138" xr:uid="{00000000-0005-0000-0000-0000C8040000}"/>
    <cellStyle name="FINANCIERO 62" xfId="1139" xr:uid="{00000000-0005-0000-0000-0000C9040000}"/>
    <cellStyle name="FINANCIERO 63" xfId="1140" xr:uid="{00000000-0005-0000-0000-0000CA040000}"/>
    <cellStyle name="FINANCIERO 64" xfId="1141" xr:uid="{00000000-0005-0000-0000-0000CB040000}"/>
    <cellStyle name="FINANCIERO 65" xfId="1142" xr:uid="{00000000-0005-0000-0000-0000CC040000}"/>
    <cellStyle name="FINANCIERO 66" xfId="1143" xr:uid="{00000000-0005-0000-0000-0000CD040000}"/>
    <cellStyle name="FINANCIERO 67" xfId="1144" xr:uid="{00000000-0005-0000-0000-0000CE040000}"/>
    <cellStyle name="FINANCIERO 68" xfId="1145" xr:uid="{00000000-0005-0000-0000-0000CF040000}"/>
    <cellStyle name="FINANCIERO 69" xfId="1146" xr:uid="{00000000-0005-0000-0000-0000D0040000}"/>
    <cellStyle name="FINANCIERO 7" xfId="1147" xr:uid="{00000000-0005-0000-0000-0000D1040000}"/>
    <cellStyle name="FINANCIERO 70" xfId="1148" xr:uid="{00000000-0005-0000-0000-0000D2040000}"/>
    <cellStyle name="FINANCIERO 71" xfId="1149" xr:uid="{00000000-0005-0000-0000-0000D3040000}"/>
    <cellStyle name="FINANCIERO 72" xfId="1150" xr:uid="{00000000-0005-0000-0000-0000D4040000}"/>
    <cellStyle name="FINANCIERO 73" xfId="1151" xr:uid="{00000000-0005-0000-0000-0000D5040000}"/>
    <cellStyle name="FINANCIERO 74" xfId="1152" xr:uid="{00000000-0005-0000-0000-0000D6040000}"/>
    <cellStyle name="FINANCIERO 75" xfId="1153" xr:uid="{00000000-0005-0000-0000-0000D7040000}"/>
    <cellStyle name="FINANCIERO 76" xfId="1154" xr:uid="{00000000-0005-0000-0000-0000D8040000}"/>
    <cellStyle name="Financiero 77" xfId="2012" xr:uid="{00000000-0005-0000-0000-0000D9040000}"/>
    <cellStyle name="Financiero 78" xfId="2814" xr:uid="{BB63F1B4-E5F5-489F-AC79-B56E4334C7F4}"/>
    <cellStyle name="FINANCIERO 8" xfId="1155" xr:uid="{00000000-0005-0000-0000-0000DA040000}"/>
    <cellStyle name="FINANCIERO 9" xfId="1156" xr:uid="{00000000-0005-0000-0000-0000DB040000}"/>
    <cellStyle name="Financiero_METRADO CACI X- B BT" xfId="1157" xr:uid="{00000000-0005-0000-0000-0000DC040000}"/>
    <cellStyle name="Fixed" xfId="1158" xr:uid="{00000000-0005-0000-0000-0000DD040000}"/>
    <cellStyle name="Fixed 2" xfId="2013" xr:uid="{00000000-0005-0000-0000-0000DE040000}"/>
    <cellStyle name="Good" xfId="1159" xr:uid="{00000000-0005-0000-0000-0000DF040000}"/>
    <cellStyle name="Grey" xfId="1160" xr:uid="{00000000-0005-0000-0000-0000E0040000}"/>
    <cellStyle name="Header1" xfId="1161" xr:uid="{00000000-0005-0000-0000-0000E1040000}"/>
    <cellStyle name="Header2" xfId="1162" xr:uid="{00000000-0005-0000-0000-0000E2040000}"/>
    <cellStyle name="Heading 1" xfId="1163" xr:uid="{00000000-0005-0000-0000-0000E3040000}"/>
    <cellStyle name="Heading 2" xfId="1164" xr:uid="{00000000-0005-0000-0000-0000E4040000}"/>
    <cellStyle name="Heading 3" xfId="1165" xr:uid="{00000000-0005-0000-0000-0000E5040000}"/>
    <cellStyle name="Heading 4" xfId="1166" xr:uid="{00000000-0005-0000-0000-0000E6040000}"/>
    <cellStyle name="Heading1" xfId="1167" xr:uid="{00000000-0005-0000-0000-0000E7040000}"/>
    <cellStyle name="HEADING1 2" xfId="2014" xr:uid="{00000000-0005-0000-0000-0000E8040000}"/>
    <cellStyle name="Heading2" xfId="1168" xr:uid="{00000000-0005-0000-0000-0000E9040000}"/>
    <cellStyle name="HEADING2 2" xfId="2015" xr:uid="{00000000-0005-0000-0000-0000EA040000}"/>
    <cellStyle name="Incorrecto 2" xfId="2016" xr:uid="{00000000-0005-0000-0000-0000EB040000}"/>
    <cellStyle name="Input" xfId="1169" xr:uid="{00000000-0005-0000-0000-0000EC040000}"/>
    <cellStyle name="Input [yellow]" xfId="1170" xr:uid="{00000000-0005-0000-0000-0000ED040000}"/>
    <cellStyle name="Input Cells" xfId="1171" xr:uid="{00000000-0005-0000-0000-0000EE040000}"/>
    <cellStyle name="Input Cells 2" xfId="2017" xr:uid="{00000000-0005-0000-0000-0000EF040000}"/>
    <cellStyle name="Linked Cell" xfId="1172" xr:uid="{00000000-0005-0000-0000-0000F0040000}"/>
    <cellStyle name="Linked Cells" xfId="1173" xr:uid="{00000000-0005-0000-0000-0000F1040000}"/>
    <cellStyle name="Linked Cells 2" xfId="2018" xr:uid="{00000000-0005-0000-0000-0000F2040000}"/>
    <cellStyle name="Millares [0] 2" xfId="1174" xr:uid="{00000000-0005-0000-0000-0000F3040000}"/>
    <cellStyle name="Millares [0] 2 2" xfId="2815" xr:uid="{CE651636-CDA0-4845-8F1A-43079E9B981C}"/>
    <cellStyle name="Millares 10" xfId="1175" xr:uid="{00000000-0005-0000-0000-0000F4040000}"/>
    <cellStyle name="Millares 10 2" xfId="1176" xr:uid="{00000000-0005-0000-0000-0000F5040000}"/>
    <cellStyle name="Millares 10 3" xfId="2816" xr:uid="{F4FA6F6A-EEB2-4050-B977-79B49778E560}"/>
    <cellStyle name="Millares 11" xfId="1177" xr:uid="{00000000-0005-0000-0000-0000F6040000}"/>
    <cellStyle name="Millares 11 2" xfId="2817" xr:uid="{9A8D8630-D490-4537-BCF3-2C00F491C4E4}"/>
    <cellStyle name="Millares 12" xfId="1178" xr:uid="{00000000-0005-0000-0000-0000F7040000}"/>
    <cellStyle name="Millares 12 2" xfId="2818" xr:uid="{DFD4D8B8-CD92-4FFD-96BE-D6E01D459C56}"/>
    <cellStyle name="Millares 13" xfId="1179" xr:uid="{00000000-0005-0000-0000-0000F8040000}"/>
    <cellStyle name="Millares 13 2" xfId="2819" xr:uid="{B6334CD7-A175-4002-AC2C-77F95B4985CD}"/>
    <cellStyle name="Millares 14" xfId="1180" xr:uid="{00000000-0005-0000-0000-0000F9040000}"/>
    <cellStyle name="Millares 14 2" xfId="2820" xr:uid="{C3B36370-F17B-4E3D-8B8A-0ABC6EA10E1C}"/>
    <cellStyle name="Millares 15" xfId="1181" xr:uid="{00000000-0005-0000-0000-0000FA040000}"/>
    <cellStyle name="Millares 15 2" xfId="2821" xr:uid="{D62ECDC4-919D-4B04-A94E-1795E9760FAD}"/>
    <cellStyle name="Millares 16" xfId="1182" xr:uid="{00000000-0005-0000-0000-0000FB040000}"/>
    <cellStyle name="Millares 16 2" xfId="2822" xr:uid="{1E6DEDB7-AC5F-43A1-859A-5B4BD0752DF0}"/>
    <cellStyle name="Millares 17" xfId="1183" xr:uid="{00000000-0005-0000-0000-0000FC040000}"/>
    <cellStyle name="Millares 17 2" xfId="2823" xr:uid="{DA649FCA-DE0F-4A2C-922F-5F2EB5A0684E}"/>
    <cellStyle name="Millares 18" xfId="1184" xr:uid="{00000000-0005-0000-0000-0000FD040000}"/>
    <cellStyle name="Millares 18 2" xfId="2824" xr:uid="{1BA27AF6-1DC1-4F86-8C28-FCB5EB4EE8EC}"/>
    <cellStyle name="Millares 19" xfId="1185" xr:uid="{00000000-0005-0000-0000-0000FE040000}"/>
    <cellStyle name="Millares 19 2" xfId="2825" xr:uid="{04549367-4FAD-4273-8B2B-E1EFA6B92ADB}"/>
    <cellStyle name="Millares 2" xfId="1186" xr:uid="{00000000-0005-0000-0000-0000FF040000}"/>
    <cellStyle name="Millares 2 2" xfId="1187" xr:uid="{00000000-0005-0000-0000-000000050000}"/>
    <cellStyle name="Millares 2 2 2" xfId="2019" xr:uid="{00000000-0005-0000-0000-000001050000}"/>
    <cellStyle name="Millares 2 2 3" xfId="2827" xr:uid="{6A48B22C-F27C-4738-96C8-18CF7675655B}"/>
    <cellStyle name="Millares 2 3" xfId="1188" xr:uid="{00000000-0005-0000-0000-000002050000}"/>
    <cellStyle name="Millares 2 3 2" xfId="2190" xr:uid="{00000000-0005-0000-0000-000003050000}"/>
    <cellStyle name="Millares 2 4" xfId="2020" xr:uid="{00000000-0005-0000-0000-000004050000}"/>
    <cellStyle name="Millares 2 4 2" xfId="2777" xr:uid="{00000000-0005-0000-0000-000005050000}"/>
    <cellStyle name="Millares 2 4 3" xfId="2778" xr:uid="{00000000-0005-0000-0000-000006050000}"/>
    <cellStyle name="Millares 2 4 3 2" xfId="3362" xr:uid="{74D93EB7-BF8E-41C8-AF34-7E81F4B1175D}"/>
    <cellStyle name="Millares 2 4 4" xfId="2779" xr:uid="{00000000-0005-0000-0000-000007050000}"/>
    <cellStyle name="Millares 2 4 5" xfId="2775" xr:uid="{00000000-0005-0000-0000-000008050000}"/>
    <cellStyle name="Millares 2 4 5 2" xfId="3357" xr:uid="{B7740B09-851B-47EB-B5F8-96E3FD3F2965}"/>
    <cellStyle name="Millares 2 4 6" xfId="3147" xr:uid="{CCAFCC97-114F-4DD5-A43D-D98D3B47FFDB}"/>
    <cellStyle name="Millares 2 5" xfId="2826" xr:uid="{484105CC-3D35-4ABD-9F60-F9B1E79D4478}"/>
    <cellStyle name="Millares 20" xfId="1189" xr:uid="{00000000-0005-0000-0000-000009050000}"/>
    <cellStyle name="Millares 20 2" xfId="2828" xr:uid="{5B69A3FF-938C-444E-8832-1E40F9F94320}"/>
    <cellStyle name="Millares 21" xfId="1190" xr:uid="{00000000-0005-0000-0000-00000A050000}"/>
    <cellStyle name="Millares 21 2" xfId="2829" xr:uid="{2C5BE0EC-7781-4D2B-A334-2379FD52655C}"/>
    <cellStyle name="Millares 22" xfId="1191" xr:uid="{00000000-0005-0000-0000-00000B050000}"/>
    <cellStyle name="Millares 22 2" xfId="2830" xr:uid="{445D149F-EF41-4CAC-A2E8-4D45EC518E2B}"/>
    <cellStyle name="Millares 23" xfId="1192" xr:uid="{00000000-0005-0000-0000-00000C050000}"/>
    <cellStyle name="Millares 23 2" xfId="2831" xr:uid="{229B00F4-AF1C-463C-9A63-A8C4A5AFA745}"/>
    <cellStyle name="Millares 24" xfId="1936" xr:uid="{00000000-0005-0000-0000-00000D050000}"/>
    <cellStyle name="Millares 25" xfId="2773" xr:uid="{00000000-0005-0000-0000-00000E050000}"/>
    <cellStyle name="Millares 25 2" xfId="3349" xr:uid="{AC0050F4-183D-490B-8D1F-0F97950E30D9}"/>
    <cellStyle name="Millares 3" xfId="1193" xr:uid="{00000000-0005-0000-0000-00000F050000}"/>
    <cellStyle name="Millares 3 2" xfId="2021" xr:uid="{00000000-0005-0000-0000-000010050000}"/>
    <cellStyle name="Millares 3 2 2" xfId="3148" xr:uid="{6E9EB6EE-56A6-4D2F-89B2-882914F50D27}"/>
    <cellStyle name="Millares 3 3" xfId="2832" xr:uid="{F16C5648-4E9B-4A42-9AE2-A82A5E22CD4B}"/>
    <cellStyle name="Millares 4" xfId="1194" xr:uid="{00000000-0005-0000-0000-000011050000}"/>
    <cellStyle name="Millares 4 2" xfId="2022" xr:uid="{00000000-0005-0000-0000-000012050000}"/>
    <cellStyle name="Millares 4 2 2" xfId="3149" xr:uid="{12C5B2AC-D1ED-451C-BBB7-009DA86849ED}"/>
    <cellStyle name="Millares 4 3" xfId="2833" xr:uid="{089802F5-5CE0-40D4-A2F6-8BB6A4CECC95}"/>
    <cellStyle name="Millares 5" xfId="1195" xr:uid="{00000000-0005-0000-0000-000013050000}"/>
    <cellStyle name="Millares 5 2" xfId="1196" xr:uid="{00000000-0005-0000-0000-000014050000}"/>
    <cellStyle name="Millares 5 2 2" xfId="2835" xr:uid="{DFF122F3-8652-4743-96C5-B4D20DA93F91}"/>
    <cellStyle name="Millares 5 3" xfId="2834" xr:uid="{638A2041-34DF-42E2-B96F-1C3DDF3228FC}"/>
    <cellStyle name="Millares 6" xfId="1197" xr:uid="{00000000-0005-0000-0000-000015050000}"/>
    <cellStyle name="Millares 6 2" xfId="1198" xr:uid="{00000000-0005-0000-0000-000016050000}"/>
    <cellStyle name="Millares 6 2 2" xfId="1199" xr:uid="{00000000-0005-0000-0000-000017050000}"/>
    <cellStyle name="Millares 6 2 2 2" xfId="1200" xr:uid="{00000000-0005-0000-0000-000018050000}"/>
    <cellStyle name="Millares 6 2 2 2 2" xfId="2839" xr:uid="{71654919-C41F-44EF-9A5E-B9DE09E1C727}"/>
    <cellStyle name="Millares 6 2 2 3" xfId="1201" xr:uid="{00000000-0005-0000-0000-000019050000}"/>
    <cellStyle name="Millares 6 2 2 3 2" xfId="1202" xr:uid="{00000000-0005-0000-0000-00001A050000}"/>
    <cellStyle name="Millares 6 2 2 3 2 2" xfId="2841" xr:uid="{98E9805E-B5CC-43CB-B4C5-916C098B0CF7}"/>
    <cellStyle name="Millares 6 2 2 3 3" xfId="1203" xr:uid="{00000000-0005-0000-0000-00001B050000}"/>
    <cellStyle name="Millares 6 2 2 3 3 2" xfId="2842" xr:uid="{595EE4E5-1CB9-4AFB-9D18-0CAB48759708}"/>
    <cellStyle name="Millares 6 2 2 3 4" xfId="1204" xr:uid="{00000000-0005-0000-0000-00001C050000}"/>
    <cellStyle name="Millares 6 2 2 3 4 2" xfId="2843" xr:uid="{E56A6B9C-B4FB-4554-BA49-01E4634185E4}"/>
    <cellStyle name="Millares 6 2 2 3 5" xfId="1205" xr:uid="{00000000-0005-0000-0000-00001D050000}"/>
    <cellStyle name="Millares 6 2 2 3 5 2" xfId="1206" xr:uid="{00000000-0005-0000-0000-00001E050000}"/>
    <cellStyle name="Millares 6 2 2 3 5 2 2" xfId="2845" xr:uid="{97F66848-88FD-4FD8-AF27-0998CC2A4561}"/>
    <cellStyle name="Millares 6 2 2 3 5 3" xfId="2844" xr:uid="{0EC5F2FA-EF3C-4DF7-8BC1-ECC4BAD78896}"/>
    <cellStyle name="Millares 6 2 2 3 6" xfId="2840" xr:uid="{C946B5DD-B5FE-487A-9D33-12F59CD842C6}"/>
    <cellStyle name="Millares 6 2 2 4" xfId="2838" xr:uid="{69FD4BA7-2375-46AF-8A8C-F01C576A70A3}"/>
    <cellStyle name="Millares 6 2 3" xfId="2837" xr:uid="{1C513DA3-A9CD-4103-8511-47602DB4666E}"/>
    <cellStyle name="Millares 6 3" xfId="2836" xr:uid="{8E40BEBD-02C4-4894-9C8E-A109B52CA6FF}"/>
    <cellStyle name="Millares 7" xfId="1207" xr:uid="{00000000-0005-0000-0000-00001F050000}"/>
    <cellStyle name="Millares 7 2" xfId="2846" xr:uid="{FA1246A2-F9D3-42EC-8B52-FF3FA81FC048}"/>
    <cellStyle name="Millares 8" xfId="1208" xr:uid="{00000000-0005-0000-0000-000020050000}"/>
    <cellStyle name="Millares 8 2" xfId="2847" xr:uid="{FD3EB53B-774B-44F8-8C48-195C8EC9DFE6}"/>
    <cellStyle name="Millares 9" xfId="1209" xr:uid="{00000000-0005-0000-0000-000021050000}"/>
    <cellStyle name="Millares 9 2" xfId="1210" xr:uid="{00000000-0005-0000-0000-000022050000}"/>
    <cellStyle name="Millares 9 2 2" xfId="2849" xr:uid="{0864C7A1-8C33-4F5F-BF96-3C4B657C9789}"/>
    <cellStyle name="Millares 9 3" xfId="2848" xr:uid="{31854657-4FF9-4D5B-A560-2EA53152D80D}"/>
    <cellStyle name="Milliers [0]_!!!GO" xfId="1211" xr:uid="{00000000-0005-0000-0000-000023050000}"/>
    <cellStyle name="Milliers_!!!GO" xfId="1212" xr:uid="{00000000-0005-0000-0000-000024050000}"/>
    <cellStyle name="Moneda 2" xfId="3363" xr:uid="{EAFC409A-DE61-48ED-A074-2370352AAE20}"/>
    <cellStyle name="Moneda 3" xfId="3365" xr:uid="{B41113FB-1E06-4493-9C62-249BAFAFBA86}"/>
    <cellStyle name="Monétaire [0]_!!!GO" xfId="1213" xr:uid="{00000000-0005-0000-0000-000025050000}"/>
    <cellStyle name="Monétaire_!!!GO" xfId="1214" xr:uid="{00000000-0005-0000-0000-000026050000}"/>
    <cellStyle name="Monetario" xfId="1215" xr:uid="{00000000-0005-0000-0000-000027050000}"/>
    <cellStyle name="MONETARIO 10" xfId="1216" xr:uid="{00000000-0005-0000-0000-000028050000}"/>
    <cellStyle name="MONETARIO 11" xfId="1217" xr:uid="{00000000-0005-0000-0000-000029050000}"/>
    <cellStyle name="MONETARIO 12" xfId="1218" xr:uid="{00000000-0005-0000-0000-00002A050000}"/>
    <cellStyle name="MONETARIO 13" xfId="1219" xr:uid="{00000000-0005-0000-0000-00002B050000}"/>
    <cellStyle name="MONETARIO 14" xfId="1220" xr:uid="{00000000-0005-0000-0000-00002C050000}"/>
    <cellStyle name="MONETARIO 15" xfId="1221" xr:uid="{00000000-0005-0000-0000-00002D050000}"/>
    <cellStyle name="MONETARIO 16" xfId="1222" xr:uid="{00000000-0005-0000-0000-00002E050000}"/>
    <cellStyle name="MONETARIO 17" xfId="1223" xr:uid="{00000000-0005-0000-0000-00002F050000}"/>
    <cellStyle name="MONETARIO 18" xfId="1224" xr:uid="{00000000-0005-0000-0000-000030050000}"/>
    <cellStyle name="MONETARIO 19" xfId="1225" xr:uid="{00000000-0005-0000-0000-000031050000}"/>
    <cellStyle name="MONETARIO 2" xfId="1226" xr:uid="{00000000-0005-0000-0000-000032050000}"/>
    <cellStyle name="MONETARIO 20" xfId="1227" xr:uid="{00000000-0005-0000-0000-000033050000}"/>
    <cellStyle name="MONETARIO 21" xfId="1228" xr:uid="{00000000-0005-0000-0000-000034050000}"/>
    <cellStyle name="MONETARIO 22" xfId="1229" xr:uid="{00000000-0005-0000-0000-000035050000}"/>
    <cellStyle name="MONETARIO 23" xfId="1230" xr:uid="{00000000-0005-0000-0000-000036050000}"/>
    <cellStyle name="MONETARIO 24" xfId="1231" xr:uid="{00000000-0005-0000-0000-000037050000}"/>
    <cellStyle name="MONETARIO 25" xfId="1232" xr:uid="{00000000-0005-0000-0000-000038050000}"/>
    <cellStyle name="MONETARIO 26" xfId="1233" xr:uid="{00000000-0005-0000-0000-000039050000}"/>
    <cellStyle name="MONETARIO 27" xfId="1234" xr:uid="{00000000-0005-0000-0000-00003A050000}"/>
    <cellStyle name="MONETARIO 28" xfId="1235" xr:uid="{00000000-0005-0000-0000-00003B050000}"/>
    <cellStyle name="MONETARIO 29" xfId="1236" xr:uid="{00000000-0005-0000-0000-00003C050000}"/>
    <cellStyle name="MONETARIO 3" xfId="1237" xr:uid="{00000000-0005-0000-0000-00003D050000}"/>
    <cellStyle name="MONETARIO 30" xfId="1238" xr:uid="{00000000-0005-0000-0000-00003E050000}"/>
    <cellStyle name="MONETARIO 31" xfId="1239" xr:uid="{00000000-0005-0000-0000-00003F050000}"/>
    <cellStyle name="MONETARIO 32" xfId="1240" xr:uid="{00000000-0005-0000-0000-000040050000}"/>
    <cellStyle name="MONETARIO 33" xfId="1241" xr:uid="{00000000-0005-0000-0000-000041050000}"/>
    <cellStyle name="MONETARIO 34" xfId="1242" xr:uid="{00000000-0005-0000-0000-000042050000}"/>
    <cellStyle name="MONETARIO 35" xfId="1243" xr:uid="{00000000-0005-0000-0000-000043050000}"/>
    <cellStyle name="MONETARIO 36" xfId="1244" xr:uid="{00000000-0005-0000-0000-000044050000}"/>
    <cellStyle name="MONETARIO 37" xfId="1245" xr:uid="{00000000-0005-0000-0000-000045050000}"/>
    <cellStyle name="MONETARIO 38" xfId="1246" xr:uid="{00000000-0005-0000-0000-000046050000}"/>
    <cellStyle name="MONETARIO 39" xfId="1247" xr:uid="{00000000-0005-0000-0000-000047050000}"/>
    <cellStyle name="MONETARIO 4" xfId="1248" xr:uid="{00000000-0005-0000-0000-000048050000}"/>
    <cellStyle name="MONETARIO 40" xfId="1249" xr:uid="{00000000-0005-0000-0000-000049050000}"/>
    <cellStyle name="MONETARIO 41" xfId="1250" xr:uid="{00000000-0005-0000-0000-00004A050000}"/>
    <cellStyle name="MONETARIO 42" xfId="1251" xr:uid="{00000000-0005-0000-0000-00004B050000}"/>
    <cellStyle name="MONETARIO 43" xfId="1252" xr:uid="{00000000-0005-0000-0000-00004C050000}"/>
    <cellStyle name="MONETARIO 44" xfId="1253" xr:uid="{00000000-0005-0000-0000-00004D050000}"/>
    <cellStyle name="MONETARIO 45" xfId="1254" xr:uid="{00000000-0005-0000-0000-00004E050000}"/>
    <cellStyle name="MONETARIO 46" xfId="1255" xr:uid="{00000000-0005-0000-0000-00004F050000}"/>
    <cellStyle name="MONETARIO 47" xfId="1256" xr:uid="{00000000-0005-0000-0000-000050050000}"/>
    <cellStyle name="MONETARIO 48" xfId="1257" xr:uid="{00000000-0005-0000-0000-000051050000}"/>
    <cellStyle name="MONETARIO 49" xfId="1258" xr:uid="{00000000-0005-0000-0000-000052050000}"/>
    <cellStyle name="MONETARIO 5" xfId="1259" xr:uid="{00000000-0005-0000-0000-000053050000}"/>
    <cellStyle name="MONETARIO 50" xfId="1260" xr:uid="{00000000-0005-0000-0000-000054050000}"/>
    <cellStyle name="MONETARIO 51" xfId="1261" xr:uid="{00000000-0005-0000-0000-000055050000}"/>
    <cellStyle name="MONETARIO 52" xfId="1262" xr:uid="{00000000-0005-0000-0000-000056050000}"/>
    <cellStyle name="MONETARIO 53" xfId="1263" xr:uid="{00000000-0005-0000-0000-000057050000}"/>
    <cellStyle name="MONETARIO 54" xfId="1264" xr:uid="{00000000-0005-0000-0000-000058050000}"/>
    <cellStyle name="MONETARIO 55" xfId="1265" xr:uid="{00000000-0005-0000-0000-000059050000}"/>
    <cellStyle name="MONETARIO 56" xfId="1266" xr:uid="{00000000-0005-0000-0000-00005A050000}"/>
    <cellStyle name="MONETARIO 57" xfId="1267" xr:uid="{00000000-0005-0000-0000-00005B050000}"/>
    <cellStyle name="MONETARIO 58" xfId="1268" xr:uid="{00000000-0005-0000-0000-00005C050000}"/>
    <cellStyle name="MONETARIO 59" xfId="1269" xr:uid="{00000000-0005-0000-0000-00005D050000}"/>
    <cellStyle name="MONETARIO 6" xfId="1270" xr:uid="{00000000-0005-0000-0000-00005E050000}"/>
    <cellStyle name="MONETARIO 60" xfId="1271" xr:uid="{00000000-0005-0000-0000-00005F050000}"/>
    <cellStyle name="MONETARIO 61" xfId="1272" xr:uid="{00000000-0005-0000-0000-000060050000}"/>
    <cellStyle name="MONETARIO 62" xfId="1273" xr:uid="{00000000-0005-0000-0000-000061050000}"/>
    <cellStyle name="MONETARIO 63" xfId="1274" xr:uid="{00000000-0005-0000-0000-000062050000}"/>
    <cellStyle name="MONETARIO 64" xfId="1275" xr:uid="{00000000-0005-0000-0000-000063050000}"/>
    <cellStyle name="MONETARIO 65" xfId="1276" xr:uid="{00000000-0005-0000-0000-000064050000}"/>
    <cellStyle name="MONETARIO 66" xfId="1277" xr:uid="{00000000-0005-0000-0000-000065050000}"/>
    <cellStyle name="MONETARIO 67" xfId="1278" xr:uid="{00000000-0005-0000-0000-000066050000}"/>
    <cellStyle name="MONETARIO 68" xfId="1279" xr:uid="{00000000-0005-0000-0000-000067050000}"/>
    <cellStyle name="MONETARIO 69" xfId="1280" xr:uid="{00000000-0005-0000-0000-000068050000}"/>
    <cellStyle name="MONETARIO 7" xfId="1281" xr:uid="{00000000-0005-0000-0000-000069050000}"/>
    <cellStyle name="MONETARIO 70" xfId="1282" xr:uid="{00000000-0005-0000-0000-00006A050000}"/>
    <cellStyle name="MONETARIO 71" xfId="1283" xr:uid="{00000000-0005-0000-0000-00006B050000}"/>
    <cellStyle name="MONETARIO 72" xfId="1284" xr:uid="{00000000-0005-0000-0000-00006C050000}"/>
    <cellStyle name="MONETARIO 73" xfId="1285" xr:uid="{00000000-0005-0000-0000-00006D050000}"/>
    <cellStyle name="MONETARIO 74" xfId="1286" xr:uid="{00000000-0005-0000-0000-00006E050000}"/>
    <cellStyle name="MONETARIO 75" xfId="1287" xr:uid="{00000000-0005-0000-0000-00006F050000}"/>
    <cellStyle name="MONETARIO 76" xfId="1288" xr:uid="{00000000-0005-0000-0000-000070050000}"/>
    <cellStyle name="Monetario 77" xfId="2023" xr:uid="{00000000-0005-0000-0000-000071050000}"/>
    <cellStyle name="Monetario 78" xfId="2850" xr:uid="{9E70D865-A066-4E5E-8759-813B330D988B}"/>
    <cellStyle name="MONETARIO 8" xfId="1289" xr:uid="{00000000-0005-0000-0000-000072050000}"/>
    <cellStyle name="MONETARIO 9" xfId="1290" xr:uid="{00000000-0005-0000-0000-000073050000}"/>
    <cellStyle name="Monetario_METRADO CACI X- B BT" xfId="1291" xr:uid="{00000000-0005-0000-0000-000074050000}"/>
    <cellStyle name="Neutral 2" xfId="2024" xr:uid="{00000000-0005-0000-0000-000075050000}"/>
    <cellStyle name="No-definido" xfId="1292" xr:uid="{00000000-0005-0000-0000-000076050000}"/>
    <cellStyle name="Normal" xfId="0" builtinId="0"/>
    <cellStyle name="Normal - Style1" xfId="1293" xr:uid="{00000000-0005-0000-0000-000078050000}"/>
    <cellStyle name="Normal - Style1 2" xfId="2851" xr:uid="{452DF3DC-FE87-41F9-94E6-53EA56DB2E56}"/>
    <cellStyle name="Normal 10" xfId="1294" xr:uid="{00000000-0005-0000-0000-000079050000}"/>
    <cellStyle name="Normal 10 2" xfId="2025" xr:uid="{00000000-0005-0000-0000-00007A050000}"/>
    <cellStyle name="Normal 10 2 2" xfId="3150" xr:uid="{0FD6B77F-3730-4B6D-AFB1-832D253DD426}"/>
    <cellStyle name="Normal 10 3" xfId="2852" xr:uid="{4D640CEF-83FE-47B3-B04A-91168C1268E8}"/>
    <cellStyle name="Normal 100" xfId="1958" xr:uid="{00000000-0005-0000-0000-00007B050000}"/>
    <cellStyle name="Normal 100 2" xfId="3143" xr:uid="{8903D21C-09AA-426C-AF26-0D2F55C4AEB9}"/>
    <cellStyle name="Normal 101" xfId="2026" xr:uid="{00000000-0005-0000-0000-00007C050000}"/>
    <cellStyle name="Normal 101 2" xfId="3151" xr:uid="{C500E185-659A-4600-AE41-5F3099FEC342}"/>
    <cellStyle name="Normal 102" xfId="1952" xr:uid="{00000000-0005-0000-0000-00007D050000}"/>
    <cellStyle name="Normal 102 2" xfId="3137" xr:uid="{393F1D4C-D79F-4943-A9C8-5A5AA9219040}"/>
    <cellStyle name="Normal 103" xfId="1941" xr:uid="{00000000-0005-0000-0000-00007E050000}"/>
    <cellStyle name="Normal 103 2" xfId="3126" xr:uid="{6742922C-5029-42C8-A59A-579C1D7E7046}"/>
    <cellStyle name="Normal 104" xfId="2027" xr:uid="{00000000-0005-0000-0000-00007F050000}"/>
    <cellStyle name="Normal 104 2" xfId="3152" xr:uid="{7A75262B-C9F3-45C2-894C-2765E086C04E}"/>
    <cellStyle name="Normal 105" xfId="1944" xr:uid="{00000000-0005-0000-0000-000080050000}"/>
    <cellStyle name="Normal 105 2" xfId="3129" xr:uid="{72FD6C2E-DBBC-4932-BDFF-D01087800A9E}"/>
    <cellStyle name="Normal 106" xfId="1943" xr:uid="{00000000-0005-0000-0000-000081050000}"/>
    <cellStyle name="Normal 106 2" xfId="3128" xr:uid="{BDC6FB1B-80E9-49B4-BF39-3BBE112DBA44}"/>
    <cellStyle name="Normal 107" xfId="2028" xr:uid="{00000000-0005-0000-0000-000082050000}"/>
    <cellStyle name="Normal 107 2" xfId="3153" xr:uid="{18877F62-3825-4A2D-A096-074A1C0F93BE}"/>
    <cellStyle name="Normal 108" xfId="1954" xr:uid="{00000000-0005-0000-0000-000083050000}"/>
    <cellStyle name="Normal 108 2" xfId="3139" xr:uid="{CF612AD9-90E9-4C67-8395-1727DF464355}"/>
    <cellStyle name="Normal 109" xfId="1959" xr:uid="{00000000-0005-0000-0000-000084050000}"/>
    <cellStyle name="Normal 109 2" xfId="3144" xr:uid="{E71B200C-0C9E-434B-B6BB-9CA03360A960}"/>
    <cellStyle name="Normal 11" xfId="1295" xr:uid="{00000000-0005-0000-0000-000085050000}"/>
    <cellStyle name="Normal 11 2" xfId="2029" xr:uid="{00000000-0005-0000-0000-000086050000}"/>
    <cellStyle name="Normal 11 2 2" xfId="3154" xr:uid="{C5827031-97FE-4D9D-BA9B-E04D160BA790}"/>
    <cellStyle name="Normal 11 3" xfId="2853" xr:uid="{D6643A52-B34E-4D6D-B213-4FCCCB7B5A82}"/>
    <cellStyle name="Normal 110" xfId="1956" xr:uid="{00000000-0005-0000-0000-000087050000}"/>
    <cellStyle name="Normal 110 2" xfId="3141" xr:uid="{CB20EC07-EC7C-4398-85EC-D3BA172C6E95}"/>
    <cellStyle name="Normal 111" xfId="1942" xr:uid="{00000000-0005-0000-0000-000088050000}"/>
    <cellStyle name="Normal 111 2" xfId="3127" xr:uid="{2C1DBB61-C692-4F38-98CD-6DA388C5B27E}"/>
    <cellStyle name="Normal 112" xfId="1939" xr:uid="{00000000-0005-0000-0000-000089050000}"/>
    <cellStyle name="Normal 112 2" xfId="3125" xr:uid="{8F0F9A4A-06C5-4EF5-B37F-2E19555A1026}"/>
    <cellStyle name="Normal 113" xfId="1947" xr:uid="{00000000-0005-0000-0000-00008A050000}"/>
    <cellStyle name="Normal 113 2" xfId="3132" xr:uid="{F78ED0B6-AA77-4CFC-88D1-38762C48F432}"/>
    <cellStyle name="Normal 114" xfId="2191" xr:uid="{00000000-0005-0000-0000-00008B050000}"/>
    <cellStyle name="Normal 114 2" xfId="3294" xr:uid="{BC2331A6-8F77-4752-B296-E240B8C0BE6E}"/>
    <cellStyle name="Normal 115" xfId="2194" xr:uid="{00000000-0005-0000-0000-00008C050000}"/>
    <cellStyle name="Normal 115 2" xfId="3297" xr:uid="{B8808792-CD9D-46AF-BFE4-EBF038BE609E}"/>
    <cellStyle name="Normal 116" xfId="2195" xr:uid="{00000000-0005-0000-0000-00008D050000}"/>
    <cellStyle name="Normal 116 2" xfId="3298" xr:uid="{C9A065D3-CD7B-4328-900B-97690A06EE28}"/>
    <cellStyle name="Normal 117" xfId="2196" xr:uid="{00000000-0005-0000-0000-00008E050000}"/>
    <cellStyle name="Normal 117 2" xfId="3299" xr:uid="{3C8B4C59-1E6C-4A64-A59D-4B25AED97DB2}"/>
    <cellStyle name="Normal 118" xfId="2203" xr:uid="{00000000-0005-0000-0000-00008F050000}"/>
    <cellStyle name="Normal 118 2" xfId="3305" xr:uid="{30D76D69-EB5E-4C59-90A6-7B1EDD73BD58}"/>
    <cellStyle name="Normal 119" xfId="2198" xr:uid="{00000000-0005-0000-0000-000090050000}"/>
    <cellStyle name="Normal 119 2" xfId="3300" xr:uid="{F785521A-4F1A-4A26-ADAC-08F3425F8EE2}"/>
    <cellStyle name="Normal 12" xfId="1296" xr:uid="{00000000-0005-0000-0000-000091050000}"/>
    <cellStyle name="Normal 12 2" xfId="2030" xr:uid="{00000000-0005-0000-0000-000092050000}"/>
    <cellStyle name="Normal 12 2 2" xfId="3155" xr:uid="{51C0E6F9-83FB-4E42-92F3-084788F15589}"/>
    <cellStyle name="Normal 12 3" xfId="2854" xr:uid="{762626F5-8574-4DC6-9357-81F24BFAD6AB}"/>
    <cellStyle name="Normal 120" xfId="2193" xr:uid="{00000000-0005-0000-0000-000093050000}"/>
    <cellStyle name="Normal 120 2" xfId="3296" xr:uid="{99388EE9-222C-4465-8D08-89884C1AF756}"/>
    <cellStyle name="Normal 121" xfId="2192" xr:uid="{00000000-0005-0000-0000-000094050000}"/>
    <cellStyle name="Normal 121 2" xfId="3295" xr:uid="{15C0ABC9-A388-4BA1-9923-9AD226A799DF}"/>
    <cellStyle name="Normal 122" xfId="2199" xr:uid="{00000000-0005-0000-0000-000095050000}"/>
    <cellStyle name="Normal 122 2" xfId="3301" xr:uid="{B11DF01A-AC47-4B31-8868-DB716B8675C8}"/>
    <cellStyle name="Normal 123" xfId="2200" xr:uid="{00000000-0005-0000-0000-000096050000}"/>
    <cellStyle name="Normal 123 2" xfId="3302" xr:uid="{2ABAF005-4C40-4BFB-AB98-D56EB6A2BF03}"/>
    <cellStyle name="Normal 124" xfId="2204" xr:uid="{00000000-0005-0000-0000-000097050000}"/>
    <cellStyle name="Normal 124 2" xfId="3306" xr:uid="{79973B65-1300-4668-8DB2-937370852282}"/>
    <cellStyle name="Normal 125" xfId="2205" xr:uid="{00000000-0005-0000-0000-000098050000}"/>
    <cellStyle name="Normal 125 2" xfId="3307" xr:uid="{2F0D6AAE-A9B3-435F-96C3-3091CCE1F104}"/>
    <cellStyle name="Normal 126" xfId="2201" xr:uid="{00000000-0005-0000-0000-000099050000}"/>
    <cellStyle name="Normal 126 2" xfId="3303" xr:uid="{FD007FD6-4D6E-47C0-8DA3-E50B141C9D2F}"/>
    <cellStyle name="Normal 127" xfId="2202" xr:uid="{00000000-0005-0000-0000-00009A050000}"/>
    <cellStyle name="Normal 127 2" xfId="3304" xr:uid="{838B4FDD-9B7C-4AE6-B258-DB30DA76A168}"/>
    <cellStyle name="Normal 128" xfId="2206" xr:uid="{00000000-0005-0000-0000-00009B050000}"/>
    <cellStyle name="Normal 128 2" xfId="3308" xr:uid="{1ECB9259-C750-4A24-9FB9-C90462203D3F}"/>
    <cellStyle name="Normal 129" xfId="2223" xr:uid="{00000000-0005-0000-0000-00009C050000}"/>
    <cellStyle name="Normal 129 2" xfId="3325" xr:uid="{E0F239D2-6A71-4587-99DE-828D56237827}"/>
    <cellStyle name="Normal 13" xfId="1297" xr:uid="{00000000-0005-0000-0000-00009D050000}"/>
    <cellStyle name="Normal 13 2" xfId="2031" xr:uid="{00000000-0005-0000-0000-00009E050000}"/>
    <cellStyle name="Normal 13 2 2" xfId="3156" xr:uid="{F0C26DBA-C608-4825-8855-9EE0CD024E52}"/>
    <cellStyle name="Normal 13 3" xfId="2855" xr:uid="{CC69CB57-F093-4AE9-BEF0-7FFADF0C6F31}"/>
    <cellStyle name="Normal 130" xfId="2225" xr:uid="{00000000-0005-0000-0000-00009F050000}"/>
    <cellStyle name="Normal 130 2" xfId="3327" xr:uid="{0A4713FC-72F2-4297-8CBF-1CD5AA36A8F8}"/>
    <cellStyle name="Normal 131" xfId="2207" xr:uid="{00000000-0005-0000-0000-0000A0050000}"/>
    <cellStyle name="Normal 131 2" xfId="3309" xr:uid="{DD271B25-BB7D-41D0-B52F-B54539C1E9F9}"/>
    <cellStyle name="Normal 132" xfId="2224" xr:uid="{00000000-0005-0000-0000-0000A1050000}"/>
    <cellStyle name="Normal 132 2" xfId="3326" xr:uid="{47DD8322-1F11-4AFC-8376-44160A7E041F}"/>
    <cellStyle name="Normal 133" xfId="2226" xr:uid="{00000000-0005-0000-0000-0000A2050000}"/>
    <cellStyle name="Normal 133 2" xfId="3328" xr:uid="{CE10D0A9-3F29-4F98-9508-1EC0C2F9D7DB}"/>
    <cellStyle name="Normal 134" xfId="2227" xr:uid="{00000000-0005-0000-0000-0000A3050000}"/>
    <cellStyle name="Normal 134 2" xfId="3329" xr:uid="{B8D048D6-52C0-4E7C-9185-109D54E2A740}"/>
    <cellStyle name="Normal 135" xfId="2228" xr:uid="{00000000-0005-0000-0000-0000A4050000}"/>
    <cellStyle name="Normal 135 2" xfId="3330" xr:uid="{A8526DEE-2078-4776-BDF7-CCE5C6D2C094}"/>
    <cellStyle name="Normal 136" xfId="2208" xr:uid="{00000000-0005-0000-0000-0000A5050000}"/>
    <cellStyle name="Normal 136 2" xfId="3310" xr:uid="{BD68370A-06F1-4925-966E-6DC836173A63}"/>
    <cellStyle name="Normal 137" xfId="2209" xr:uid="{00000000-0005-0000-0000-0000A6050000}"/>
    <cellStyle name="Normal 137 2" xfId="3311" xr:uid="{2D636897-783D-416C-9B86-84AD41A2E499}"/>
    <cellStyle name="Normal 138" xfId="2229" xr:uid="{00000000-0005-0000-0000-0000A7050000}"/>
    <cellStyle name="Normal 138 2" xfId="3331" xr:uid="{D8CAB779-8887-470B-B1C7-DAF2612FCD93}"/>
    <cellStyle name="Normal 139" xfId="2210" xr:uid="{00000000-0005-0000-0000-0000A8050000}"/>
    <cellStyle name="Normal 139 2" xfId="3312" xr:uid="{BF138804-5FEB-46FF-8595-65FC81623256}"/>
    <cellStyle name="Normal 14" xfId="1298" xr:uid="{00000000-0005-0000-0000-0000A9050000}"/>
    <cellStyle name="Normal 14 2" xfId="1299" xr:uid="{00000000-0005-0000-0000-0000AA050000}"/>
    <cellStyle name="Normal 14 2 2" xfId="1300" xr:uid="{00000000-0005-0000-0000-0000AB050000}"/>
    <cellStyle name="Normal 14 2 2 2" xfId="2032" xr:uid="{00000000-0005-0000-0000-0000AC050000}"/>
    <cellStyle name="Normal 14 2 2 2 2" xfId="3157" xr:uid="{882F1D49-BD45-4394-9BDE-077BA6DC72E9}"/>
    <cellStyle name="Normal 14 2 2 3" xfId="2858" xr:uid="{3EF35873-8DAA-4D86-973E-CF9353F8CE98}"/>
    <cellStyle name="Normal 14 2 3" xfId="2033" xr:uid="{00000000-0005-0000-0000-0000AD050000}"/>
    <cellStyle name="Normal 14 2 3 2" xfId="3158" xr:uid="{D533C7D7-C40A-4E96-82C3-5FA006AFDB17}"/>
    <cellStyle name="Normal 14 2 4" xfId="2857" xr:uid="{3800A8A0-B6C2-4DA5-AB1A-40E7F5BE83D3}"/>
    <cellStyle name="Normal 14 3" xfId="2034" xr:uid="{00000000-0005-0000-0000-0000AE050000}"/>
    <cellStyle name="Normal 14 3 2" xfId="3159" xr:uid="{67B535A9-14F2-4196-9141-82D18BEA50AE}"/>
    <cellStyle name="Normal 14 4" xfId="2856" xr:uid="{AF93F9CA-B331-4938-B061-B08BD46F15E5}"/>
    <cellStyle name="Normal 140" xfId="2211" xr:uid="{00000000-0005-0000-0000-0000AF050000}"/>
    <cellStyle name="Normal 140 2" xfId="3313" xr:uid="{07765277-490E-45E6-A669-90787761D4E7}"/>
    <cellStyle name="Normal 141" xfId="2212" xr:uid="{00000000-0005-0000-0000-0000B0050000}"/>
    <cellStyle name="Normal 141 2" xfId="3314" xr:uid="{27CEE161-B94E-4D82-8CB1-A2AEF92C926C}"/>
    <cellStyle name="Normal 142" xfId="2213" xr:uid="{00000000-0005-0000-0000-0000B1050000}"/>
    <cellStyle name="Normal 142 2" xfId="3315" xr:uid="{E3CA9A5F-0123-4F1A-85D9-66C5BC3AF8FA}"/>
    <cellStyle name="Normal 143" xfId="2214" xr:uid="{00000000-0005-0000-0000-0000B2050000}"/>
    <cellStyle name="Normal 143 2" xfId="3316" xr:uid="{C109844B-21C8-4E6C-841D-4E4F39D74AD6}"/>
    <cellStyle name="Normal 144" xfId="2215" xr:uid="{00000000-0005-0000-0000-0000B3050000}"/>
    <cellStyle name="Normal 144 2" xfId="3317" xr:uid="{245C8C5B-8100-4C16-BC81-953859F3953A}"/>
    <cellStyle name="Normal 145" xfId="2230" xr:uid="{00000000-0005-0000-0000-0000B4050000}"/>
    <cellStyle name="Normal 145 2" xfId="3332" xr:uid="{FBEE84A8-12B6-433E-80B9-AB5FE71FE008}"/>
    <cellStyle name="Normal 146" xfId="2216" xr:uid="{00000000-0005-0000-0000-0000B5050000}"/>
    <cellStyle name="Normal 146 2" xfId="3318" xr:uid="{2CCD55F3-E72B-4F59-A1D3-0E7A33D5C851}"/>
    <cellStyle name="Normal 147" xfId="2217" xr:uid="{00000000-0005-0000-0000-0000B6050000}"/>
    <cellStyle name="Normal 147 2" xfId="3319" xr:uid="{937212FF-9B22-4D41-B916-C17ECF426F09}"/>
    <cellStyle name="Normal 148" xfId="2218" xr:uid="{00000000-0005-0000-0000-0000B7050000}"/>
    <cellStyle name="Normal 148 2" xfId="3320" xr:uid="{83019B49-1DAD-4AC7-9015-64B01C776AFF}"/>
    <cellStyle name="Normal 149" xfId="2219" xr:uid="{00000000-0005-0000-0000-0000B8050000}"/>
    <cellStyle name="Normal 149 2" xfId="3321" xr:uid="{C9F56F1D-171B-40EB-A426-217AB5557C09}"/>
    <cellStyle name="Normal 15" xfId="1301" xr:uid="{00000000-0005-0000-0000-0000B9050000}"/>
    <cellStyle name="Normal 15 2" xfId="2035" xr:uid="{00000000-0005-0000-0000-0000BA050000}"/>
    <cellStyle name="Normal 15 2 2" xfId="3160" xr:uid="{5BD106CC-8E2D-49CB-BF8F-63FAD02CAA5B}"/>
    <cellStyle name="Normal 15 3" xfId="2859" xr:uid="{5C2A50EE-C85E-48A9-96D8-2B97911F0141}"/>
    <cellStyle name="Normal 150" xfId="2231" xr:uid="{00000000-0005-0000-0000-0000BB050000}"/>
    <cellStyle name="Normal 150 2" xfId="3333" xr:uid="{C6C57625-04D2-4467-8C0D-153C6A2B60C1}"/>
    <cellStyle name="Normal 151" xfId="2220" xr:uid="{00000000-0005-0000-0000-0000BC050000}"/>
    <cellStyle name="Normal 151 2" xfId="3322" xr:uid="{C9A9303A-35E8-494B-86E0-089D27747BF8}"/>
    <cellStyle name="Normal 152" xfId="2221" xr:uid="{00000000-0005-0000-0000-0000BD050000}"/>
    <cellStyle name="Normal 152 2" xfId="3323" xr:uid="{929F8BB3-83A8-4388-82B8-E560CCA08D0D}"/>
    <cellStyle name="Normal 153" xfId="2232" xr:uid="{00000000-0005-0000-0000-0000BE050000}"/>
    <cellStyle name="Normal 153 2" xfId="3334" xr:uid="{10573D53-AD66-4D7C-A6A9-2E5F43886129}"/>
    <cellStyle name="Normal 154" xfId="2233" xr:uid="{00000000-0005-0000-0000-0000BF050000}"/>
    <cellStyle name="Normal 154 2" xfId="3335" xr:uid="{9A7993F3-B535-48F8-8478-1D36A1DB9D3A}"/>
    <cellStyle name="Normal 155" xfId="2245" xr:uid="{00000000-0005-0000-0000-0000C0050000}"/>
    <cellStyle name="Normal 155 2" xfId="3346" xr:uid="{FBA819BF-F6D7-4999-8112-767DA311AC8D}"/>
    <cellStyle name="Normal 156" xfId="2771" xr:uid="{00000000-0005-0000-0000-0000C1050000}"/>
    <cellStyle name="Normal 156 2" xfId="3347" xr:uid="{D9278A69-9F09-48AD-9D40-D908431788E5}"/>
    <cellStyle name="Normal 157" xfId="2774" xr:uid="{00000000-0005-0000-0000-0000C2050000}"/>
    <cellStyle name="Normal 157 2" xfId="3350" xr:uid="{B336DC51-A290-489A-860C-BA406BA271B8}"/>
    <cellStyle name="Normal 158" xfId="2222" xr:uid="{00000000-0005-0000-0000-0000C3050000}"/>
    <cellStyle name="Normal 158 2" xfId="3324" xr:uid="{38D566DB-F662-4BBC-905D-6BBF1CB45468}"/>
    <cellStyle name="Normal 159" xfId="2786" xr:uid="{00000000-0005-0000-0000-0000C4050000}"/>
    <cellStyle name="Normal 159 2" xfId="3351" xr:uid="{A4A0647D-8D2C-4196-8821-5AF151EB57DC}"/>
    <cellStyle name="Normal 16" xfId="1302" xr:uid="{00000000-0005-0000-0000-0000C5050000}"/>
    <cellStyle name="Normal 16 2" xfId="1303" xr:uid="{00000000-0005-0000-0000-0000C6050000}"/>
    <cellStyle name="Normal 16 2 2" xfId="1304" xr:uid="{00000000-0005-0000-0000-0000C7050000}"/>
    <cellStyle name="Normal 16 2 2 2" xfId="1305" xr:uid="{00000000-0005-0000-0000-0000C8050000}"/>
    <cellStyle name="Normal 16 2 2 2 2" xfId="2863" xr:uid="{C7955077-1F2A-4CED-B57A-9533102976DA}"/>
    <cellStyle name="Normal 16 2 2 3" xfId="1951" xr:uid="{00000000-0005-0000-0000-0000C9050000}"/>
    <cellStyle name="Normal 16 2 2 3 2" xfId="3136" xr:uid="{C78BDB35-63F0-4F52-8FE4-E8178B813855}"/>
    <cellStyle name="Normal 16 2 2 4" xfId="2862" xr:uid="{EFD5AFD7-207C-4A60-AD72-B3898D20C777}"/>
    <cellStyle name="Normal 16 2 3" xfId="2036" xr:uid="{00000000-0005-0000-0000-0000CA050000}"/>
    <cellStyle name="Normal 16 2 3 2" xfId="3161" xr:uid="{811175A7-EFAD-4D4C-995F-606C6B57F924}"/>
    <cellStyle name="Normal 16 2 4" xfId="2861" xr:uid="{CA3AC93E-E3E5-4E7B-88A3-FD11ABF32B4E}"/>
    <cellStyle name="Normal 16 3" xfId="2037" xr:uid="{00000000-0005-0000-0000-0000CB050000}"/>
    <cellStyle name="Normal 16 3 2" xfId="3162" xr:uid="{298949F5-F8F7-42F3-99BA-814275945943}"/>
    <cellStyle name="Normal 16 4" xfId="2860" xr:uid="{50D88368-A137-4D23-9D27-71FC4597E4EF}"/>
    <cellStyle name="Normal 160" xfId="2234" xr:uid="{00000000-0005-0000-0000-0000CC050000}"/>
    <cellStyle name="Normal 160 2" xfId="3336" xr:uid="{DF0F07AC-C63E-4A09-980B-33CA305F6F99}"/>
    <cellStyle name="Normal 161" xfId="2235" xr:uid="{00000000-0005-0000-0000-0000CD050000}"/>
    <cellStyle name="Normal 161 2" xfId="3337" xr:uid="{D5E415F8-AA9E-4640-8E26-F81A766E3FC0}"/>
    <cellStyle name="Normal 162" xfId="2236" xr:uid="{00000000-0005-0000-0000-0000CE050000}"/>
    <cellStyle name="Normal 162 2" xfId="3338" xr:uid="{93DD2FE7-4130-491A-8C2C-600A99045241}"/>
    <cellStyle name="Normal 163" xfId="2237" xr:uid="{00000000-0005-0000-0000-0000CF050000}"/>
    <cellStyle name="Normal 163 2" xfId="3339" xr:uid="{1ED1178F-F9EE-42C8-8E80-0A3D884A6C69}"/>
    <cellStyle name="Normal 164" xfId="2238" xr:uid="{00000000-0005-0000-0000-0000D0050000}"/>
    <cellStyle name="Normal 164 2" xfId="3340" xr:uid="{56632842-5EC1-4B0F-9920-E46F0DAB62F5}"/>
    <cellStyle name="Normal 165" xfId="2787" xr:uid="{4287EE7F-DC7B-458A-8148-359F70D93EB6}"/>
    <cellStyle name="Normal 165 2" xfId="3352" xr:uid="{EBC61FEE-C7BB-41A3-963D-CC0C6CA2E74A}"/>
    <cellStyle name="Normal 166" xfId="2239" xr:uid="{00000000-0005-0000-0000-0000D1050000}"/>
    <cellStyle name="Normal 166 2" xfId="3341" xr:uid="{C51DD51C-E13F-4581-B262-CC1F4B16F413}"/>
    <cellStyle name="Normal 167" xfId="2240" xr:uid="{00000000-0005-0000-0000-0000D2050000}"/>
    <cellStyle name="Normal 167 2" xfId="3342" xr:uid="{FE8AF39C-6024-4C36-A8B1-03436D4F61A1}"/>
    <cellStyle name="Normal 168" xfId="2241" xr:uid="{00000000-0005-0000-0000-0000D3050000}"/>
    <cellStyle name="Normal 168 2" xfId="3343" xr:uid="{5A2F3C6B-434D-4B95-AD6D-13952F5BF1FA}"/>
    <cellStyle name="Normal 169" xfId="2242" xr:uid="{00000000-0005-0000-0000-0000D4050000}"/>
    <cellStyle name="Normal 169 2" xfId="3344" xr:uid="{C2535320-E379-4357-97E9-B9F3B10A6CF0}"/>
    <cellStyle name="Normal 17" xfId="1306" xr:uid="{00000000-0005-0000-0000-0000D5050000}"/>
    <cellStyle name="Normal 17 2" xfId="2038" xr:uid="{00000000-0005-0000-0000-0000D6050000}"/>
    <cellStyle name="Normal 17 2 2" xfId="3163" xr:uid="{786F6758-1C63-4C17-AF08-FD38D8354609}"/>
    <cellStyle name="Normal 17 3" xfId="2864" xr:uid="{6A33A745-E529-4ADF-94E4-423A3FCBC5B9}"/>
    <cellStyle name="Normal 170" xfId="3360" xr:uid="{2E2A6841-E239-496B-A1CA-5979175A73F0}"/>
    <cellStyle name="Normal 171" xfId="3364" xr:uid="{3EFCE411-E12B-45E8-BE20-68F4D2DBA1DF}"/>
    <cellStyle name="Normal 18" xfId="1307" xr:uid="{00000000-0005-0000-0000-0000D7050000}"/>
    <cellStyle name="Normal 18 2" xfId="1308" xr:uid="{00000000-0005-0000-0000-0000D8050000}"/>
    <cellStyle name="Normal 18 2 2" xfId="1309" xr:uid="{00000000-0005-0000-0000-0000D9050000}"/>
    <cellStyle name="Normal 18 2 2 2" xfId="1310" xr:uid="{00000000-0005-0000-0000-0000DA050000}"/>
    <cellStyle name="Normal 18 2 2 2 2" xfId="2868" xr:uid="{A7423664-CC4D-4740-8606-406DA31FB4C3}"/>
    <cellStyle name="Normal 18 2 2 3" xfId="2867" xr:uid="{576CD388-5040-433E-9E7A-5F880D776B1F}"/>
    <cellStyle name="Normal 18 2 3" xfId="2039" xr:uid="{00000000-0005-0000-0000-0000DB050000}"/>
    <cellStyle name="Normal 18 2 3 2" xfId="3164" xr:uid="{D786DD9C-42F1-4D64-8D60-92DEC126647C}"/>
    <cellStyle name="Normal 18 2 4" xfId="2866" xr:uid="{DE3BB7C1-6CCD-45B1-AFB7-30308F1F5C31}"/>
    <cellStyle name="Normal 18 3" xfId="2040" xr:uid="{00000000-0005-0000-0000-0000DC050000}"/>
    <cellStyle name="Normal 18 3 2" xfId="3165" xr:uid="{59EA22E3-8B0E-4C99-94D0-2F6E8F00B40C}"/>
    <cellStyle name="Normal 18 4" xfId="2865" xr:uid="{F8CBA09F-7EB5-4019-A1AC-93804978483E}"/>
    <cellStyle name="Normal 19" xfId="1311" xr:uid="{00000000-0005-0000-0000-0000DD050000}"/>
    <cellStyle name="Normal 19 2" xfId="2041" xr:uid="{00000000-0005-0000-0000-0000DE050000}"/>
    <cellStyle name="Normal 19 2 2" xfId="3166" xr:uid="{3D51372E-C2EE-4779-8C10-A7D35C2FB134}"/>
    <cellStyle name="Normal 19 3" xfId="2869" xr:uid="{A49530BC-2F5A-4815-8521-69A681982723}"/>
    <cellStyle name="Normal 2" xfId="1312" xr:uid="{00000000-0005-0000-0000-0000DF050000}"/>
    <cellStyle name="Normal 2 10" xfId="1313" xr:uid="{00000000-0005-0000-0000-0000E0050000}"/>
    <cellStyle name="Normal 2 10 2" xfId="2870" xr:uid="{6DDCD808-EBFA-4CE3-9E60-543885BA2E98}"/>
    <cellStyle name="Normal 2 11" xfId="1314" xr:uid="{00000000-0005-0000-0000-0000E1050000}"/>
    <cellStyle name="Normal 2 11 2" xfId="2871" xr:uid="{59C59691-B46D-4EFD-8F4B-BBBD2DB1B478}"/>
    <cellStyle name="Normal 2 12" xfId="1315" xr:uid="{00000000-0005-0000-0000-0000E2050000}"/>
    <cellStyle name="Normal 2 12 2" xfId="2872" xr:uid="{3605D10C-19EC-4C4E-97BC-19E9BD93E538}"/>
    <cellStyle name="Normal 2 13" xfId="1316" xr:uid="{00000000-0005-0000-0000-0000E3050000}"/>
    <cellStyle name="Normal 2 13 2" xfId="2873" xr:uid="{03355C30-DFE9-4675-BEBB-34B75E51E34A}"/>
    <cellStyle name="Normal 2 14" xfId="1317" xr:uid="{00000000-0005-0000-0000-0000E4050000}"/>
    <cellStyle name="Normal 2 14 2" xfId="2874" xr:uid="{EBE223E1-9BCA-4CCF-BE8C-549E016AD40B}"/>
    <cellStyle name="Normal 2 15" xfId="1318" xr:uid="{00000000-0005-0000-0000-0000E5050000}"/>
    <cellStyle name="Normal 2 15 2" xfId="2875" xr:uid="{3D8E9329-ECE8-42F2-AA87-53119AB06155}"/>
    <cellStyle name="Normal 2 16" xfId="1319" xr:uid="{00000000-0005-0000-0000-0000E6050000}"/>
    <cellStyle name="Normal 2 16 2" xfId="2876" xr:uid="{0C67CC72-0F90-483F-876C-C8045A8DE31C}"/>
    <cellStyle name="Normal 2 17" xfId="1320" xr:uid="{00000000-0005-0000-0000-0000E7050000}"/>
    <cellStyle name="Normal 2 17 2" xfId="2877" xr:uid="{42FEC70E-0598-472A-A0C6-BBE81537E907}"/>
    <cellStyle name="Normal 2 18" xfId="1321" xr:uid="{00000000-0005-0000-0000-0000E8050000}"/>
    <cellStyle name="Normal 2 18 2" xfId="2878" xr:uid="{FB1C4F70-D7A1-4E91-A662-54AD9CC10CF5}"/>
    <cellStyle name="Normal 2 19" xfId="1322" xr:uid="{00000000-0005-0000-0000-0000E9050000}"/>
    <cellStyle name="Normal 2 19 2" xfId="2879" xr:uid="{367506CD-EF30-47CB-820B-D46F260F65F6}"/>
    <cellStyle name="Normal 2 2" xfId="1323" xr:uid="{00000000-0005-0000-0000-0000EA050000}"/>
    <cellStyle name="Normal 2 2 2" xfId="1324" xr:uid="{00000000-0005-0000-0000-0000EB050000}"/>
    <cellStyle name="Normal 2 20" xfId="1325" xr:uid="{00000000-0005-0000-0000-0000EC050000}"/>
    <cellStyle name="Normal 2 20 2" xfId="2880" xr:uid="{290CFF40-8F8C-4D35-AA40-3A1DD13ADF51}"/>
    <cellStyle name="Normal 2 21" xfId="1326" xr:uid="{00000000-0005-0000-0000-0000ED050000}"/>
    <cellStyle name="Normal 2 21 2" xfId="2881" xr:uid="{2C68FC47-0027-498E-95BD-7B1052D3F2D7}"/>
    <cellStyle name="Normal 2 22" xfId="1327" xr:uid="{00000000-0005-0000-0000-0000EE050000}"/>
    <cellStyle name="Normal 2 22 2" xfId="2882" xr:uid="{2EEF105F-3DB4-419F-AE80-75C0A6367491}"/>
    <cellStyle name="Normal 2 23" xfId="1328" xr:uid="{00000000-0005-0000-0000-0000EF050000}"/>
    <cellStyle name="Normal 2 23 2" xfId="2883" xr:uid="{0A0F35DA-F3F4-43D8-9211-90889583E790}"/>
    <cellStyle name="Normal 2 24" xfId="1329" xr:uid="{00000000-0005-0000-0000-0000F0050000}"/>
    <cellStyle name="Normal 2 24 2" xfId="2884" xr:uid="{33AD8D86-1B66-41BF-863D-0E5FE1EC9BD6}"/>
    <cellStyle name="Normal 2 25" xfId="1330" xr:uid="{00000000-0005-0000-0000-0000F1050000}"/>
    <cellStyle name="Normal 2 25 2" xfId="2885" xr:uid="{115AA8D8-5375-44F8-B398-CCD06C7074D3}"/>
    <cellStyle name="Normal 2 26" xfId="1331" xr:uid="{00000000-0005-0000-0000-0000F2050000}"/>
    <cellStyle name="Normal 2 26 2" xfId="2886" xr:uid="{7A5FD98E-CCEA-49F9-B6DC-E024EBD75591}"/>
    <cellStyle name="Normal 2 27" xfId="1332" xr:uid="{00000000-0005-0000-0000-0000F3050000}"/>
    <cellStyle name="Normal 2 27 2" xfId="2887" xr:uid="{3018197D-6515-416B-8007-B8C31098DEF7}"/>
    <cellStyle name="Normal 2 28" xfId="1333" xr:uid="{00000000-0005-0000-0000-0000F4050000}"/>
    <cellStyle name="Normal 2 28 2" xfId="2888" xr:uid="{9114B1ED-3238-4A5F-BA54-3F4F6F575D2A}"/>
    <cellStyle name="Normal 2 29" xfId="1334" xr:uid="{00000000-0005-0000-0000-0000F5050000}"/>
    <cellStyle name="Normal 2 29 2" xfId="2889" xr:uid="{4937D5B4-06DF-44FF-8A6D-6E8182F16EAD}"/>
    <cellStyle name="Normal 2 3" xfId="1335" xr:uid="{00000000-0005-0000-0000-0000F6050000}"/>
    <cellStyle name="Normal 2 3 2" xfId="2890" xr:uid="{9ED54105-4F6C-4A2B-86A3-BDC43D2AEDE8}"/>
    <cellStyle name="Normal 2 30" xfId="1336" xr:uid="{00000000-0005-0000-0000-0000F7050000}"/>
    <cellStyle name="Normal 2 30 2" xfId="2891" xr:uid="{9630F92A-FB95-48C8-90FC-BDE0072B9179}"/>
    <cellStyle name="Normal 2 31" xfId="1337" xr:uid="{00000000-0005-0000-0000-0000F8050000}"/>
    <cellStyle name="Normal 2 31 2" xfId="2892" xr:uid="{1EC20405-A039-48C7-9BF5-9A492938B1A6}"/>
    <cellStyle name="Normal 2 32" xfId="1338" xr:uid="{00000000-0005-0000-0000-0000F9050000}"/>
    <cellStyle name="Normal 2 32 2" xfId="2893" xr:uid="{26BCF09F-EFFB-46B3-A61E-7E2DB5C57552}"/>
    <cellStyle name="Normal 2 33" xfId="1339" xr:uid="{00000000-0005-0000-0000-0000FA050000}"/>
    <cellStyle name="Normal 2 33 2" xfId="2894" xr:uid="{54063497-CE8E-43A6-877E-78CE627116C2}"/>
    <cellStyle name="Normal 2 34" xfId="1340" xr:uid="{00000000-0005-0000-0000-0000FB050000}"/>
    <cellStyle name="Normal 2 34 2" xfId="2895" xr:uid="{9ACAADC9-2D53-4007-A49B-B9E1C91E6FDC}"/>
    <cellStyle name="Normal 2 35" xfId="1341" xr:uid="{00000000-0005-0000-0000-0000FC050000}"/>
    <cellStyle name="Normal 2 35 2" xfId="2896" xr:uid="{57FE4CA3-22A6-477F-9E89-DCE3659BA7FC}"/>
    <cellStyle name="Normal 2 36" xfId="1342" xr:uid="{00000000-0005-0000-0000-0000FD050000}"/>
    <cellStyle name="Normal 2 36 2" xfId="2897" xr:uid="{EB638D34-B775-4773-BFEB-F4D02DB1AD82}"/>
    <cellStyle name="Normal 2 37" xfId="1343" xr:uid="{00000000-0005-0000-0000-0000FE050000}"/>
    <cellStyle name="Normal 2 37 2" xfId="2898" xr:uid="{C01652CA-2A94-465B-A01F-F0B61E499C8F}"/>
    <cellStyle name="Normal 2 38" xfId="1344" xr:uid="{00000000-0005-0000-0000-0000FF050000}"/>
    <cellStyle name="Normal 2 38 2" xfId="2899" xr:uid="{2E11FAC7-D0B4-444C-8077-59904617517F}"/>
    <cellStyle name="Normal 2 39" xfId="1345" xr:uid="{00000000-0005-0000-0000-000000060000}"/>
    <cellStyle name="Normal 2 39 2" xfId="2900" xr:uid="{72DF1639-80B5-4BD8-833D-AB5CAA06544C}"/>
    <cellStyle name="Normal 2 4" xfId="1346" xr:uid="{00000000-0005-0000-0000-000001060000}"/>
    <cellStyle name="Normal 2 4 2" xfId="2901" xr:uid="{AE6959F5-209A-4313-983E-97F60CF03FAE}"/>
    <cellStyle name="Normal 2 40" xfId="1347" xr:uid="{00000000-0005-0000-0000-000002060000}"/>
    <cellStyle name="Normal 2 40 2" xfId="2902" xr:uid="{683EEDE4-E34B-4A4B-BF90-70EF24ED7223}"/>
    <cellStyle name="Normal 2 41" xfId="1348" xr:uid="{00000000-0005-0000-0000-000003060000}"/>
    <cellStyle name="Normal 2 41 2" xfId="2903" xr:uid="{A14D4B42-6631-4B46-8A33-0CC786F4CF8C}"/>
    <cellStyle name="Normal 2 42" xfId="1349" xr:uid="{00000000-0005-0000-0000-000004060000}"/>
    <cellStyle name="Normal 2 42 2" xfId="2904" xr:uid="{F09768CD-ED86-44DD-A7DA-570D88324443}"/>
    <cellStyle name="Normal 2 43" xfId="1350" xr:uid="{00000000-0005-0000-0000-000005060000}"/>
    <cellStyle name="Normal 2 43 2" xfId="2905" xr:uid="{45E56CD1-E60B-4C18-859B-264A4575DF9C}"/>
    <cellStyle name="Normal 2 44" xfId="1351" xr:uid="{00000000-0005-0000-0000-000006060000}"/>
    <cellStyle name="Normal 2 44 2" xfId="2906" xr:uid="{F3872A90-E309-4260-B73C-9653C1E1951F}"/>
    <cellStyle name="Normal 2 45" xfId="1352" xr:uid="{00000000-0005-0000-0000-000007060000}"/>
    <cellStyle name="Normal 2 45 2" xfId="2907" xr:uid="{68FA13F0-0EAD-4BE2-9CF6-C050982DFFE1}"/>
    <cellStyle name="Normal 2 46" xfId="1353" xr:uid="{00000000-0005-0000-0000-000008060000}"/>
    <cellStyle name="Normal 2 46 2" xfId="2908" xr:uid="{1206EB56-20CF-42C2-B10C-D52DB93779F1}"/>
    <cellStyle name="Normal 2 47" xfId="1354" xr:uid="{00000000-0005-0000-0000-000009060000}"/>
    <cellStyle name="Normal 2 47 2" xfId="2909" xr:uid="{61471568-BA45-4AF2-89AC-E58866808C74}"/>
    <cellStyle name="Normal 2 48" xfId="1355" xr:uid="{00000000-0005-0000-0000-00000A060000}"/>
    <cellStyle name="Normal 2 48 2" xfId="2910" xr:uid="{85FF1824-EBC2-4D19-95B8-D7C35D6802AA}"/>
    <cellStyle name="Normal 2 49" xfId="1356" xr:uid="{00000000-0005-0000-0000-00000B060000}"/>
    <cellStyle name="Normal 2 49 2" xfId="2911" xr:uid="{12852D01-EC7C-476C-8DED-2D11E72DE19D}"/>
    <cellStyle name="Normal 2 5" xfId="1357" xr:uid="{00000000-0005-0000-0000-00000C060000}"/>
    <cellStyle name="Normal 2 5 2" xfId="2912" xr:uid="{330A4BFD-7F1F-4BC1-B444-B7D7877105A1}"/>
    <cellStyle name="Normal 2 50" xfId="1358" xr:uid="{00000000-0005-0000-0000-00000D060000}"/>
    <cellStyle name="Normal 2 50 2" xfId="2913" xr:uid="{8BDFCA82-BCE1-4C72-852C-201F0FD78C20}"/>
    <cellStyle name="Normal 2 51" xfId="1359" xr:uid="{00000000-0005-0000-0000-00000E060000}"/>
    <cellStyle name="Normal 2 51 2" xfId="2914" xr:uid="{B3E79B8F-8293-401A-8C9B-1EFADC48CF37}"/>
    <cellStyle name="Normal 2 52" xfId="1360" xr:uid="{00000000-0005-0000-0000-00000F060000}"/>
    <cellStyle name="Normal 2 52 2" xfId="2915" xr:uid="{F59053D0-017C-4C46-A14B-14A48974C615}"/>
    <cellStyle name="Normal 2 53" xfId="1361" xr:uid="{00000000-0005-0000-0000-000010060000}"/>
    <cellStyle name="Normal 2 53 2" xfId="2916" xr:uid="{3AE7E913-39C9-41CD-AA3D-4E1DC8870563}"/>
    <cellStyle name="Normal 2 54" xfId="1362" xr:uid="{00000000-0005-0000-0000-000011060000}"/>
    <cellStyle name="Normal 2 54 2" xfId="2917" xr:uid="{1F277867-8A53-4433-B97E-437BB0FB9B1F}"/>
    <cellStyle name="Normal 2 55" xfId="1363" xr:uid="{00000000-0005-0000-0000-000012060000}"/>
    <cellStyle name="Normal 2 55 2" xfId="2918" xr:uid="{20002381-731A-4AD3-8C2F-78923BDEC326}"/>
    <cellStyle name="Normal 2 56" xfId="1364" xr:uid="{00000000-0005-0000-0000-000013060000}"/>
    <cellStyle name="Normal 2 56 2" xfId="2919" xr:uid="{0DF08D58-AF7F-40AD-ADFE-2CBC69842D01}"/>
    <cellStyle name="Normal 2 57" xfId="1365" xr:uid="{00000000-0005-0000-0000-000014060000}"/>
    <cellStyle name="Normal 2 57 2" xfId="2920" xr:uid="{EC536C06-62F2-427D-AD01-CAFBEC80519D}"/>
    <cellStyle name="Normal 2 58" xfId="1366" xr:uid="{00000000-0005-0000-0000-000015060000}"/>
    <cellStyle name="Normal 2 58 2" xfId="2921" xr:uid="{4092CA4F-F7AC-46A0-8A49-16174740DD22}"/>
    <cellStyle name="Normal 2 59" xfId="1367" xr:uid="{00000000-0005-0000-0000-000016060000}"/>
    <cellStyle name="Normal 2 59 2" xfId="2922" xr:uid="{7B1088E4-537E-4BB8-AD7C-76C63CBBA7A7}"/>
    <cellStyle name="Normal 2 6" xfId="1368" xr:uid="{00000000-0005-0000-0000-000017060000}"/>
    <cellStyle name="Normal 2 6 2" xfId="2923" xr:uid="{E3E2E2FD-89E1-4DE0-A26E-79990A631816}"/>
    <cellStyle name="Normal 2 60" xfId="1369" xr:uid="{00000000-0005-0000-0000-000018060000}"/>
    <cellStyle name="Normal 2 60 2" xfId="2924" xr:uid="{B6E286D4-FD37-4CFB-8DDA-7FE94A8A3CE3}"/>
    <cellStyle name="Normal 2 61" xfId="1370" xr:uid="{00000000-0005-0000-0000-000019060000}"/>
    <cellStyle name="Normal 2 61 2" xfId="2925" xr:uid="{47AEE1F8-BC0F-4AF0-BC9D-2CC6C5734373}"/>
    <cellStyle name="Normal 2 62" xfId="1371" xr:uid="{00000000-0005-0000-0000-00001A060000}"/>
    <cellStyle name="Normal 2 62 2" xfId="2926" xr:uid="{A2244518-7D04-46FD-B49D-CB3C60BA4ADE}"/>
    <cellStyle name="Normal 2 63" xfId="1372" xr:uid="{00000000-0005-0000-0000-00001B060000}"/>
    <cellStyle name="Normal 2 63 2" xfId="2927" xr:uid="{11FF5F93-E5F6-4AF2-B7A4-96FACDEA984E}"/>
    <cellStyle name="Normal 2 64" xfId="1373" xr:uid="{00000000-0005-0000-0000-00001C060000}"/>
    <cellStyle name="Normal 2 64 2" xfId="2928" xr:uid="{D02663E1-9E94-47EB-AD92-B52F30069CA4}"/>
    <cellStyle name="Normal 2 65" xfId="1374" xr:uid="{00000000-0005-0000-0000-00001D060000}"/>
    <cellStyle name="Normal 2 65 2" xfId="2929" xr:uid="{05E5176C-7D0C-40D3-8A33-5926636946BC}"/>
    <cellStyle name="Normal 2 66" xfId="1375" xr:uid="{00000000-0005-0000-0000-00001E060000}"/>
    <cellStyle name="Normal 2 66 2" xfId="2930" xr:uid="{950B0489-7B1E-4B23-8471-7B817E89FFA3}"/>
    <cellStyle name="Normal 2 67" xfId="1376" xr:uid="{00000000-0005-0000-0000-00001F060000}"/>
    <cellStyle name="Normal 2 67 2" xfId="2931" xr:uid="{FB12443B-1EAD-4527-9A9F-32DE75552ED2}"/>
    <cellStyle name="Normal 2 68" xfId="1377" xr:uid="{00000000-0005-0000-0000-000020060000}"/>
    <cellStyle name="Normal 2 68 2" xfId="2932" xr:uid="{99A1A15B-72D7-45E7-8E54-CBA318EC3E98}"/>
    <cellStyle name="Normal 2 69" xfId="1378" xr:uid="{00000000-0005-0000-0000-000021060000}"/>
    <cellStyle name="Normal 2 69 2" xfId="2933" xr:uid="{E43C9E35-882E-4724-8371-76202C576691}"/>
    <cellStyle name="Normal 2 7" xfId="1379" xr:uid="{00000000-0005-0000-0000-000022060000}"/>
    <cellStyle name="Normal 2 7 2" xfId="2934" xr:uid="{E74F6A9C-26EF-4322-A8D4-7369247FF026}"/>
    <cellStyle name="Normal 2 70" xfId="1380" xr:uid="{00000000-0005-0000-0000-000023060000}"/>
    <cellStyle name="Normal 2 70 2" xfId="2935" xr:uid="{9912E3B4-ACF4-43E7-B3C2-3F585C3B9BA4}"/>
    <cellStyle name="Normal 2 71" xfId="1381" xr:uid="{00000000-0005-0000-0000-000024060000}"/>
    <cellStyle name="Normal 2 71 2" xfId="2936" xr:uid="{F741668A-9ECC-4A20-B49E-AE301E4F3870}"/>
    <cellStyle name="Normal 2 72" xfId="1382" xr:uid="{00000000-0005-0000-0000-000025060000}"/>
    <cellStyle name="Normal 2 72 2" xfId="2937" xr:uid="{14A6A59A-6FEF-4124-89AE-57B1BF9161CE}"/>
    <cellStyle name="Normal 2 73" xfId="1383" xr:uid="{00000000-0005-0000-0000-000026060000}"/>
    <cellStyle name="Normal 2 73 2" xfId="2938" xr:uid="{1DD93424-8CE3-42EE-8571-7C2E94B47C88}"/>
    <cellStyle name="Normal 2 74" xfId="1384" xr:uid="{00000000-0005-0000-0000-000027060000}"/>
    <cellStyle name="Normal 2 74 2" xfId="2939" xr:uid="{C5C504DD-C813-4D56-B8E5-9DDFC2AC438B}"/>
    <cellStyle name="Normal 2 75" xfId="1385" xr:uid="{00000000-0005-0000-0000-000028060000}"/>
    <cellStyle name="Normal 2 75 2" xfId="2940" xr:uid="{7CBBFD92-6670-4CB3-ADDB-0D4913930916}"/>
    <cellStyle name="Normal 2 76" xfId="1386" xr:uid="{00000000-0005-0000-0000-000029060000}"/>
    <cellStyle name="Normal 2 76 2" xfId="2941" xr:uid="{617768B4-E67C-4D41-9143-0118777B3265}"/>
    <cellStyle name="Normal 2 77" xfId="1387" xr:uid="{00000000-0005-0000-0000-00002A060000}"/>
    <cellStyle name="Normal 2 77 2" xfId="2942" xr:uid="{4797EF35-0436-47C8-A066-E3A39FAA5105}"/>
    <cellStyle name="Normal 2 78" xfId="1388" xr:uid="{00000000-0005-0000-0000-00002B060000}"/>
    <cellStyle name="Normal 2 78 2" xfId="2943" xr:uid="{A6322B63-35F8-4D91-9F22-4D4495DBF53C}"/>
    <cellStyle name="Normal 2 79" xfId="1962" xr:uid="{00000000-0005-0000-0000-00002C060000}"/>
    <cellStyle name="Normal 2 79 2" xfId="3353" xr:uid="{D9807E78-E683-48B9-BA36-C49232E57D05}"/>
    <cellStyle name="Normal 2 79 2 2" xfId="3361" xr:uid="{464CADB7-03DD-4C97-AF77-0CFEEFE69A25}"/>
    <cellStyle name="Normal 2 8" xfId="1389" xr:uid="{00000000-0005-0000-0000-00002D060000}"/>
    <cellStyle name="Normal 2 8 2" xfId="2944" xr:uid="{ECD93886-B55B-4244-B2FC-7FCB24F21227}"/>
    <cellStyle name="Normal 2 80" xfId="2780" xr:uid="{00000000-0005-0000-0000-00002E060000}"/>
    <cellStyle name="Normal 2 81" xfId="2784" xr:uid="{00000000-0005-0000-0000-00002F060000}"/>
    <cellStyle name="Normal 2 81 2" xfId="3358" xr:uid="{E8C36202-3683-4AEF-B7D6-87EB7E629629}"/>
    <cellStyle name="Normal 2 82" xfId="3355" xr:uid="{CDA05E21-E648-4688-9F83-EB306DD31D31}"/>
    <cellStyle name="Normal 2 9" xfId="1390" xr:uid="{00000000-0005-0000-0000-000030060000}"/>
    <cellStyle name="Normal 2 9 2" xfId="2945" xr:uid="{2561B4BC-AAD8-46D0-85F8-ADEBC43B3C90}"/>
    <cellStyle name="Normal 2_Copia de PRESUPUESTO GRUPO 11_6" xfId="2276" xr:uid="{00000000-0005-0000-0000-000031060000}"/>
    <cellStyle name="Normal 20" xfId="1391" xr:uid="{00000000-0005-0000-0000-000032060000}"/>
    <cellStyle name="Normal 20 2" xfId="1392" xr:uid="{00000000-0005-0000-0000-000033060000}"/>
    <cellStyle name="Normal 20 2 2" xfId="1393" xr:uid="{00000000-0005-0000-0000-000034060000}"/>
    <cellStyle name="Normal 20 2 2 2" xfId="1394" xr:uid="{00000000-0005-0000-0000-000035060000}"/>
    <cellStyle name="Normal 20 2 2 2 2" xfId="2949" xr:uid="{88BFC4C9-7F03-456F-94B0-8BC8B48F2E33}"/>
    <cellStyle name="Normal 20 2 2 3" xfId="2948" xr:uid="{417D7F63-16F5-4A04-84B9-556FBE997C8C}"/>
    <cellStyle name="Normal 20 2 3" xfId="2042" xr:uid="{00000000-0005-0000-0000-000036060000}"/>
    <cellStyle name="Normal 20 2 3 2" xfId="3167" xr:uid="{A98C5AA3-B73E-4620-9D11-C17B22936C9E}"/>
    <cellStyle name="Normal 20 2 4" xfId="2947" xr:uid="{32C75C39-DD26-4579-B926-93AA3FCF558E}"/>
    <cellStyle name="Normal 20 3" xfId="2043" xr:uid="{00000000-0005-0000-0000-000037060000}"/>
    <cellStyle name="Normal 20 3 2" xfId="3168" xr:uid="{812933E3-F6DB-4CD3-9E9E-A55E6C2DA0ED}"/>
    <cellStyle name="Normal 20 4" xfId="2946" xr:uid="{BA35880A-11D5-4EB0-95E5-9B6870214D88}"/>
    <cellStyle name="Normal 21" xfId="1395" xr:uid="{00000000-0005-0000-0000-000038060000}"/>
    <cellStyle name="Normal 21 2" xfId="1396" xr:uid="{00000000-0005-0000-0000-000039060000}"/>
    <cellStyle name="Normal 21 2 2" xfId="2044" xr:uid="{00000000-0005-0000-0000-00003A060000}"/>
    <cellStyle name="Normal 21 2 2 2" xfId="3169" xr:uid="{09B80A3F-2C8F-473F-8F6D-F8A65066447E}"/>
    <cellStyle name="Normal 21 2 3" xfId="2951" xr:uid="{043C632E-0785-47A2-93E8-2205EFC515E3}"/>
    <cellStyle name="Normal 21 3" xfId="2045" xr:uid="{00000000-0005-0000-0000-00003B060000}"/>
    <cellStyle name="Normal 21 3 2" xfId="3170" xr:uid="{C959A197-BF16-4796-BD25-78BADE3D429B}"/>
    <cellStyle name="Normal 21 4" xfId="2950" xr:uid="{3923543E-87F1-46BA-BA0D-AA4C97CC5027}"/>
    <cellStyle name="Normal 22" xfId="1397" xr:uid="{00000000-0005-0000-0000-00003C060000}"/>
    <cellStyle name="Normal 22 2" xfId="1398" xr:uid="{00000000-0005-0000-0000-00003D060000}"/>
    <cellStyle name="Normal 22 2 2" xfId="1399" xr:uid="{00000000-0005-0000-0000-00003E060000}"/>
    <cellStyle name="Normal 22 2 2 2" xfId="1400" xr:uid="{00000000-0005-0000-0000-00003F060000}"/>
    <cellStyle name="Normal 22 2 2 2 2" xfId="2955" xr:uid="{688B41E1-0D47-45F9-9BE5-26C8D8265C0F}"/>
    <cellStyle name="Normal 22 2 2 3" xfId="2954" xr:uid="{BE5A963F-FA3F-45DC-95E2-5BBDC9B5AED1}"/>
    <cellStyle name="Normal 22 2 3" xfId="2046" xr:uid="{00000000-0005-0000-0000-000040060000}"/>
    <cellStyle name="Normal 22 2 3 2" xfId="3171" xr:uid="{8F2A5091-7A38-454F-B7DA-E0EE452A15F8}"/>
    <cellStyle name="Normal 22 2 4" xfId="2953" xr:uid="{68C7F1FC-74EC-4261-94AA-F22112FF65A7}"/>
    <cellStyle name="Normal 22 3" xfId="2047" xr:uid="{00000000-0005-0000-0000-000041060000}"/>
    <cellStyle name="Normal 22 3 2" xfId="3172" xr:uid="{45C480BE-CFA8-4E4A-B363-78387688D862}"/>
    <cellStyle name="Normal 22 4" xfId="2952" xr:uid="{B8636FFE-E74B-4965-8D7E-3CAFBF7D1A4E}"/>
    <cellStyle name="Normal 23" xfId="1401" xr:uid="{00000000-0005-0000-0000-000042060000}"/>
    <cellStyle name="Normal 23 2" xfId="1402" xr:uid="{00000000-0005-0000-0000-000043060000}"/>
    <cellStyle name="Normal 23 2 2" xfId="1403" xr:uid="{00000000-0005-0000-0000-000044060000}"/>
    <cellStyle name="Normal 23 2 2 2" xfId="1404" xr:uid="{00000000-0005-0000-0000-000045060000}"/>
    <cellStyle name="Normal 23 2 2 2 2" xfId="2959" xr:uid="{C782B4E8-66A6-4813-BB3A-9D6C95B9DA42}"/>
    <cellStyle name="Normal 23 2 2 3" xfId="1961" xr:uid="{00000000-0005-0000-0000-000046060000}"/>
    <cellStyle name="Normal 23 2 2 3 2" xfId="3146" xr:uid="{5C182913-2801-4064-A647-3AC5C17052C3}"/>
    <cellStyle name="Normal 23 2 2 4" xfId="2958" xr:uid="{51DD9CB0-F362-4F5F-97B0-EC50655F8EF8}"/>
    <cellStyle name="Normal 23 2 3" xfId="2048" xr:uid="{00000000-0005-0000-0000-000047060000}"/>
    <cellStyle name="Normal 23 2 3 2" xfId="3173" xr:uid="{3D4736A9-38F4-46A2-BB1F-715753BBFD75}"/>
    <cellStyle name="Normal 23 2 4" xfId="2957" xr:uid="{5D0EEAF2-8820-4A2B-AD0D-D4B6907C343B}"/>
    <cellStyle name="Normal 23 3" xfId="2049" xr:uid="{00000000-0005-0000-0000-000048060000}"/>
    <cellStyle name="Normal 23 3 2" xfId="3174" xr:uid="{7DF66681-5821-4FF7-9857-1953162C6860}"/>
    <cellStyle name="Normal 23 4" xfId="2956" xr:uid="{00156878-B27A-4916-87B1-FAF2AC232D7E}"/>
    <cellStyle name="Normal 24" xfId="1405" xr:uid="{00000000-0005-0000-0000-000049060000}"/>
    <cellStyle name="Normal 24 2" xfId="1406" xr:uid="{00000000-0005-0000-0000-00004A060000}"/>
    <cellStyle name="Normal 24 2 2" xfId="2050" xr:uid="{00000000-0005-0000-0000-00004B060000}"/>
    <cellStyle name="Normal 24 2 2 2" xfId="3175" xr:uid="{542CC288-E790-448B-BCDE-2A245C8E5559}"/>
    <cellStyle name="Normal 24 2 3" xfId="2961" xr:uid="{3D6FB9D7-3F9A-4542-86B2-B8DBFD2D2EA9}"/>
    <cellStyle name="Normal 24 3" xfId="2051" xr:uid="{00000000-0005-0000-0000-00004C060000}"/>
    <cellStyle name="Normal 24 3 2" xfId="3176" xr:uid="{2CE85FCA-7B03-4C89-9176-58E534DE3ADA}"/>
    <cellStyle name="Normal 24 4" xfId="2960" xr:uid="{F0B3FC05-C72D-45AC-8F43-F13476342103}"/>
    <cellStyle name="Normal 25" xfId="1407" xr:uid="{00000000-0005-0000-0000-00004D060000}"/>
    <cellStyle name="Normal 25 2" xfId="1408" xr:uid="{00000000-0005-0000-0000-00004E060000}"/>
    <cellStyle name="Normal 25 2 2" xfId="1409" xr:uid="{00000000-0005-0000-0000-00004F060000}"/>
    <cellStyle name="Normal 25 2 2 2" xfId="1410" xr:uid="{00000000-0005-0000-0000-000050060000}"/>
    <cellStyle name="Normal 25 2 2 2 2" xfId="2965" xr:uid="{AB241678-CBF6-473B-8E9F-5D3839E8B6BD}"/>
    <cellStyle name="Normal 25 2 2 3" xfId="2964" xr:uid="{659A7CA6-BB51-49AC-9072-395438D8605D}"/>
    <cellStyle name="Normal 25 2 3" xfId="2052" xr:uid="{00000000-0005-0000-0000-000051060000}"/>
    <cellStyle name="Normal 25 2 3 2" xfId="3177" xr:uid="{B1B8DE98-0DC2-4C5E-A2D6-BC04818BB8B3}"/>
    <cellStyle name="Normal 25 2 4" xfId="2963" xr:uid="{B48DB456-5F32-48D2-ABD1-379B6AD85E09}"/>
    <cellStyle name="Normal 25 3" xfId="2053" xr:uid="{00000000-0005-0000-0000-000052060000}"/>
    <cellStyle name="Normal 25 3 2" xfId="3178" xr:uid="{9BBD89B4-5535-41BC-A4C5-2B76F3A8AF2C}"/>
    <cellStyle name="Normal 25 4" xfId="2962" xr:uid="{8E7E6FE5-420E-4F61-8E27-75816425BE4E}"/>
    <cellStyle name="Normal 26" xfId="1411" xr:uid="{00000000-0005-0000-0000-000053060000}"/>
    <cellStyle name="Normal 26 2" xfId="1412" xr:uid="{00000000-0005-0000-0000-000054060000}"/>
    <cellStyle name="Normal 26 2 2" xfId="1413" xr:uid="{00000000-0005-0000-0000-000055060000}"/>
    <cellStyle name="Normal 26 2 2 2" xfId="1414" xr:uid="{00000000-0005-0000-0000-000056060000}"/>
    <cellStyle name="Normal 26 2 2 2 2" xfId="1415" xr:uid="{00000000-0005-0000-0000-000057060000}"/>
    <cellStyle name="Normal 26 2 2 2 2 2" xfId="2970" xr:uid="{FA484939-F430-4469-93BE-50E64B38CD66}"/>
    <cellStyle name="Normal 26 2 2 2 3" xfId="2969" xr:uid="{57778B8E-402D-4138-AD26-9FA435E716E2}"/>
    <cellStyle name="Normal 26 2 2 3" xfId="2054" xr:uid="{00000000-0005-0000-0000-000058060000}"/>
    <cellStyle name="Normal 26 2 2 3 2" xfId="3179" xr:uid="{4A334753-A84F-4465-99D3-B8CFF11CFB81}"/>
    <cellStyle name="Normal 26 2 2 4" xfId="2968" xr:uid="{25068AD5-0839-46D4-B27B-E60AA2AEDEC3}"/>
    <cellStyle name="Normal 26 2 3" xfId="2055" xr:uid="{00000000-0005-0000-0000-000059060000}"/>
    <cellStyle name="Normal 26 2 3 2" xfId="3180" xr:uid="{07B76F2B-3B68-435E-8DFE-6765DB3382D2}"/>
    <cellStyle name="Normal 26 2 4" xfId="2967" xr:uid="{0CA036E3-85FA-44BC-84DA-03349AFC460E}"/>
    <cellStyle name="Normal 26 3" xfId="2056" xr:uid="{00000000-0005-0000-0000-00005A060000}"/>
    <cellStyle name="Normal 26 3 2" xfId="3181" xr:uid="{A07E8463-AB60-4955-ADE9-34B671148056}"/>
    <cellStyle name="Normal 26 4" xfId="2966" xr:uid="{32AE6844-3243-4FB2-9B90-4EEC0038B098}"/>
    <cellStyle name="Normal 27" xfId="1416" xr:uid="{00000000-0005-0000-0000-00005B060000}"/>
    <cellStyle name="Normal 27 2" xfId="1417" xr:uid="{00000000-0005-0000-0000-00005C060000}"/>
    <cellStyle name="Normal 27 2 2" xfId="1418" xr:uid="{00000000-0005-0000-0000-00005D060000}"/>
    <cellStyle name="Normal 27 2 2 2" xfId="1419" xr:uid="{00000000-0005-0000-0000-00005E060000}"/>
    <cellStyle name="Normal 27 2 2 2 2" xfId="2974" xr:uid="{DAA7FF2A-54E7-4ADD-B0E2-EA11D019C4BA}"/>
    <cellStyle name="Normal 27 2 2 3" xfId="2973" xr:uid="{519EB76D-4DBB-40B7-8A56-E43B9695235C}"/>
    <cellStyle name="Normal 27 2 3" xfId="2057" xr:uid="{00000000-0005-0000-0000-00005F060000}"/>
    <cellStyle name="Normal 27 2 3 2" xfId="3182" xr:uid="{CB00CDE1-B932-4EB4-B813-FD22607F789A}"/>
    <cellStyle name="Normal 27 2 4" xfId="2972" xr:uid="{688A0692-C717-401C-B428-96F9D7C62DFE}"/>
    <cellStyle name="Normal 27 3" xfId="2058" xr:uid="{00000000-0005-0000-0000-000060060000}"/>
    <cellStyle name="Normal 27 3 2" xfId="3183" xr:uid="{93D1F0B6-7CCF-4C91-9540-65B2AC9AFF40}"/>
    <cellStyle name="Normal 27 4" xfId="2971" xr:uid="{B49359C5-E499-4FBF-AF06-519BB230400B}"/>
    <cellStyle name="Normal 28" xfId="1420" xr:uid="{00000000-0005-0000-0000-000061060000}"/>
    <cellStyle name="Normal 28 2" xfId="1421" xr:uid="{00000000-0005-0000-0000-000062060000}"/>
    <cellStyle name="Normal 28 2 2" xfId="1422" xr:uid="{00000000-0005-0000-0000-000063060000}"/>
    <cellStyle name="Normal 28 2 2 2" xfId="1423" xr:uid="{00000000-0005-0000-0000-000064060000}"/>
    <cellStyle name="Normal 28 2 2 2 2" xfId="2978" xr:uid="{4981A819-6051-49DA-99A2-B9DE791DE62A}"/>
    <cellStyle name="Normal 28 2 2 3" xfId="2977" xr:uid="{A322C5AC-4041-470D-94A6-B1FF9E5B5CC8}"/>
    <cellStyle name="Normal 28 2 3" xfId="2059" xr:uid="{00000000-0005-0000-0000-000065060000}"/>
    <cellStyle name="Normal 28 2 3 2" xfId="3184" xr:uid="{04DB1D35-45E0-4113-8E2F-B8CA78A18224}"/>
    <cellStyle name="Normal 28 2 4" xfId="2976" xr:uid="{1A585D3C-9A1E-4087-9223-1CC47BD11E30}"/>
    <cellStyle name="Normal 28 3" xfId="2060" xr:uid="{00000000-0005-0000-0000-000066060000}"/>
    <cellStyle name="Normal 28 3 2" xfId="3185" xr:uid="{AA3C901F-458F-40E7-B8EE-1672A1F61E6D}"/>
    <cellStyle name="Normal 28 4" xfId="2975" xr:uid="{7A757F1F-0F80-4C75-8329-C671FC71EF3D}"/>
    <cellStyle name="Normal 29" xfId="1424" xr:uid="{00000000-0005-0000-0000-000067060000}"/>
    <cellStyle name="Normal 29 2" xfId="1425" xr:uid="{00000000-0005-0000-0000-000068060000}"/>
    <cellStyle name="Normal 29 2 2" xfId="1426" xr:uid="{00000000-0005-0000-0000-000069060000}"/>
    <cellStyle name="Normal 29 2 2 2" xfId="2061" xr:uid="{00000000-0005-0000-0000-00006A060000}"/>
    <cellStyle name="Normal 29 2 2 2 2" xfId="3186" xr:uid="{8DCEEC85-B210-40A4-8062-E88170DAF612}"/>
    <cellStyle name="Normal 29 2 2 3" xfId="2981" xr:uid="{B135C3D2-A7D9-4CB7-84EB-7B8D69470347}"/>
    <cellStyle name="Normal 29 2 3" xfId="2062" xr:uid="{00000000-0005-0000-0000-00006B060000}"/>
    <cellStyle name="Normal 29 2 3 2" xfId="3187" xr:uid="{CB7FEA19-446A-4FCE-B0F9-57DA1D6D9260}"/>
    <cellStyle name="Normal 29 2 4" xfId="2980" xr:uid="{6924E07D-0B8D-4A05-BA4C-CF5D6DACE887}"/>
    <cellStyle name="Normal 29 3" xfId="2063" xr:uid="{00000000-0005-0000-0000-00006C060000}"/>
    <cellStyle name="Normal 29 3 2" xfId="3188" xr:uid="{1FB02667-9B10-4D6A-B9A0-81EA83052197}"/>
    <cellStyle name="Normal 29 4" xfId="2979" xr:uid="{C8733E3A-39F0-4430-BB6B-E6B875365008}"/>
    <cellStyle name="Normal 3" xfId="1427" xr:uid="{00000000-0005-0000-0000-00006D060000}"/>
    <cellStyle name="Normal 3 10" xfId="1428" xr:uid="{00000000-0005-0000-0000-00006E060000}"/>
    <cellStyle name="Normal 3 11" xfId="1429" xr:uid="{00000000-0005-0000-0000-00006F060000}"/>
    <cellStyle name="Normal 3 12" xfId="1430" xr:uid="{00000000-0005-0000-0000-000070060000}"/>
    <cellStyle name="Normal 3 13" xfId="1431" xr:uid="{00000000-0005-0000-0000-000071060000}"/>
    <cellStyle name="Normal 3 14" xfId="1432" xr:uid="{00000000-0005-0000-0000-000072060000}"/>
    <cellStyle name="Normal 3 15" xfId="1433" xr:uid="{00000000-0005-0000-0000-000073060000}"/>
    <cellStyle name="Normal 3 16" xfId="1434" xr:uid="{00000000-0005-0000-0000-000074060000}"/>
    <cellStyle name="Normal 3 17" xfId="1435" xr:uid="{00000000-0005-0000-0000-000075060000}"/>
    <cellStyle name="Normal 3 18" xfId="1436" xr:uid="{00000000-0005-0000-0000-000076060000}"/>
    <cellStyle name="Normal 3 19" xfId="1437" xr:uid="{00000000-0005-0000-0000-000077060000}"/>
    <cellStyle name="Normal 3 2" xfId="1438" xr:uid="{00000000-0005-0000-0000-000078060000}"/>
    <cellStyle name="Normal 3 2 2" xfId="1439" xr:uid="{00000000-0005-0000-0000-000079060000}"/>
    <cellStyle name="Normal 3 2 2 2" xfId="2064" xr:uid="{00000000-0005-0000-0000-00007A060000}"/>
    <cellStyle name="Normal 3 2 2 2 2" xfId="3189" xr:uid="{FC84EE46-17E3-4CC0-8C7A-11EC3DF324B4}"/>
    <cellStyle name="Normal 3 2 2 3" xfId="2983" xr:uid="{2B476696-7212-41EF-BA68-15D170E6AE2A}"/>
    <cellStyle name="Normal 3 2 3" xfId="2065" xr:uid="{00000000-0005-0000-0000-00007B060000}"/>
    <cellStyle name="Normal 3 2 3 2" xfId="3190" xr:uid="{500A26EF-7F81-43D8-99FE-8C3935400B74}"/>
    <cellStyle name="Normal 3 2 4" xfId="2982" xr:uid="{A824FB93-9D0F-4EB3-B6E0-35280DA3839E}"/>
    <cellStyle name="Normal 3 20" xfId="1440" xr:uid="{00000000-0005-0000-0000-00007C060000}"/>
    <cellStyle name="Normal 3 21" xfId="1441" xr:uid="{00000000-0005-0000-0000-00007D060000}"/>
    <cellStyle name="Normal 3 22" xfId="1442" xr:uid="{00000000-0005-0000-0000-00007E060000}"/>
    <cellStyle name="Normal 3 23" xfId="1443" xr:uid="{00000000-0005-0000-0000-00007F060000}"/>
    <cellStyle name="Normal 3 24" xfId="1444" xr:uid="{00000000-0005-0000-0000-000080060000}"/>
    <cellStyle name="Normal 3 25" xfId="1445" xr:uid="{00000000-0005-0000-0000-000081060000}"/>
    <cellStyle name="Normal 3 26" xfId="1446" xr:uid="{00000000-0005-0000-0000-000082060000}"/>
    <cellStyle name="Normal 3 27" xfId="1447" xr:uid="{00000000-0005-0000-0000-000083060000}"/>
    <cellStyle name="Normal 3 28" xfId="1448" xr:uid="{00000000-0005-0000-0000-000084060000}"/>
    <cellStyle name="Normal 3 29" xfId="1449" xr:uid="{00000000-0005-0000-0000-000085060000}"/>
    <cellStyle name="Normal 3 3" xfId="1450" xr:uid="{00000000-0005-0000-0000-000086060000}"/>
    <cellStyle name="Normal 3 3 2" xfId="2066" xr:uid="{00000000-0005-0000-0000-000087060000}"/>
    <cellStyle name="Normal 3 3 2 2" xfId="3191" xr:uid="{853D406B-D70E-4785-BBAA-8087D2C9CEE4}"/>
    <cellStyle name="Normal 3 3 3" xfId="2984" xr:uid="{C38DDA3B-D0CE-4064-A6EE-E3DF329B0287}"/>
    <cellStyle name="Normal 3 30" xfId="1451" xr:uid="{00000000-0005-0000-0000-000088060000}"/>
    <cellStyle name="Normal 3 31" xfId="1452" xr:uid="{00000000-0005-0000-0000-000089060000}"/>
    <cellStyle name="Normal 3 32" xfId="1453" xr:uid="{00000000-0005-0000-0000-00008A060000}"/>
    <cellStyle name="Normal 3 33" xfId="1454" xr:uid="{00000000-0005-0000-0000-00008B060000}"/>
    <cellStyle name="Normal 3 34" xfId="1455" xr:uid="{00000000-0005-0000-0000-00008C060000}"/>
    <cellStyle name="Normal 3 35" xfId="1456" xr:uid="{00000000-0005-0000-0000-00008D060000}"/>
    <cellStyle name="Normal 3 36" xfId="1457" xr:uid="{00000000-0005-0000-0000-00008E060000}"/>
    <cellStyle name="Normal 3 37" xfId="1458" xr:uid="{00000000-0005-0000-0000-00008F060000}"/>
    <cellStyle name="Normal 3 38" xfId="1459" xr:uid="{00000000-0005-0000-0000-000090060000}"/>
    <cellStyle name="Normal 3 39" xfId="1460" xr:uid="{00000000-0005-0000-0000-000091060000}"/>
    <cellStyle name="Normal 3 4" xfId="1461" xr:uid="{00000000-0005-0000-0000-000092060000}"/>
    <cellStyle name="Normal 3 40" xfId="1462" xr:uid="{00000000-0005-0000-0000-000093060000}"/>
    <cellStyle name="Normal 3 41" xfId="1463" xr:uid="{00000000-0005-0000-0000-000094060000}"/>
    <cellStyle name="Normal 3 42" xfId="1464" xr:uid="{00000000-0005-0000-0000-000095060000}"/>
    <cellStyle name="Normal 3 43" xfId="1465" xr:uid="{00000000-0005-0000-0000-000096060000}"/>
    <cellStyle name="Normal 3 44" xfId="1466" xr:uid="{00000000-0005-0000-0000-000097060000}"/>
    <cellStyle name="Normal 3 45" xfId="1467" xr:uid="{00000000-0005-0000-0000-000098060000}"/>
    <cellStyle name="Normal 3 46" xfId="1468" xr:uid="{00000000-0005-0000-0000-000099060000}"/>
    <cellStyle name="Normal 3 47" xfId="1469" xr:uid="{00000000-0005-0000-0000-00009A060000}"/>
    <cellStyle name="Normal 3 48" xfId="1470" xr:uid="{00000000-0005-0000-0000-00009B060000}"/>
    <cellStyle name="Normal 3 49" xfId="1471" xr:uid="{00000000-0005-0000-0000-00009C060000}"/>
    <cellStyle name="Normal 3 5" xfId="1472" xr:uid="{00000000-0005-0000-0000-00009D060000}"/>
    <cellStyle name="Normal 3 50" xfId="1473" xr:uid="{00000000-0005-0000-0000-00009E060000}"/>
    <cellStyle name="Normal 3 51" xfId="1474" xr:uid="{00000000-0005-0000-0000-00009F060000}"/>
    <cellStyle name="Normal 3 52" xfId="1475" xr:uid="{00000000-0005-0000-0000-0000A0060000}"/>
    <cellStyle name="Normal 3 53" xfId="1476" xr:uid="{00000000-0005-0000-0000-0000A1060000}"/>
    <cellStyle name="Normal 3 54" xfId="1477" xr:uid="{00000000-0005-0000-0000-0000A2060000}"/>
    <cellStyle name="Normal 3 55" xfId="1478" xr:uid="{00000000-0005-0000-0000-0000A3060000}"/>
    <cellStyle name="Normal 3 56" xfId="1479" xr:uid="{00000000-0005-0000-0000-0000A4060000}"/>
    <cellStyle name="Normal 3 57" xfId="1480" xr:uid="{00000000-0005-0000-0000-0000A5060000}"/>
    <cellStyle name="Normal 3 58" xfId="2067" xr:uid="{00000000-0005-0000-0000-0000A6060000}"/>
    <cellStyle name="Normal 3 58 2" xfId="3192" xr:uid="{41603FB2-3E26-47D7-BFF6-D6BCC1BB2A0F}"/>
    <cellStyle name="Normal 3 6" xfId="1481" xr:uid="{00000000-0005-0000-0000-0000A7060000}"/>
    <cellStyle name="Normal 3 7" xfId="1482" xr:uid="{00000000-0005-0000-0000-0000A8060000}"/>
    <cellStyle name="Normal 3 8" xfId="1483" xr:uid="{00000000-0005-0000-0000-0000A9060000}"/>
    <cellStyle name="Normal 3 9" xfId="1484" xr:uid="{00000000-0005-0000-0000-0000AA060000}"/>
    <cellStyle name="Normal 30" xfId="1485" xr:uid="{00000000-0005-0000-0000-0000AB060000}"/>
    <cellStyle name="Normal 30 2" xfId="1486" xr:uid="{00000000-0005-0000-0000-0000AC060000}"/>
    <cellStyle name="Normal 30 2 2" xfId="2068" xr:uid="{00000000-0005-0000-0000-0000AD060000}"/>
    <cellStyle name="Normal 30 2 2 2" xfId="3193" xr:uid="{B02F891E-327A-4DB6-9C2F-E929B1EEF167}"/>
    <cellStyle name="Normal 30 2 3" xfId="2986" xr:uid="{F622903A-E2B5-48AD-88B9-5651AAC617A9}"/>
    <cellStyle name="Normal 30 3" xfId="2069" xr:uid="{00000000-0005-0000-0000-0000AE060000}"/>
    <cellStyle name="Normal 30 3 2" xfId="3194" xr:uid="{3FA1B77D-6ED3-484A-A1BD-7B81B2BA4EDD}"/>
    <cellStyle name="Normal 30 4" xfId="2985" xr:uid="{AC4E6BFA-AA3C-44AE-A705-3C725F9FFB45}"/>
    <cellStyle name="Normal 31" xfId="1487" xr:uid="{00000000-0005-0000-0000-0000AF060000}"/>
    <cellStyle name="Normal 31 2" xfId="1488" xr:uid="{00000000-0005-0000-0000-0000B0060000}"/>
    <cellStyle name="Normal 31 2 2" xfId="1489" xr:uid="{00000000-0005-0000-0000-0000B1060000}"/>
    <cellStyle name="Normal 31 2 2 2" xfId="1490" xr:uid="{00000000-0005-0000-0000-0000B2060000}"/>
    <cellStyle name="Normal 31 2 2 2 2" xfId="2990" xr:uid="{BDC94BAB-DC63-4FE7-BC54-7B8D05F1FDEF}"/>
    <cellStyle name="Normal 31 2 2 3" xfId="2989" xr:uid="{91E7C6C8-C889-44F4-9AEB-21F0060CB2D6}"/>
    <cellStyle name="Normal 31 2 3" xfId="2070" xr:uid="{00000000-0005-0000-0000-0000B3060000}"/>
    <cellStyle name="Normal 31 2 3 2" xfId="3195" xr:uid="{0BAA7AC1-D147-44D7-9269-7C9BB5A35356}"/>
    <cellStyle name="Normal 31 2 4" xfId="2988" xr:uid="{96273E0B-E43B-4D96-985C-43EC199623FB}"/>
    <cellStyle name="Normal 31 3" xfId="2071" xr:uid="{00000000-0005-0000-0000-0000B4060000}"/>
    <cellStyle name="Normal 31 3 2" xfId="3196" xr:uid="{3AC48B2B-6B8D-4507-A750-997A94E2AD6D}"/>
    <cellStyle name="Normal 31 4" xfId="2987" xr:uid="{B6CEA5CA-E926-4E22-8DB7-1EA150B873DE}"/>
    <cellStyle name="Normal 32" xfId="1491" xr:uid="{00000000-0005-0000-0000-0000B5060000}"/>
    <cellStyle name="Normal 32 2" xfId="1492" xr:uid="{00000000-0005-0000-0000-0000B6060000}"/>
    <cellStyle name="Normal 32 2 2" xfId="1493" xr:uid="{00000000-0005-0000-0000-0000B7060000}"/>
    <cellStyle name="Normal 32 2 2 2" xfId="1494" xr:uid="{00000000-0005-0000-0000-0000B8060000}"/>
    <cellStyle name="Normal 32 2 2 2 2" xfId="2994" xr:uid="{A95F5279-40F5-42F4-B3CD-26E28C0A85E7}"/>
    <cellStyle name="Normal 32 2 2 3" xfId="2993" xr:uid="{9717E93A-806D-4B4C-863C-93F4D3567E6B}"/>
    <cellStyle name="Normal 32 2 3" xfId="2072" xr:uid="{00000000-0005-0000-0000-0000B9060000}"/>
    <cellStyle name="Normal 32 2 3 2" xfId="3197" xr:uid="{E8643EC8-B6C9-4B42-B65D-723E22D9EE20}"/>
    <cellStyle name="Normal 32 2 4" xfId="2992" xr:uid="{2AC8ABCA-971B-4DF7-804C-99D2EB011D6B}"/>
    <cellStyle name="Normal 32 3" xfId="2073" xr:uid="{00000000-0005-0000-0000-0000BA060000}"/>
    <cellStyle name="Normal 32 3 2" xfId="3198" xr:uid="{D94D340E-E7C8-48F4-B237-64369BCA7E10}"/>
    <cellStyle name="Normal 32 4" xfId="2991" xr:uid="{93623763-DA21-427F-AE0E-DF9B469B2661}"/>
    <cellStyle name="Normal 33" xfId="1495" xr:uid="{00000000-0005-0000-0000-0000BB060000}"/>
    <cellStyle name="Normal 33 2" xfId="1496" xr:uid="{00000000-0005-0000-0000-0000BC060000}"/>
    <cellStyle name="Normal 33 2 2" xfId="2074" xr:uid="{00000000-0005-0000-0000-0000BD060000}"/>
    <cellStyle name="Normal 33 2 2 2" xfId="3199" xr:uid="{0B81C800-8901-4B4B-B008-5F0F28309DCB}"/>
    <cellStyle name="Normal 33 2 3" xfId="2996" xr:uid="{997B9D6E-ACD5-4338-B7C4-AE172FF745DA}"/>
    <cellStyle name="Normal 33 3" xfId="2075" xr:uid="{00000000-0005-0000-0000-0000BE060000}"/>
    <cellStyle name="Normal 33 3 2" xfId="3200" xr:uid="{7E357887-526F-47D8-911C-6AD19FF5C5BC}"/>
    <cellStyle name="Normal 33 4" xfId="2995" xr:uid="{156B2892-C3FD-49A3-A332-AB2CD11E96C6}"/>
    <cellStyle name="Normal 34" xfId="1497" xr:uid="{00000000-0005-0000-0000-0000BF060000}"/>
    <cellStyle name="Normal 34 2" xfId="2076" xr:uid="{00000000-0005-0000-0000-0000C0060000}"/>
    <cellStyle name="Normal 34 2 2" xfId="2077" xr:uid="{00000000-0005-0000-0000-0000C1060000}"/>
    <cellStyle name="Normal 34 2 3" xfId="3201" xr:uid="{3FD5BD52-C525-4A0E-9148-D3A66C9EF4EC}"/>
    <cellStyle name="Normal 34 3" xfId="2997" xr:uid="{49770662-742D-47D6-886A-698CD82E9AD4}"/>
    <cellStyle name="Normal 35" xfId="1498" xr:uid="{00000000-0005-0000-0000-0000C2060000}"/>
    <cellStyle name="Normal 35 2" xfId="1499" xr:uid="{00000000-0005-0000-0000-0000C3060000}"/>
    <cellStyle name="Normal 35 2 2" xfId="2078" xr:uid="{00000000-0005-0000-0000-0000C4060000}"/>
    <cellStyle name="Normal 35 2 2 2" xfId="3202" xr:uid="{BEBCCC4B-B648-4BC6-B011-8E90C44F1AD6}"/>
    <cellStyle name="Normal 35 2 3" xfId="2999" xr:uid="{5B0283AB-E071-4290-8963-DB4020ADD4FC}"/>
    <cellStyle name="Normal 35 3" xfId="2079" xr:uid="{00000000-0005-0000-0000-0000C5060000}"/>
    <cellStyle name="Normal 35 3 2" xfId="3203" xr:uid="{1AFB7128-6E0F-47B3-A608-302A6E77BD48}"/>
    <cellStyle name="Normal 35 4" xfId="2998" xr:uid="{C2A94386-4259-4DB4-99BC-53D80239C0B7}"/>
    <cellStyle name="Normal 36" xfId="1500" xr:uid="{00000000-0005-0000-0000-0000C6060000}"/>
    <cellStyle name="Normal 36 2" xfId="1501" xr:uid="{00000000-0005-0000-0000-0000C7060000}"/>
    <cellStyle name="Normal 36 2 2" xfId="1502" xr:uid="{00000000-0005-0000-0000-0000C8060000}"/>
    <cellStyle name="Normal 36 2 2 2" xfId="2080" xr:uid="{00000000-0005-0000-0000-0000C9060000}"/>
    <cellStyle name="Normal 36 2 2 2 2" xfId="3204" xr:uid="{DDC46B20-EAD3-470A-94CF-B51195E5CDD2}"/>
    <cellStyle name="Normal 36 2 2 3" xfId="3002" xr:uid="{16A395EA-75DD-476B-8A30-41CCB45A6C7F}"/>
    <cellStyle name="Normal 36 2 3" xfId="2081" xr:uid="{00000000-0005-0000-0000-0000CA060000}"/>
    <cellStyle name="Normal 36 2 3 2" xfId="3205" xr:uid="{5A97D711-DEFF-4958-8236-B9D19F237A8F}"/>
    <cellStyle name="Normal 36 2 4" xfId="3001" xr:uid="{5FF6B11C-0B97-4F58-A97C-5AF102BD5F34}"/>
    <cellStyle name="Normal 36 3" xfId="2082" xr:uid="{00000000-0005-0000-0000-0000CB060000}"/>
    <cellStyle name="Normal 36 3 2" xfId="3206" xr:uid="{884CE322-1ED9-412B-8054-140736CCEA0C}"/>
    <cellStyle name="Normal 36 4" xfId="3000" xr:uid="{30FA6B56-513C-4F73-87C3-83E4607229E9}"/>
    <cellStyle name="Normal 37" xfId="1503" xr:uid="{00000000-0005-0000-0000-0000CC060000}"/>
    <cellStyle name="Normal 37 2" xfId="2083" xr:uid="{00000000-0005-0000-0000-0000CD060000}"/>
    <cellStyle name="Normal 37 2 2" xfId="2084" xr:uid="{00000000-0005-0000-0000-0000CE060000}"/>
    <cellStyle name="Normal 37 2 3" xfId="3207" xr:uid="{47A6537F-355B-4A95-88FC-CA2141050E0F}"/>
    <cellStyle name="Normal 37 3" xfId="3003" xr:uid="{AC7028D8-2A5A-4F12-ACFA-67B84B2B178B}"/>
    <cellStyle name="Normal 38" xfId="1504" xr:uid="{00000000-0005-0000-0000-0000CF060000}"/>
    <cellStyle name="Normal 38 2" xfId="2085" xr:uid="{00000000-0005-0000-0000-0000D0060000}"/>
    <cellStyle name="Normal 38 2 2" xfId="3208" xr:uid="{DF62D2F6-10B4-40BE-9DB0-886066A1CD9B}"/>
    <cellStyle name="Normal 38 3" xfId="3004" xr:uid="{4BD838E8-2273-4ABF-8C15-56970F3BC37C}"/>
    <cellStyle name="Normal 39" xfId="1505" xr:uid="{00000000-0005-0000-0000-0000D1060000}"/>
    <cellStyle name="Normal 39 2" xfId="1506" xr:uid="{00000000-0005-0000-0000-0000D2060000}"/>
    <cellStyle name="Normal 39 2 2" xfId="1507" xr:uid="{00000000-0005-0000-0000-0000D3060000}"/>
    <cellStyle name="Normal 39 2 2 2" xfId="2086" xr:uid="{00000000-0005-0000-0000-0000D4060000}"/>
    <cellStyle name="Normal 39 2 2 2 2" xfId="3209" xr:uid="{53CD81E8-43A6-4F74-AC4D-9EDE4CCCB1D3}"/>
    <cellStyle name="Normal 39 2 2 3" xfId="3007" xr:uid="{0F0B8BE9-F268-49CF-8A2D-782464E7A1A2}"/>
    <cellStyle name="Normal 39 2 3" xfId="2087" xr:uid="{00000000-0005-0000-0000-0000D5060000}"/>
    <cellStyle name="Normal 39 2 3 2" xfId="3210" xr:uid="{23D9CC9E-A563-40CB-85D2-256689286AAA}"/>
    <cellStyle name="Normal 39 2 4" xfId="3006" xr:uid="{D80AA366-1293-4327-8AA8-ADD7232F0A2E}"/>
    <cellStyle name="Normal 39 3" xfId="2088" xr:uid="{00000000-0005-0000-0000-0000D6060000}"/>
    <cellStyle name="Normal 39 3 2" xfId="3211" xr:uid="{15B82600-3AD4-467A-964E-DCE4BEBC553A}"/>
    <cellStyle name="Normal 39 4" xfId="3005" xr:uid="{135BF544-F0EA-4522-9C14-914EC5BBAFB4}"/>
    <cellStyle name="Normal 4" xfId="1508" xr:uid="{00000000-0005-0000-0000-0000D7060000}"/>
    <cellStyle name="Normal 4 2" xfId="1509" xr:uid="{00000000-0005-0000-0000-0000D8060000}"/>
    <cellStyle name="Normal 4 2 2" xfId="1510" xr:uid="{00000000-0005-0000-0000-0000D9060000}"/>
    <cellStyle name="Normal 4 2 3" xfId="3009" xr:uid="{9634C560-0F27-477D-B664-C33B75CD9DF4}"/>
    <cellStyle name="Normal 4 3" xfId="2089" xr:uid="{00000000-0005-0000-0000-0000DA060000}"/>
    <cellStyle name="Normal 4 3 2" xfId="3212" xr:uid="{2192652A-5ED3-4215-B277-098193748508}"/>
    <cellStyle name="Normal 4 4" xfId="3008" xr:uid="{44891D01-BCBE-4F06-951F-BC7449D80FBD}"/>
    <cellStyle name="Normal 40" xfId="1511" xr:uid="{00000000-0005-0000-0000-0000DB060000}"/>
    <cellStyle name="Normal 40 2" xfId="2090" xr:uid="{00000000-0005-0000-0000-0000DC060000}"/>
    <cellStyle name="Normal 40 2 2" xfId="3213" xr:uid="{8D453BE2-DE68-4D99-A59C-60EAF5E380BA}"/>
    <cellStyle name="Normal 40 3" xfId="3010" xr:uid="{0C6CB24C-C37D-487D-9722-52148A16A378}"/>
    <cellStyle name="Normal 41" xfId="1512" xr:uid="{00000000-0005-0000-0000-0000DD060000}"/>
    <cellStyle name="Normal 41 2" xfId="1513" xr:uid="{00000000-0005-0000-0000-0000DE060000}"/>
    <cellStyle name="Normal 41 2 2" xfId="1514" xr:uid="{00000000-0005-0000-0000-0000DF060000}"/>
    <cellStyle name="Normal 41 2 2 2" xfId="2091" xr:uid="{00000000-0005-0000-0000-0000E0060000}"/>
    <cellStyle name="Normal 41 2 2 2 2" xfId="3214" xr:uid="{0AB641FC-1E09-4473-AEFE-E79C82BFACBB}"/>
    <cellStyle name="Normal 41 2 2 3" xfId="3013" xr:uid="{37943EF2-8287-477F-A74C-A76BB30352D3}"/>
    <cellStyle name="Normal 41 2 3" xfId="2092" xr:uid="{00000000-0005-0000-0000-0000E1060000}"/>
    <cellStyle name="Normal 41 2 3 2" xfId="3215" xr:uid="{8A7B28B1-7415-44B6-9A16-CF6680D721BD}"/>
    <cellStyle name="Normal 41 2 4" xfId="3012" xr:uid="{2B4BB421-A0AA-454A-A035-DAD17994EEC2}"/>
    <cellStyle name="Normal 41 3" xfId="2093" xr:uid="{00000000-0005-0000-0000-0000E2060000}"/>
    <cellStyle name="Normal 41 3 2" xfId="3216" xr:uid="{DCB6A9FC-EDE2-4A2B-825D-E3CCF0C7FAD0}"/>
    <cellStyle name="Normal 41 4" xfId="3011" xr:uid="{29CCA7B1-8C24-45D7-B189-833F3E8E8F89}"/>
    <cellStyle name="Normal 42" xfId="1515" xr:uid="{00000000-0005-0000-0000-0000E3060000}"/>
    <cellStyle name="Normal 42 2" xfId="2094" xr:uid="{00000000-0005-0000-0000-0000E4060000}"/>
    <cellStyle name="Normal 42 2 2" xfId="3217" xr:uid="{C783D907-AAAF-46DE-A2BF-BFBC9EC9A932}"/>
    <cellStyle name="Normal 42 3" xfId="3014" xr:uid="{C92F18D6-710F-4E89-A310-23557DAC1C82}"/>
    <cellStyle name="Normal 43" xfId="1516" xr:uid="{00000000-0005-0000-0000-0000E5060000}"/>
    <cellStyle name="Normal 43 2" xfId="1517" xr:uid="{00000000-0005-0000-0000-0000E6060000}"/>
    <cellStyle name="Normal 43 2 2" xfId="1518" xr:uid="{00000000-0005-0000-0000-0000E7060000}"/>
    <cellStyle name="Normal 43 2 2 2" xfId="1519" xr:uid="{00000000-0005-0000-0000-0000E8060000}"/>
    <cellStyle name="Normal 43 2 2 2 2" xfId="3018" xr:uid="{4DB019B1-AFA6-4367-B556-72826B2AD856}"/>
    <cellStyle name="Normal 43 2 2 3" xfId="1950" xr:uid="{00000000-0005-0000-0000-0000E9060000}"/>
    <cellStyle name="Normal 43 2 2 3 2" xfId="3135" xr:uid="{F9532F91-9EC3-4C45-B63C-D6CF90A4A42A}"/>
    <cellStyle name="Normal 43 2 2 4" xfId="3017" xr:uid="{C8D05AA8-022A-4A0F-B9B4-BF9A6F6E0F72}"/>
    <cellStyle name="Normal 43 2 3" xfId="2095" xr:uid="{00000000-0005-0000-0000-0000EA060000}"/>
    <cellStyle name="Normal 43 2 3 2" xfId="3218" xr:uid="{5F2F34CA-CCCA-4566-B8C9-7E0357418A5C}"/>
    <cellStyle name="Normal 43 2 4" xfId="3016" xr:uid="{FD267033-07CA-482E-86E5-1340B4833406}"/>
    <cellStyle name="Normal 43 3" xfId="2096" xr:uid="{00000000-0005-0000-0000-0000EB060000}"/>
    <cellStyle name="Normal 43 3 2" xfId="3219" xr:uid="{49DC253A-23EC-4043-8247-8DD845E92A95}"/>
    <cellStyle name="Normal 43 4" xfId="3015" xr:uid="{D4D6BFC6-8191-44DC-A2BB-56FFF3058E29}"/>
    <cellStyle name="Normal 44" xfId="1520" xr:uid="{00000000-0005-0000-0000-0000EC060000}"/>
    <cellStyle name="Normal 44 2" xfId="2097" xr:uid="{00000000-0005-0000-0000-0000ED060000}"/>
    <cellStyle name="Normal 44 2 2" xfId="3220" xr:uid="{0F25F62D-EF96-40E5-91DD-FA4A8C96114E}"/>
    <cellStyle name="Normal 44 3" xfId="3019" xr:uid="{25C07931-D628-4C62-B769-9C9AAA5B16A6}"/>
    <cellStyle name="Normal 45" xfId="1521" xr:uid="{00000000-0005-0000-0000-0000EE060000}"/>
    <cellStyle name="Normal 45 2" xfId="2098" xr:uid="{00000000-0005-0000-0000-0000EF060000}"/>
    <cellStyle name="Normal 45 2 2" xfId="3221" xr:uid="{5E4AB20E-14C7-480A-89D2-C6C608B15FA4}"/>
    <cellStyle name="Normal 45 3" xfId="3020" xr:uid="{BDC33E01-9A49-4755-A234-40E23E2DF798}"/>
    <cellStyle name="Normal 46" xfId="1522" xr:uid="{00000000-0005-0000-0000-0000F0060000}"/>
    <cellStyle name="Normal 46 2" xfId="1523" xr:uid="{00000000-0005-0000-0000-0000F1060000}"/>
    <cellStyle name="Normal 46 2 2" xfId="1524" xr:uid="{00000000-0005-0000-0000-0000F2060000}"/>
    <cellStyle name="Normal 46 2 2 2" xfId="1525" xr:uid="{00000000-0005-0000-0000-0000F3060000}"/>
    <cellStyle name="Normal 46 2 2 2 2" xfId="3024" xr:uid="{4D8666D7-EA98-4297-947E-81BD9416170B}"/>
    <cellStyle name="Normal 46 2 2 3" xfId="1955" xr:uid="{00000000-0005-0000-0000-0000F4060000}"/>
    <cellStyle name="Normal 46 2 2 3 2" xfId="3140" xr:uid="{B0921C79-9565-4664-921A-58228D4E05C6}"/>
    <cellStyle name="Normal 46 2 2 4" xfId="3023" xr:uid="{39FBC9FA-4FCD-4B56-BDBF-7749CD0B8DBE}"/>
    <cellStyle name="Normal 46 2 3" xfId="2099" xr:uid="{00000000-0005-0000-0000-0000F5060000}"/>
    <cellStyle name="Normal 46 2 3 2" xfId="3222" xr:uid="{7771BD0A-6AE0-4129-B3A6-8646B5908F23}"/>
    <cellStyle name="Normal 46 2 4" xfId="3022" xr:uid="{9BE92C75-0BBD-474B-939C-BEAC4989BDA1}"/>
    <cellStyle name="Normal 46 3" xfId="2100" xr:uid="{00000000-0005-0000-0000-0000F6060000}"/>
    <cellStyle name="Normal 46 3 2" xfId="3223" xr:uid="{5F47C012-9D91-4EA2-A4B5-BC85FBC7B558}"/>
    <cellStyle name="Normal 46 4" xfId="3021" xr:uid="{9D57F1BA-DD44-4DAD-A0E6-26185855D80D}"/>
    <cellStyle name="Normal 47" xfId="1526" xr:uid="{00000000-0005-0000-0000-0000F7060000}"/>
    <cellStyle name="Normal 47 2" xfId="1527" xr:uid="{00000000-0005-0000-0000-0000F8060000}"/>
    <cellStyle name="Normal 47 2 2" xfId="1528" xr:uid="{00000000-0005-0000-0000-0000F9060000}"/>
    <cellStyle name="Normal 47 2 2 2" xfId="1529" xr:uid="{00000000-0005-0000-0000-0000FA060000}"/>
    <cellStyle name="Normal 47 2 2 2 2" xfId="3028" xr:uid="{85AEE39C-B085-41AD-924F-085CF34FF691}"/>
    <cellStyle name="Normal 47 2 2 3" xfId="1953" xr:uid="{00000000-0005-0000-0000-0000FB060000}"/>
    <cellStyle name="Normal 47 2 2 3 2" xfId="3138" xr:uid="{AC284AE9-18A6-4B3A-B977-BC2C3DC74AE4}"/>
    <cellStyle name="Normal 47 2 2 4" xfId="3027" xr:uid="{DA2409BA-B581-49B1-A2AB-C6155E7250B3}"/>
    <cellStyle name="Normal 47 2 3" xfId="2101" xr:uid="{00000000-0005-0000-0000-0000FC060000}"/>
    <cellStyle name="Normal 47 2 3 2" xfId="3224" xr:uid="{99E8B77B-FD27-4EAB-B161-2D828FB2F108}"/>
    <cellStyle name="Normal 47 2 4" xfId="3026" xr:uid="{631099B7-8423-4898-9736-6351BB82A244}"/>
    <cellStyle name="Normal 47 3" xfId="2102" xr:uid="{00000000-0005-0000-0000-0000FD060000}"/>
    <cellStyle name="Normal 47 3 2" xfId="3225" xr:uid="{FB911ABB-CAB1-4BDD-98F0-08DD8E010285}"/>
    <cellStyle name="Normal 47 4" xfId="3025" xr:uid="{6A9D4BBD-8CA7-477D-8E0C-67F471BBCA98}"/>
    <cellStyle name="Normal 48" xfId="1530" xr:uid="{00000000-0005-0000-0000-0000FE060000}"/>
    <cellStyle name="Normal 48 2" xfId="1531" xr:uid="{00000000-0005-0000-0000-0000FF060000}"/>
    <cellStyle name="Normal 48 2 2" xfId="1532" xr:uid="{00000000-0005-0000-0000-000000070000}"/>
    <cellStyle name="Normal 48 2 2 2" xfId="1533" xr:uid="{00000000-0005-0000-0000-000001070000}"/>
    <cellStyle name="Normal 48 2 2 2 2" xfId="3032" xr:uid="{7B82CA3F-5DD4-4E61-A350-48D997B99174}"/>
    <cellStyle name="Normal 48 2 2 3" xfId="3031" xr:uid="{3AF40814-4B64-4897-B3C1-7771758C30EA}"/>
    <cellStyle name="Normal 48 2 3" xfId="2103" xr:uid="{00000000-0005-0000-0000-000002070000}"/>
    <cellStyle name="Normal 48 2 3 2" xfId="3226" xr:uid="{6C33B0FD-FF82-4507-9003-F6CB7D2B2608}"/>
    <cellStyle name="Normal 48 2 4" xfId="3030" xr:uid="{6A93C280-3CC3-4B91-B766-EB3FCC261178}"/>
    <cellStyle name="Normal 48 3" xfId="2104" xr:uid="{00000000-0005-0000-0000-000003070000}"/>
    <cellStyle name="Normal 48 3 2" xfId="3227" xr:uid="{4BFF6E5E-C61E-44A2-B696-C563AD38606D}"/>
    <cellStyle name="Normal 48 4" xfId="3029" xr:uid="{8816219E-1A46-4816-B3E3-030C1184BFA8}"/>
    <cellStyle name="Normal 49" xfId="1534" xr:uid="{00000000-0005-0000-0000-000004070000}"/>
    <cellStyle name="Normal 49 2" xfId="1535" xr:uid="{00000000-0005-0000-0000-000005070000}"/>
    <cellStyle name="Normal 49 2 2" xfId="2105" xr:uid="{00000000-0005-0000-0000-000006070000}"/>
    <cellStyle name="Normal 49 2 2 2" xfId="3228" xr:uid="{61DDC9D0-2B9C-4C3B-9213-ECCD7DC49317}"/>
    <cellStyle name="Normal 49 2 3" xfId="3034" xr:uid="{93756E26-F72C-4C87-85F3-575D9FD4F817}"/>
    <cellStyle name="Normal 49 3" xfId="2106" xr:uid="{00000000-0005-0000-0000-000007070000}"/>
    <cellStyle name="Normal 49 3 2" xfId="3229" xr:uid="{6D971C34-1831-49E3-A477-162266589666}"/>
    <cellStyle name="Normal 49 4" xfId="3033" xr:uid="{241D4916-5C1D-4424-9654-5AB796F201B5}"/>
    <cellStyle name="Normal 5" xfId="1536" xr:uid="{00000000-0005-0000-0000-000008070000}"/>
    <cellStyle name="Normal 5 2" xfId="2189" xr:uid="{00000000-0005-0000-0000-000009070000}"/>
    <cellStyle name="Normal 5 3" xfId="2770" xr:uid="{00000000-0005-0000-0000-00000A070000}"/>
    <cellStyle name="Normal 5 4" xfId="3035" xr:uid="{3E1054A1-B30E-4873-B0AE-E7A4970403A7}"/>
    <cellStyle name="Normal 50" xfId="1537" xr:uid="{00000000-0005-0000-0000-00000B070000}"/>
    <cellStyle name="Normal 50 2" xfId="1538" xr:uid="{00000000-0005-0000-0000-00000C070000}"/>
    <cellStyle name="Normal 50 2 2" xfId="1539" xr:uid="{00000000-0005-0000-0000-00000D070000}"/>
    <cellStyle name="Normal 50 2 2 2" xfId="2107" xr:uid="{00000000-0005-0000-0000-00000E070000}"/>
    <cellStyle name="Normal 50 2 2 2 2" xfId="3230" xr:uid="{DFCC1B16-BFDB-440D-891A-BC0FF83510C6}"/>
    <cellStyle name="Normal 50 2 2 3" xfId="3038" xr:uid="{3DE0E57E-7170-4D17-94D7-F65A2F1323C8}"/>
    <cellStyle name="Normal 50 2 3" xfId="2108" xr:uid="{00000000-0005-0000-0000-00000F070000}"/>
    <cellStyle name="Normal 50 2 3 2" xfId="3231" xr:uid="{B15551EC-F836-48DC-B191-735325444178}"/>
    <cellStyle name="Normal 50 2 4" xfId="3037" xr:uid="{9AF0A206-DF40-4C03-A2CF-8421A0385BDC}"/>
    <cellStyle name="Normal 50 3" xfId="2109" xr:uid="{00000000-0005-0000-0000-000010070000}"/>
    <cellStyle name="Normal 50 3 2" xfId="3232" xr:uid="{D15B02BF-7E11-432C-8869-538D6437234F}"/>
    <cellStyle name="Normal 50 4" xfId="3036" xr:uid="{B3B20E8E-C961-472E-8D8C-E8C4B9A3D810}"/>
    <cellStyle name="Normal 51" xfId="1540" xr:uid="{00000000-0005-0000-0000-000011070000}"/>
    <cellStyle name="Normal 51 2" xfId="1541" xr:uid="{00000000-0005-0000-0000-000012070000}"/>
    <cellStyle name="Normal 51 2 2" xfId="2110" xr:uid="{00000000-0005-0000-0000-000013070000}"/>
    <cellStyle name="Normal 51 2 2 2" xfId="3233" xr:uid="{DA5BD368-1F07-482A-8788-E13551EA7FBA}"/>
    <cellStyle name="Normal 51 2 3" xfId="3040" xr:uid="{C30130F3-6774-4F9F-B295-0578CFC92947}"/>
    <cellStyle name="Normal 51 3" xfId="2111" xr:uid="{00000000-0005-0000-0000-000014070000}"/>
    <cellStyle name="Normal 51 3 2" xfId="3234" xr:uid="{76AEA0D2-347A-44DB-A21E-34D8BA5E7587}"/>
    <cellStyle name="Normal 51 4" xfId="3039" xr:uid="{E038379A-2B7D-40C7-810A-6E1FBFD617AC}"/>
    <cellStyle name="Normal 52" xfId="1542" xr:uid="{00000000-0005-0000-0000-000015070000}"/>
    <cellStyle name="Normal 52 2" xfId="1543" xr:uid="{00000000-0005-0000-0000-000016070000}"/>
    <cellStyle name="Normal 52 2 2" xfId="1544" xr:uid="{00000000-0005-0000-0000-000017070000}"/>
    <cellStyle name="Normal 52 2 2 2" xfId="2112" xr:uid="{00000000-0005-0000-0000-000018070000}"/>
    <cellStyle name="Normal 52 2 2 2 2" xfId="3235" xr:uid="{5C7B1101-98D3-4240-832E-B5D42A49D73A}"/>
    <cellStyle name="Normal 52 2 2 3" xfId="3043" xr:uid="{37EE3097-66A1-43E9-9F64-7C9FC10FAFAC}"/>
    <cellStyle name="Normal 52 2 3" xfId="2113" xr:uid="{00000000-0005-0000-0000-000019070000}"/>
    <cellStyle name="Normal 52 2 3 2" xfId="3236" xr:uid="{0075DB0C-DF9C-41A0-AA0D-CB04F98D3195}"/>
    <cellStyle name="Normal 52 2 4" xfId="3042" xr:uid="{8CC4CD80-E643-4862-863E-92868AFBF64C}"/>
    <cellStyle name="Normal 52 3" xfId="2114" xr:uid="{00000000-0005-0000-0000-00001A070000}"/>
    <cellStyle name="Normal 52 3 2" xfId="3237" xr:uid="{0C187B47-C57B-4640-A561-AC7629E0463D}"/>
    <cellStyle name="Normal 52 4" xfId="3041" xr:uid="{499CF95E-618D-49E6-B9AF-AD933D5D8983}"/>
    <cellStyle name="Normal 53" xfId="1545" xr:uid="{00000000-0005-0000-0000-00001B070000}"/>
    <cellStyle name="Normal 53 2" xfId="1546" xr:uid="{00000000-0005-0000-0000-00001C070000}"/>
    <cellStyle name="Normal 53 2 2" xfId="1547" xr:uid="{00000000-0005-0000-0000-00001D070000}"/>
    <cellStyle name="Normal 53 2 2 2" xfId="2115" xr:uid="{00000000-0005-0000-0000-00001E070000}"/>
    <cellStyle name="Normal 53 2 2 2 2" xfId="3238" xr:uid="{57F97634-C10A-4B86-A7DE-D5C4C8B2CD14}"/>
    <cellStyle name="Normal 53 2 2 3" xfId="3046" xr:uid="{4CEB6192-B410-4F25-8F00-6708FAC8D6FE}"/>
    <cellStyle name="Normal 53 2 3" xfId="2116" xr:uid="{00000000-0005-0000-0000-00001F070000}"/>
    <cellStyle name="Normal 53 2 3 2" xfId="3239" xr:uid="{F3B63753-D1EA-435D-BA26-5233CA545407}"/>
    <cellStyle name="Normal 53 2 4" xfId="3045" xr:uid="{06E54F15-15D6-4A31-B1D2-CE02AB91F63B}"/>
    <cellStyle name="Normal 53 3" xfId="2117" xr:uid="{00000000-0005-0000-0000-000020070000}"/>
    <cellStyle name="Normal 53 3 2" xfId="3240" xr:uid="{0E38C5D4-C3C3-4131-82DC-BEFEA8687BD2}"/>
    <cellStyle name="Normal 53 4" xfId="3044" xr:uid="{BDCA97EA-FA50-4AC7-9D40-BD4238A93C0F}"/>
    <cellStyle name="Normal 54" xfId="1548" xr:uid="{00000000-0005-0000-0000-000021070000}"/>
    <cellStyle name="Normal 54 2" xfId="1549" xr:uid="{00000000-0005-0000-0000-000022070000}"/>
    <cellStyle name="Normal 54 2 2" xfId="2118" xr:uid="{00000000-0005-0000-0000-000023070000}"/>
    <cellStyle name="Normal 54 2 2 2" xfId="3241" xr:uid="{569D4445-6E2C-44E2-9DAF-4E6555ED461B}"/>
    <cellStyle name="Normal 54 2 3" xfId="3048" xr:uid="{A5CED190-B3CA-4712-8EBE-E6E76CCCBEE1}"/>
    <cellStyle name="Normal 54 3" xfId="2119" xr:uid="{00000000-0005-0000-0000-000024070000}"/>
    <cellStyle name="Normal 54 3 2" xfId="3242" xr:uid="{6C144AA1-7294-42A5-911A-C995D5C9A0D2}"/>
    <cellStyle name="Normal 54 4" xfId="3047" xr:uid="{D259A0CC-FCD8-46C5-AA10-EB0E7AE56CC3}"/>
    <cellStyle name="Normal 55" xfId="1550" xr:uid="{00000000-0005-0000-0000-000025070000}"/>
    <cellStyle name="Normal 55 2" xfId="1551" xr:uid="{00000000-0005-0000-0000-000026070000}"/>
    <cellStyle name="Normal 55 2 2" xfId="1552" xr:uid="{00000000-0005-0000-0000-000027070000}"/>
    <cellStyle name="Normal 55 2 2 2" xfId="1553" xr:uid="{00000000-0005-0000-0000-000028070000}"/>
    <cellStyle name="Normal 55 2 2 2 2" xfId="3052" xr:uid="{38D374F0-E559-4F7B-99E8-BF4D783A4933}"/>
    <cellStyle name="Normal 55 2 2 3" xfId="3051" xr:uid="{CF976093-F0A2-4E5C-AF31-EE37A137A004}"/>
    <cellStyle name="Normal 55 2 3" xfId="2120" xr:uid="{00000000-0005-0000-0000-000029070000}"/>
    <cellStyle name="Normal 55 2 3 2" xfId="3243" xr:uid="{6A291DF2-7E44-483F-985A-045CFA4A7CEA}"/>
    <cellStyle name="Normal 55 2 4" xfId="3050" xr:uid="{09D88874-EF6D-4710-A5C5-A23CB786533E}"/>
    <cellStyle name="Normal 55 3" xfId="2121" xr:uid="{00000000-0005-0000-0000-00002A070000}"/>
    <cellStyle name="Normal 55 3 2" xfId="3244" xr:uid="{F6B5EF75-A222-4EF1-B976-0328E74D27E4}"/>
    <cellStyle name="Normal 55 4" xfId="3049" xr:uid="{A3182A55-7BA0-454C-A97D-CF7F417C8CA2}"/>
    <cellStyle name="Normal 56" xfId="1554" xr:uid="{00000000-0005-0000-0000-00002B070000}"/>
    <cellStyle name="Normal 56 2" xfId="1555" xr:uid="{00000000-0005-0000-0000-00002C070000}"/>
    <cellStyle name="Normal 56 2 2" xfId="1556" xr:uid="{00000000-0005-0000-0000-00002D070000}"/>
    <cellStyle name="Normal 56 2 2 2" xfId="1557" xr:uid="{00000000-0005-0000-0000-00002E070000}"/>
    <cellStyle name="Normal 56 2 2 2 2" xfId="3056" xr:uid="{3EE2738C-B24E-45A6-87FA-754A67BE69A0}"/>
    <cellStyle name="Normal 56 2 2 3" xfId="3055" xr:uid="{EE6841E1-B12F-464E-BCFD-0E871A31D2D5}"/>
    <cellStyle name="Normal 56 2 3" xfId="2122" xr:uid="{00000000-0005-0000-0000-00002F070000}"/>
    <cellStyle name="Normal 56 2 3 2" xfId="3245" xr:uid="{A50023F1-0A85-4A1D-8DA8-43ABD2CDDE77}"/>
    <cellStyle name="Normal 56 2 4" xfId="3054" xr:uid="{96C82FA6-7FB6-433F-ACA4-13608720C331}"/>
    <cellStyle name="Normal 56 3" xfId="2123" xr:uid="{00000000-0005-0000-0000-000030070000}"/>
    <cellStyle name="Normal 56 3 2" xfId="3246" xr:uid="{71C0D3D5-44F9-47D1-8AE3-D719B2119010}"/>
    <cellStyle name="Normal 56 4" xfId="3053" xr:uid="{FE522059-6603-4AF1-AA1A-B1ADBB355767}"/>
    <cellStyle name="Normal 57" xfId="1558" xr:uid="{00000000-0005-0000-0000-000031070000}"/>
    <cellStyle name="Normal 57 2" xfId="1559" xr:uid="{00000000-0005-0000-0000-000032070000}"/>
    <cellStyle name="Normal 57 2 2" xfId="1560" xr:uid="{00000000-0005-0000-0000-000033070000}"/>
    <cellStyle name="Normal 57 2 2 2" xfId="2124" xr:uid="{00000000-0005-0000-0000-000034070000}"/>
    <cellStyle name="Normal 57 2 2 2 2" xfId="3247" xr:uid="{5665139A-686E-4925-9723-E10B76540158}"/>
    <cellStyle name="Normal 57 2 2 3" xfId="3059" xr:uid="{5B047679-A210-4067-AC0F-A39984F79E1A}"/>
    <cellStyle name="Normal 57 2 3" xfId="2125" xr:uid="{00000000-0005-0000-0000-000035070000}"/>
    <cellStyle name="Normal 57 2 3 2" xfId="3248" xr:uid="{D71A8CA3-E675-4B73-9F3F-A1694E2692A1}"/>
    <cellStyle name="Normal 57 2 4" xfId="3058" xr:uid="{739C8119-1BA2-41DE-BBD7-9C48AC7DFCB2}"/>
    <cellStyle name="Normal 57 3" xfId="2126" xr:uid="{00000000-0005-0000-0000-000036070000}"/>
    <cellStyle name="Normal 57 3 2" xfId="3249" xr:uid="{4D7276BF-2124-4335-8C6F-294CD356E118}"/>
    <cellStyle name="Normal 57 4" xfId="3057" xr:uid="{07C81024-D39F-4EA4-9045-CEE636DF2224}"/>
    <cellStyle name="Normal 58" xfId="1561" xr:uid="{00000000-0005-0000-0000-000037070000}"/>
    <cellStyle name="Normal 58 2" xfId="2127" xr:uid="{00000000-0005-0000-0000-000038070000}"/>
    <cellStyle name="Normal 58 2 2" xfId="3250" xr:uid="{F7D32E08-8B9B-4F86-8402-57ED76F12210}"/>
    <cellStyle name="Normal 58 3" xfId="3060" xr:uid="{2CE6E3CB-125B-41C5-A391-DC97E1E2AAA3}"/>
    <cellStyle name="Normal 59" xfId="1562" xr:uid="{00000000-0005-0000-0000-000039070000}"/>
    <cellStyle name="Normal 59 2" xfId="2128" xr:uid="{00000000-0005-0000-0000-00003A070000}"/>
    <cellStyle name="Normal 59 2 2" xfId="3251" xr:uid="{06BA5B06-8944-4BBB-917D-3BED14F11364}"/>
    <cellStyle name="Normal 59 3" xfId="3061" xr:uid="{035A8276-BB62-4B30-BD86-219C1169D313}"/>
    <cellStyle name="Normal 6" xfId="1563" xr:uid="{00000000-0005-0000-0000-00003B070000}"/>
    <cellStyle name="Normal 6 2" xfId="2129" xr:uid="{00000000-0005-0000-0000-00003C070000}"/>
    <cellStyle name="Normal 6 2 2" xfId="3252" xr:uid="{F1182348-C045-4475-A3AC-02C4E351471A}"/>
    <cellStyle name="Normal 6 3" xfId="3062" xr:uid="{28D846E2-F1D0-4000-B8FB-6CEE3F13E33C}"/>
    <cellStyle name="Normal 60" xfId="1564" xr:uid="{00000000-0005-0000-0000-00003D070000}"/>
    <cellStyle name="Normal 60 2" xfId="2130" xr:uid="{00000000-0005-0000-0000-00003E070000}"/>
    <cellStyle name="Normal 60 2 2" xfId="3253" xr:uid="{BFADCD60-0192-4EB5-91B0-CFCD7117E040}"/>
    <cellStyle name="Normal 60 3" xfId="3063" xr:uid="{419608F8-1EB5-4C0F-B397-74139F8C8029}"/>
    <cellStyle name="Normal 61" xfId="1565" xr:uid="{00000000-0005-0000-0000-00003F070000}"/>
    <cellStyle name="Normal 61 2" xfId="1566" xr:uid="{00000000-0005-0000-0000-000040070000}"/>
    <cellStyle name="Normal 61 2 2" xfId="3065" xr:uid="{29AF4AB2-3785-4FE2-AFFC-67F09CC351E3}"/>
    <cellStyle name="Normal 61 3" xfId="3064" xr:uid="{5F2F9451-E1B5-4F67-947F-87575A776F49}"/>
    <cellStyle name="Normal 62" xfId="1567" xr:uid="{00000000-0005-0000-0000-000041070000}"/>
    <cellStyle name="Normal 62 2" xfId="2131" xr:uid="{00000000-0005-0000-0000-000042070000}"/>
    <cellStyle name="Normal 62 2 2" xfId="3254" xr:uid="{07EA1DB8-4771-4BCA-9766-91BAA75CDA1A}"/>
    <cellStyle name="Normal 62 3" xfId="3066" xr:uid="{3AC6F317-5132-4764-8E50-46C71D121282}"/>
    <cellStyle name="Normal 63" xfId="1568" xr:uid="{00000000-0005-0000-0000-000043070000}"/>
    <cellStyle name="Normal 63 2" xfId="2132" xr:uid="{00000000-0005-0000-0000-000044070000}"/>
    <cellStyle name="Normal 63 2 2" xfId="3255" xr:uid="{45B8C4EA-A570-4C98-A2D7-41BCEEC03201}"/>
    <cellStyle name="Normal 63 3" xfId="3067" xr:uid="{44351BA8-A061-474B-AE67-EF11BAECC93C}"/>
    <cellStyle name="Normal 64" xfId="1569" xr:uid="{00000000-0005-0000-0000-000045070000}"/>
    <cellStyle name="Normal 64 2" xfId="2133" xr:uid="{00000000-0005-0000-0000-000046070000}"/>
    <cellStyle name="Normal 64 2 2" xfId="3256" xr:uid="{BA941A6B-9746-497A-BEC5-84EAD24A9717}"/>
    <cellStyle name="Normal 64 3" xfId="3068" xr:uid="{EDED6F6D-F6E3-4A87-97CD-48509B868630}"/>
    <cellStyle name="Normal 65" xfId="1570" xr:uid="{00000000-0005-0000-0000-000047070000}"/>
    <cellStyle name="Normal 65 2" xfId="2134" xr:uid="{00000000-0005-0000-0000-000048070000}"/>
    <cellStyle name="Normal 65 2 2" xfId="2135" xr:uid="{00000000-0005-0000-0000-000049070000}"/>
    <cellStyle name="Normal 65 2 3" xfId="3257" xr:uid="{EADB3DE2-236E-41EA-83A8-8CAA8899A4E2}"/>
    <cellStyle name="Normal 65 3" xfId="3069" xr:uid="{A59AC354-9629-4CC7-B673-704F148B3107}"/>
    <cellStyle name="Normal 66" xfId="1571" xr:uid="{00000000-0005-0000-0000-00004A070000}"/>
    <cellStyle name="Normal 66 2" xfId="2136" xr:uid="{00000000-0005-0000-0000-00004B070000}"/>
    <cellStyle name="Normal 66 2 2" xfId="3258" xr:uid="{E8472FE3-140A-437C-ABA1-34BFD95774DE}"/>
    <cellStyle name="Normal 66 3" xfId="3070" xr:uid="{AA3B3939-C837-4F0B-990C-D11FEB230E84}"/>
    <cellStyle name="Normal 67" xfId="1572" xr:uid="{00000000-0005-0000-0000-00004C070000}"/>
    <cellStyle name="Normal 67 2" xfId="2137" xr:uid="{00000000-0005-0000-0000-00004D070000}"/>
    <cellStyle name="Normal 67 2 2" xfId="3259" xr:uid="{1EEAFE50-5FC5-4DC5-BD0E-5A6E4124A0AD}"/>
    <cellStyle name="Normal 67 3" xfId="3071" xr:uid="{8D279A28-2AC6-45E3-80DB-8C38591302BF}"/>
    <cellStyle name="Normal 68" xfId="1573" xr:uid="{00000000-0005-0000-0000-00004E070000}"/>
    <cellStyle name="Normal 68 2" xfId="2138" xr:uid="{00000000-0005-0000-0000-00004F070000}"/>
    <cellStyle name="Normal 68 2 2" xfId="3260" xr:uid="{272850AD-1648-4D76-81AE-922A3F67B3C4}"/>
    <cellStyle name="Normal 68 3" xfId="3072" xr:uid="{FF5E5641-47EF-4E2E-B229-761FE0BA7856}"/>
    <cellStyle name="Normal 69" xfId="1574" xr:uid="{00000000-0005-0000-0000-000050070000}"/>
    <cellStyle name="Normal 69 2" xfId="2139" xr:uid="{00000000-0005-0000-0000-000051070000}"/>
    <cellStyle name="Normal 69 2 2" xfId="3261" xr:uid="{E125D877-23B6-4530-B779-FBC60EE51B22}"/>
    <cellStyle name="Normal 69 3" xfId="3073" xr:uid="{175E8EB0-EBC7-4919-A79E-67F970CCBFD3}"/>
    <cellStyle name="Normal 7" xfId="1575" xr:uid="{00000000-0005-0000-0000-000052070000}"/>
    <cellStyle name="Normal 7 2" xfId="2140" xr:uid="{00000000-0005-0000-0000-000053070000}"/>
    <cellStyle name="Normal 7 2 2" xfId="3262" xr:uid="{C48D66D9-AF1C-442E-BA44-D42A597DEA1D}"/>
    <cellStyle name="Normal 7 3" xfId="3074" xr:uid="{D03670ED-83B7-4374-A462-87A2F5C43603}"/>
    <cellStyle name="Normal 70" xfId="1576" xr:uid="{00000000-0005-0000-0000-000054070000}"/>
    <cellStyle name="Normal 70 2" xfId="2141" xr:uid="{00000000-0005-0000-0000-000055070000}"/>
    <cellStyle name="Normal 70 2 2" xfId="3263" xr:uid="{FADD8F24-4359-45DF-B3E1-5D86F9A60049}"/>
    <cellStyle name="Normal 70 3" xfId="3075" xr:uid="{CFA687CB-0DDC-4098-A191-740F7B737624}"/>
    <cellStyle name="Normal 71" xfId="1577" xr:uid="{00000000-0005-0000-0000-000056070000}"/>
    <cellStyle name="Normal 71 2" xfId="1945" xr:uid="{00000000-0005-0000-0000-000057070000}"/>
    <cellStyle name="Normal 71 2 2" xfId="3130" xr:uid="{F4B8F1EC-8294-4A3E-B431-B36FF8966395}"/>
    <cellStyle name="Normal 71 3" xfId="3076" xr:uid="{082DF719-0CE8-4CDF-B9FC-1589CEA50632}"/>
    <cellStyle name="Normal 72" xfId="1578" xr:uid="{00000000-0005-0000-0000-000058070000}"/>
    <cellStyle name="Normal 72 2" xfId="1946" xr:uid="{00000000-0005-0000-0000-000059070000}"/>
    <cellStyle name="Normal 72 2 2" xfId="3131" xr:uid="{4F9343C7-0CB4-44C9-A2A4-5E2FB80F740F}"/>
    <cellStyle name="Normal 72 3" xfId="3077" xr:uid="{B28C0828-5D79-4CB5-A48A-0FE22CA86CAA}"/>
    <cellStyle name="Normal 73" xfId="1940" xr:uid="{00000000-0005-0000-0000-00005A070000}"/>
    <cellStyle name="Normal 73 2" xfId="2142" xr:uid="{00000000-0005-0000-0000-00005B070000}"/>
    <cellStyle name="Normal 73 2 2" xfId="3359" xr:uid="{8AC41D9C-F783-412F-8A6D-142E15EBD530}"/>
    <cellStyle name="Normal 73 2 3" xfId="3264" xr:uid="{6809311A-CE2C-4BFB-A8A5-78D3E378C64E}"/>
    <cellStyle name="Normal 73 3" xfId="3354" xr:uid="{F6FF7DB9-6909-4304-B72D-1033745ABF85}"/>
    <cellStyle name="Normal 74" xfId="1579" xr:uid="{00000000-0005-0000-0000-00005C070000}"/>
    <cellStyle name="Normal 74 2" xfId="2143" xr:uid="{00000000-0005-0000-0000-00005D070000}"/>
    <cellStyle name="Normal 74 2 2" xfId="3265" xr:uid="{1EC0998D-3E47-48ED-BB27-B99A55714E8B}"/>
    <cellStyle name="Normal 74 3" xfId="3078" xr:uid="{5986EB14-6F71-40D1-BB64-63C18F1985C0}"/>
    <cellStyle name="Normal 75" xfId="1580" xr:uid="{00000000-0005-0000-0000-00005E070000}"/>
    <cellStyle name="Normal 75 2" xfId="2144" xr:uid="{00000000-0005-0000-0000-00005F070000}"/>
    <cellStyle name="Normal 75 2 2" xfId="3266" xr:uid="{D7B340B9-0151-4C9E-B425-2A724BF3F202}"/>
    <cellStyle name="Normal 75 3" xfId="3079" xr:uid="{9B2ED2F2-65EE-4B92-B711-CFD135C97ED6}"/>
    <cellStyle name="Normal 76" xfId="1581" xr:uid="{00000000-0005-0000-0000-000060070000}"/>
    <cellStyle name="Normal 76 2" xfId="2145" xr:uid="{00000000-0005-0000-0000-000061070000}"/>
    <cellStyle name="Normal 76 2 2" xfId="3267" xr:uid="{7A7DADF3-0D82-4B81-8991-8FB3CC7576DC}"/>
    <cellStyle name="Normal 76 3" xfId="3080" xr:uid="{E5D75D38-DC0C-48C6-9A78-9CB2319C1AE2}"/>
    <cellStyle name="Normal 77" xfId="1582" xr:uid="{00000000-0005-0000-0000-000062070000}"/>
    <cellStyle name="Normal 77 2" xfId="2146" xr:uid="{00000000-0005-0000-0000-000063070000}"/>
    <cellStyle name="Normal 77 2 2" xfId="3268" xr:uid="{4DB6BB38-FDCD-4F50-9264-226045DDA1A8}"/>
    <cellStyle name="Normal 77 3" xfId="3081" xr:uid="{FEF42B40-6514-4EFC-9B33-DEE026234439}"/>
    <cellStyle name="Normal 78" xfId="1583" xr:uid="{00000000-0005-0000-0000-000064070000}"/>
    <cellStyle name="Normal 78 2" xfId="2147" xr:uid="{00000000-0005-0000-0000-000065070000}"/>
    <cellStyle name="Normal 78 2 2" xfId="3269" xr:uid="{AC4147C6-56DF-4A39-9E9B-754A17480176}"/>
    <cellStyle name="Normal 78 3" xfId="3082" xr:uid="{84A6D3BC-69C0-4708-8D4A-9A84AFABDEB3}"/>
    <cellStyle name="Normal 79" xfId="1584" xr:uid="{00000000-0005-0000-0000-000066070000}"/>
    <cellStyle name="Normal 79 2" xfId="2148" xr:uid="{00000000-0005-0000-0000-000067070000}"/>
    <cellStyle name="Normal 79 3" xfId="3083" xr:uid="{4610CDD4-EC89-4F03-9E46-26A3664E3910}"/>
    <cellStyle name="Normal 8" xfId="1585" xr:uid="{00000000-0005-0000-0000-000068070000}"/>
    <cellStyle name="Normal 8 2" xfId="1586" xr:uid="{00000000-0005-0000-0000-000069070000}"/>
    <cellStyle name="Normal 8 3" xfId="2149" xr:uid="{00000000-0005-0000-0000-00006A070000}"/>
    <cellStyle name="Normal 8 3 2" xfId="3270" xr:uid="{621E4BC1-87BA-46E8-8059-48533E0DFF06}"/>
    <cellStyle name="Normal 80" xfId="1587" xr:uid="{00000000-0005-0000-0000-00006B070000}"/>
    <cellStyle name="Normal 80 2" xfId="1960" xr:uid="{00000000-0005-0000-0000-00006C070000}"/>
    <cellStyle name="Normal 80 2 2" xfId="3145" xr:uid="{2A28912D-02D5-45F4-BD6C-86EEF6C74801}"/>
    <cellStyle name="Normal 80 3" xfId="3084" xr:uid="{822DDD02-1AC6-4AE3-8A4D-3B4BFA91681E}"/>
    <cellStyle name="Normal 81" xfId="2150" xr:uid="{00000000-0005-0000-0000-00006D070000}"/>
    <cellStyle name="Normal 81 2" xfId="2151" xr:uid="{00000000-0005-0000-0000-00006E070000}"/>
    <cellStyle name="Normal 81 2 2" xfId="3272" xr:uid="{986EA146-B15B-4A8F-A48C-E0EEC803854F}"/>
    <cellStyle name="Normal 81 3" xfId="3271" xr:uid="{65B5389E-4DD7-4241-B569-2EEEDC342996}"/>
    <cellStyle name="Normal 82" xfId="1588" xr:uid="{00000000-0005-0000-0000-00006F070000}"/>
    <cellStyle name="Normal 82 2" xfId="2152" xr:uid="{00000000-0005-0000-0000-000070070000}"/>
    <cellStyle name="Normal 82 2 2" xfId="3273" xr:uid="{A19E8C6E-D3E6-4B72-9F18-D6EA212DE86E}"/>
    <cellStyle name="Normal 82 3" xfId="3085" xr:uid="{34931C37-70A3-462E-85D9-DA00A61305A4}"/>
    <cellStyle name="Normal 83" xfId="1589" xr:uid="{00000000-0005-0000-0000-000071070000}"/>
    <cellStyle name="Normal 83 2" xfId="2153" xr:uid="{00000000-0005-0000-0000-000072070000}"/>
    <cellStyle name="Normal 83 2 2" xfId="3274" xr:uid="{D52B2DF4-2275-44C1-A539-5D7487757B95}"/>
    <cellStyle name="Normal 83 3" xfId="3086" xr:uid="{F52219A0-5DF4-40B3-A249-FF1FED1789F3}"/>
    <cellStyle name="Normal 84" xfId="2154" xr:uid="{00000000-0005-0000-0000-000073070000}"/>
    <cellStyle name="Normal 84 2" xfId="2155" xr:uid="{00000000-0005-0000-0000-000074070000}"/>
    <cellStyle name="Normal 84 2 2" xfId="3276" xr:uid="{052B983D-A5FE-4C62-979C-7D2DFD33ED48}"/>
    <cellStyle name="Normal 84 3" xfId="3275" xr:uid="{48AEE99B-98A2-4768-A929-BE99C2DC7E3D}"/>
    <cellStyle name="Normal 85" xfId="1590" xr:uid="{00000000-0005-0000-0000-000075070000}"/>
    <cellStyle name="Normal 85 2" xfId="2156" xr:uid="{00000000-0005-0000-0000-000076070000}"/>
    <cellStyle name="Normal 85 2 2" xfId="3277" xr:uid="{69ED9890-B2B7-42E4-8533-1271EEB942F0}"/>
    <cellStyle name="Normal 85 3" xfId="3087" xr:uid="{D3351166-F13F-4412-B07C-8B4C68FA88CC}"/>
    <cellStyle name="Normal 86" xfId="1591" xr:uid="{00000000-0005-0000-0000-000077070000}"/>
    <cellStyle name="Normal 86 2" xfId="2157" xr:uid="{00000000-0005-0000-0000-000078070000}"/>
    <cellStyle name="Normal 86 2 2" xfId="3278" xr:uid="{540E5994-A9F0-45DE-AFD2-BCE8A1FF84E2}"/>
    <cellStyle name="Normal 86 3" xfId="3088" xr:uid="{1747E229-D209-494B-B1D2-DA256828982D}"/>
    <cellStyle name="Normal 87" xfId="1592" xr:uid="{00000000-0005-0000-0000-000079070000}"/>
    <cellStyle name="Normal 87 2" xfId="2158" xr:uid="{00000000-0005-0000-0000-00007A070000}"/>
    <cellStyle name="Normal 87 2 2" xfId="3279" xr:uid="{D8608B0A-D225-4B59-8CAB-C9E1199CE6DE}"/>
    <cellStyle name="Normal 87 3" xfId="3089" xr:uid="{A5A434FC-5D79-4BDB-97A2-2D6B21B0D771}"/>
    <cellStyle name="Normal 88" xfId="1593" xr:uid="{00000000-0005-0000-0000-00007B070000}"/>
    <cellStyle name="Normal 88 2" xfId="2159" xr:uid="{00000000-0005-0000-0000-00007C070000}"/>
    <cellStyle name="Normal 88 2 2" xfId="3280" xr:uid="{8A169C5C-FF4B-4B11-AA1C-3E2CEEE206EC}"/>
    <cellStyle name="Normal 88 3" xfId="3090" xr:uid="{7A61513B-7682-4994-AA4A-8AC8E03B85FE}"/>
    <cellStyle name="Normal 89" xfId="1957" xr:uid="{00000000-0005-0000-0000-00007D070000}"/>
    <cellStyle name="Normal 89 2" xfId="2160" xr:uid="{00000000-0005-0000-0000-00007E070000}"/>
    <cellStyle name="Normal 89 2 2" xfId="3281" xr:uid="{DBFC2D45-2EBF-4BDF-8B2A-0087312E7F3B}"/>
    <cellStyle name="Normal 89 3" xfId="3142" xr:uid="{7F20B6FE-FBAA-44FE-BCB2-3D78687C6A01}"/>
    <cellStyle name="Normal 9" xfId="1594" xr:uid="{00000000-0005-0000-0000-00007F070000}"/>
    <cellStyle name="Normal 9 2" xfId="1595" xr:uid="{00000000-0005-0000-0000-000080070000}"/>
    <cellStyle name="Normal 9 2 2" xfId="2161" xr:uid="{00000000-0005-0000-0000-000081070000}"/>
    <cellStyle name="Normal 9 2 2 2" xfId="3282" xr:uid="{EC511341-B608-4478-ADFE-FF695408CD35}"/>
    <cellStyle name="Normal 9 2 3" xfId="3092" xr:uid="{5B77D9E0-7A2C-4FB2-B72C-38893BD2BD9F}"/>
    <cellStyle name="Normal 9 3" xfId="1596" xr:uid="{00000000-0005-0000-0000-000082070000}"/>
    <cellStyle name="Normal 9 3 2" xfId="2162" xr:uid="{00000000-0005-0000-0000-000083070000}"/>
    <cellStyle name="Normal 9 3 2 2" xfId="3283" xr:uid="{77EE436E-1581-4318-9842-0BFE5E519BBF}"/>
    <cellStyle name="Normal 9 3 3" xfId="3093" xr:uid="{2ABF9EAF-DE61-46F3-B732-D8EF1959F7E8}"/>
    <cellStyle name="Normal 9 4" xfId="1597" xr:uid="{00000000-0005-0000-0000-000084070000}"/>
    <cellStyle name="Normal 9 4 2" xfId="2163" xr:uid="{00000000-0005-0000-0000-000085070000}"/>
    <cellStyle name="Normal 9 4 2 2" xfId="3284" xr:uid="{88CC8FB2-FF1E-4EDD-A615-B921AA680FD8}"/>
    <cellStyle name="Normal 9 4 3" xfId="3094" xr:uid="{4BA14E07-BD39-4013-809B-EC5CA3E7B618}"/>
    <cellStyle name="Normal 9 5" xfId="2164" xr:uid="{00000000-0005-0000-0000-000086070000}"/>
    <cellStyle name="Normal 9 5 2" xfId="3285" xr:uid="{01A33E06-FD8D-41E9-B49F-6C371F9338C0}"/>
    <cellStyle name="Normal 9 6" xfId="3091" xr:uid="{BC4C3982-2D85-432A-AA64-3295CD425982}"/>
    <cellStyle name="Normal 90" xfId="1598" xr:uid="{00000000-0005-0000-0000-000087070000}"/>
    <cellStyle name="Normal 90 2" xfId="2165" xr:uid="{00000000-0005-0000-0000-000088070000}"/>
    <cellStyle name="Normal 90 2 2" xfId="3286" xr:uid="{BAFE51E9-CBC0-4363-8B58-B4F9FD6E0150}"/>
    <cellStyle name="Normal 90 3" xfId="3095" xr:uid="{16303C45-63F8-49C6-86DD-4B34F1FFF121}"/>
    <cellStyle name="Normal 91" xfId="2166" xr:uid="{00000000-0005-0000-0000-000089070000}"/>
    <cellStyle name="Normal 91 2" xfId="2167" xr:uid="{00000000-0005-0000-0000-00008A070000}"/>
    <cellStyle name="Normal 91 2 2" xfId="3288" xr:uid="{247BEB28-F43B-4ED1-B140-0F6B388883AE}"/>
    <cellStyle name="Normal 91 3" xfId="3287" xr:uid="{1E26BCE6-1155-4912-B2D6-D1159CB8B1BB}"/>
    <cellStyle name="Normal 92" xfId="1599" xr:uid="{00000000-0005-0000-0000-00008B070000}"/>
    <cellStyle name="Normal 92 2" xfId="2168" xr:uid="{00000000-0005-0000-0000-00008C070000}"/>
    <cellStyle name="Normal 92 2 2" xfId="3289" xr:uid="{6F12F99E-CE2B-4009-B9F1-A0CE265CC199}"/>
    <cellStyle name="Normal 92 3" xfId="3096" xr:uid="{7708A998-73DE-4E13-A7E2-9ED059F58B6C}"/>
    <cellStyle name="Normal 93" xfId="1600" xr:uid="{00000000-0005-0000-0000-00008D070000}"/>
    <cellStyle name="Normal 93 2" xfId="2169" xr:uid="{00000000-0005-0000-0000-00008E070000}"/>
    <cellStyle name="Normal 93 2 2" xfId="3290" xr:uid="{A24A1C55-BDD7-4BA7-A670-BF18D2A021BD}"/>
    <cellStyle name="Normal 93 3" xfId="3097" xr:uid="{0A963DFB-42D6-4670-9437-F224BEE60058}"/>
    <cellStyle name="Normal 94" xfId="1601" xr:uid="{00000000-0005-0000-0000-00008F070000}"/>
    <cellStyle name="Normal 94 2" xfId="1949" xr:uid="{00000000-0005-0000-0000-000090070000}"/>
    <cellStyle name="Normal 94 2 2" xfId="3134" xr:uid="{5009801E-422F-41B5-B620-2DC0113A351B}"/>
    <cellStyle name="Normal 94 3" xfId="3098" xr:uid="{A279EB1B-AFEB-4A30-B6B0-2DE590BAD1C3}"/>
    <cellStyle name="Normal 95" xfId="2170" xr:uid="{00000000-0005-0000-0000-000091070000}"/>
    <cellStyle name="Normal 95 2" xfId="3291" xr:uid="{B71B2BB8-EB04-47D3-BF17-0B5AC5626559}"/>
    <cellStyle name="Normal 96" xfId="2171" xr:uid="{00000000-0005-0000-0000-000092070000}"/>
    <cellStyle name="Normal 96 2" xfId="2766" xr:uid="{00000000-0005-0000-0000-000093070000}"/>
    <cellStyle name="Normal 97" xfId="1948" xr:uid="{00000000-0005-0000-0000-000094070000}"/>
    <cellStyle name="Normal 97 2" xfId="3133" xr:uid="{F79476D5-6A68-4FEF-97B3-E57992DAE6A4}"/>
    <cellStyle name="Normal 98" xfId="2172" xr:uid="{00000000-0005-0000-0000-000095070000}"/>
    <cellStyle name="Normal 98 2" xfId="3292" xr:uid="{FC7CF541-8A71-4E93-9F4A-4DAB8301A0A6}"/>
    <cellStyle name="Normal 99" xfId="2173" xr:uid="{00000000-0005-0000-0000-000096070000}"/>
    <cellStyle name="Normal 99 2" xfId="3293" xr:uid="{B1488C81-0603-407C-BD2F-8B5BC5F6051A}"/>
    <cellStyle name="Normal_FORMATO" xfId="2769" xr:uid="{00000000-0005-0000-0000-000097070000}"/>
    <cellStyle name="Normal_M y P Suministro S.E." xfId="2782" xr:uid="{00000000-0005-0000-0000-000098070000}"/>
    <cellStyle name="Normal_METRADO" xfId="2765" xr:uid="{00000000-0005-0000-0000-000099070000}"/>
    <cellStyle name="Normal_Presupuesto" xfId="1602" xr:uid="{00000000-0005-0000-0000-00009A070000}"/>
    <cellStyle name="Normal_-Presupuesto RP  Proy  1" xfId="2767" xr:uid="{00000000-0005-0000-0000-00009B070000}"/>
    <cellStyle name="Normal_presupuesto_Concepcion-LST" xfId="2197" xr:uid="{00000000-0005-0000-0000-00009C070000}"/>
    <cellStyle name="Normal_Resumen RS Grupo 3" xfId="2783" xr:uid="{00000000-0005-0000-0000-00009D070000}"/>
    <cellStyle name="Normal_Valorizacion02-FEB" xfId="1603" xr:uid="{00000000-0005-0000-0000-00009E070000}"/>
    <cellStyle name="Notas 2" xfId="2174" xr:uid="{00000000-0005-0000-0000-00009F070000}"/>
    <cellStyle name="Note" xfId="1604" xr:uid="{00000000-0005-0000-0000-0000A0070000}"/>
    <cellStyle name="Note 2" xfId="3099" xr:uid="{E9BD6FAF-02D3-4E4C-A3FB-8B6780DAB60B}"/>
    <cellStyle name="Œ…‹æØ‚è [0.00]_!!!GO" xfId="1605" xr:uid="{00000000-0005-0000-0000-0000A1070000}"/>
    <cellStyle name="Œ…‹æØ‚è_!!!GO" xfId="1606" xr:uid="{00000000-0005-0000-0000-0000A2070000}"/>
    <cellStyle name="Output" xfId="1607" xr:uid="{00000000-0005-0000-0000-0000A3070000}"/>
    <cellStyle name="per.style" xfId="1608" xr:uid="{00000000-0005-0000-0000-0000A4070000}"/>
    <cellStyle name="Percent" xfId="1609" xr:uid="{00000000-0005-0000-0000-0000A5070000}"/>
    <cellStyle name="Percent [2]" xfId="1610" xr:uid="{00000000-0005-0000-0000-0000A6070000}"/>
    <cellStyle name="Percent [2] 2" xfId="3100" xr:uid="{A527CAA4-2A76-4FE9-9DEE-97B6B610614B}"/>
    <cellStyle name="Percent_00 Valor Referencial LP-RP-RS PSE CHINCHEROS II" xfId="1611" xr:uid="{00000000-0005-0000-0000-0000A7070000}"/>
    <cellStyle name="Porcentaje" xfId="2243" xr:uid="{00000000-0005-0000-0000-0000A8070000}"/>
    <cellStyle name="PORCENTAJE 10" xfId="1612" xr:uid="{00000000-0005-0000-0000-0000A9070000}"/>
    <cellStyle name="PORCENTAJE 11" xfId="1613" xr:uid="{00000000-0005-0000-0000-0000AA070000}"/>
    <cellStyle name="PORCENTAJE 12" xfId="1614" xr:uid="{00000000-0005-0000-0000-0000AB070000}"/>
    <cellStyle name="PORCENTAJE 13" xfId="1615" xr:uid="{00000000-0005-0000-0000-0000AC070000}"/>
    <cellStyle name="PORCENTAJE 14" xfId="1616" xr:uid="{00000000-0005-0000-0000-0000AD070000}"/>
    <cellStyle name="PORCENTAJE 15" xfId="1617" xr:uid="{00000000-0005-0000-0000-0000AE070000}"/>
    <cellStyle name="PORCENTAJE 16" xfId="1618" xr:uid="{00000000-0005-0000-0000-0000AF070000}"/>
    <cellStyle name="PORCENTAJE 17" xfId="1619" xr:uid="{00000000-0005-0000-0000-0000B0070000}"/>
    <cellStyle name="PORCENTAJE 18" xfId="1620" xr:uid="{00000000-0005-0000-0000-0000B1070000}"/>
    <cellStyle name="PORCENTAJE 19" xfId="1621" xr:uid="{00000000-0005-0000-0000-0000B2070000}"/>
    <cellStyle name="PORCENTAJE 2" xfId="1622" xr:uid="{00000000-0005-0000-0000-0000B3070000}"/>
    <cellStyle name="Porcentaje 2 2" xfId="2785" xr:uid="{00000000-0005-0000-0000-0000B4070000}"/>
    <cellStyle name="PORCENTAJE 20" xfId="1623" xr:uid="{00000000-0005-0000-0000-0000B5070000}"/>
    <cellStyle name="PORCENTAJE 21" xfId="1624" xr:uid="{00000000-0005-0000-0000-0000B6070000}"/>
    <cellStyle name="PORCENTAJE 22" xfId="1625" xr:uid="{00000000-0005-0000-0000-0000B7070000}"/>
    <cellStyle name="PORCENTAJE 23" xfId="1626" xr:uid="{00000000-0005-0000-0000-0000B8070000}"/>
    <cellStyle name="PORCENTAJE 24" xfId="1627" xr:uid="{00000000-0005-0000-0000-0000B9070000}"/>
    <cellStyle name="PORCENTAJE 25" xfId="1628" xr:uid="{00000000-0005-0000-0000-0000BA070000}"/>
    <cellStyle name="PORCENTAJE 26" xfId="1629" xr:uid="{00000000-0005-0000-0000-0000BB070000}"/>
    <cellStyle name="PORCENTAJE 27" xfId="1630" xr:uid="{00000000-0005-0000-0000-0000BC070000}"/>
    <cellStyle name="PORCENTAJE 28" xfId="1631" xr:uid="{00000000-0005-0000-0000-0000BD070000}"/>
    <cellStyle name="PORCENTAJE 29" xfId="1632" xr:uid="{00000000-0005-0000-0000-0000BE070000}"/>
    <cellStyle name="PORCENTAJE 3" xfId="1633" xr:uid="{00000000-0005-0000-0000-0000BF070000}"/>
    <cellStyle name="PORCENTAJE 30" xfId="1634" xr:uid="{00000000-0005-0000-0000-0000C0070000}"/>
    <cellStyle name="PORCENTAJE 31" xfId="1635" xr:uid="{00000000-0005-0000-0000-0000C1070000}"/>
    <cellStyle name="PORCENTAJE 32" xfId="1636" xr:uid="{00000000-0005-0000-0000-0000C2070000}"/>
    <cellStyle name="PORCENTAJE 33" xfId="1637" xr:uid="{00000000-0005-0000-0000-0000C3070000}"/>
    <cellStyle name="PORCENTAJE 34" xfId="1638" xr:uid="{00000000-0005-0000-0000-0000C4070000}"/>
    <cellStyle name="PORCENTAJE 35" xfId="1639" xr:uid="{00000000-0005-0000-0000-0000C5070000}"/>
    <cellStyle name="PORCENTAJE 36" xfId="1640" xr:uid="{00000000-0005-0000-0000-0000C6070000}"/>
    <cellStyle name="PORCENTAJE 37" xfId="1641" xr:uid="{00000000-0005-0000-0000-0000C7070000}"/>
    <cellStyle name="PORCENTAJE 38" xfId="1642" xr:uid="{00000000-0005-0000-0000-0000C8070000}"/>
    <cellStyle name="PORCENTAJE 39" xfId="1643" xr:uid="{00000000-0005-0000-0000-0000C9070000}"/>
    <cellStyle name="PORCENTAJE 4" xfId="1644" xr:uid="{00000000-0005-0000-0000-0000CA070000}"/>
    <cellStyle name="PORCENTAJE 40" xfId="1645" xr:uid="{00000000-0005-0000-0000-0000CB070000}"/>
    <cellStyle name="PORCENTAJE 41" xfId="1646" xr:uid="{00000000-0005-0000-0000-0000CC070000}"/>
    <cellStyle name="PORCENTAJE 42" xfId="1647" xr:uid="{00000000-0005-0000-0000-0000CD070000}"/>
    <cellStyle name="PORCENTAJE 43" xfId="1648" xr:uid="{00000000-0005-0000-0000-0000CE070000}"/>
    <cellStyle name="PORCENTAJE 44" xfId="1649" xr:uid="{00000000-0005-0000-0000-0000CF070000}"/>
    <cellStyle name="PORCENTAJE 45" xfId="1650" xr:uid="{00000000-0005-0000-0000-0000D0070000}"/>
    <cellStyle name="PORCENTAJE 46" xfId="1651" xr:uid="{00000000-0005-0000-0000-0000D1070000}"/>
    <cellStyle name="PORCENTAJE 47" xfId="1652" xr:uid="{00000000-0005-0000-0000-0000D2070000}"/>
    <cellStyle name="PORCENTAJE 48" xfId="1653" xr:uid="{00000000-0005-0000-0000-0000D3070000}"/>
    <cellStyle name="PORCENTAJE 49" xfId="1654" xr:uid="{00000000-0005-0000-0000-0000D4070000}"/>
    <cellStyle name="PORCENTAJE 5" xfId="1655" xr:uid="{00000000-0005-0000-0000-0000D5070000}"/>
    <cellStyle name="PORCENTAJE 50" xfId="1656" xr:uid="{00000000-0005-0000-0000-0000D6070000}"/>
    <cellStyle name="PORCENTAJE 51" xfId="1657" xr:uid="{00000000-0005-0000-0000-0000D7070000}"/>
    <cellStyle name="PORCENTAJE 52" xfId="1658" xr:uid="{00000000-0005-0000-0000-0000D8070000}"/>
    <cellStyle name="PORCENTAJE 53" xfId="1659" xr:uid="{00000000-0005-0000-0000-0000D9070000}"/>
    <cellStyle name="PORCENTAJE 54" xfId="1660" xr:uid="{00000000-0005-0000-0000-0000DA070000}"/>
    <cellStyle name="PORCENTAJE 55" xfId="1661" xr:uid="{00000000-0005-0000-0000-0000DB070000}"/>
    <cellStyle name="PORCENTAJE 56" xfId="1662" xr:uid="{00000000-0005-0000-0000-0000DC070000}"/>
    <cellStyle name="PORCENTAJE 57" xfId="1663" xr:uid="{00000000-0005-0000-0000-0000DD070000}"/>
    <cellStyle name="PORCENTAJE 58" xfId="1664" xr:uid="{00000000-0005-0000-0000-0000DE070000}"/>
    <cellStyle name="PORCENTAJE 59" xfId="1665" xr:uid="{00000000-0005-0000-0000-0000DF070000}"/>
    <cellStyle name="PORCENTAJE 6" xfId="1666" xr:uid="{00000000-0005-0000-0000-0000E0070000}"/>
    <cellStyle name="PORCENTAJE 60" xfId="1667" xr:uid="{00000000-0005-0000-0000-0000E1070000}"/>
    <cellStyle name="PORCENTAJE 61" xfId="1668" xr:uid="{00000000-0005-0000-0000-0000E2070000}"/>
    <cellStyle name="PORCENTAJE 62" xfId="1669" xr:uid="{00000000-0005-0000-0000-0000E3070000}"/>
    <cellStyle name="PORCENTAJE 63" xfId="1670" xr:uid="{00000000-0005-0000-0000-0000E4070000}"/>
    <cellStyle name="PORCENTAJE 64" xfId="1671" xr:uid="{00000000-0005-0000-0000-0000E5070000}"/>
    <cellStyle name="PORCENTAJE 65" xfId="1672" xr:uid="{00000000-0005-0000-0000-0000E6070000}"/>
    <cellStyle name="PORCENTAJE 66" xfId="1673" xr:uid="{00000000-0005-0000-0000-0000E7070000}"/>
    <cellStyle name="PORCENTAJE 67" xfId="1674" xr:uid="{00000000-0005-0000-0000-0000E8070000}"/>
    <cellStyle name="PORCENTAJE 68" xfId="1675" xr:uid="{00000000-0005-0000-0000-0000E9070000}"/>
    <cellStyle name="PORCENTAJE 69" xfId="1676" xr:uid="{00000000-0005-0000-0000-0000EA070000}"/>
    <cellStyle name="PORCENTAJE 7" xfId="1677" xr:uid="{00000000-0005-0000-0000-0000EB070000}"/>
    <cellStyle name="PORCENTAJE 70" xfId="1678" xr:uid="{00000000-0005-0000-0000-0000EC070000}"/>
    <cellStyle name="PORCENTAJE 71" xfId="1679" xr:uid="{00000000-0005-0000-0000-0000ED070000}"/>
    <cellStyle name="PORCENTAJE 72" xfId="1680" xr:uid="{00000000-0005-0000-0000-0000EE070000}"/>
    <cellStyle name="PORCENTAJE 73" xfId="1681" xr:uid="{00000000-0005-0000-0000-0000EF070000}"/>
    <cellStyle name="PORCENTAJE 74" xfId="1682" xr:uid="{00000000-0005-0000-0000-0000F0070000}"/>
    <cellStyle name="PORCENTAJE 75" xfId="1683" xr:uid="{00000000-0005-0000-0000-0000F1070000}"/>
    <cellStyle name="PORCENTAJE 76" xfId="1684" xr:uid="{00000000-0005-0000-0000-0000F2070000}"/>
    <cellStyle name="Porcentaje 77" xfId="2175" xr:uid="{00000000-0005-0000-0000-0000F3070000}"/>
    <cellStyle name="Porcentaje 78" xfId="2772" xr:uid="{00000000-0005-0000-0000-0000F4070000}"/>
    <cellStyle name="Porcentaje 78 2" xfId="3348" xr:uid="{7CFB65A0-1BE1-4391-AA3E-C708F0049FF4}"/>
    <cellStyle name="Porcentaje 79" xfId="3345" xr:uid="{088D4C0A-3A35-4818-9536-BCD2A166EB7A}"/>
    <cellStyle name="PORCENTAJE 8" xfId="1685" xr:uid="{00000000-0005-0000-0000-0000F5070000}"/>
    <cellStyle name="PORCENTAJE 9" xfId="1686" xr:uid="{00000000-0005-0000-0000-0000F6070000}"/>
    <cellStyle name="Porcentaje_METRADO CACI X- B BT" xfId="1687" xr:uid="{00000000-0005-0000-0000-0000F7070000}"/>
    <cellStyle name="Porcentual 10" xfId="1688" xr:uid="{00000000-0005-0000-0000-0000F8070000}"/>
    <cellStyle name="Porcentual 10 2" xfId="1689" xr:uid="{00000000-0005-0000-0000-0000F9070000}"/>
    <cellStyle name="Porcentual 10 2 2" xfId="3102" xr:uid="{FE45AF1F-B6D8-46E1-AC49-A40B7F710757}"/>
    <cellStyle name="Porcentual 10 3" xfId="3101" xr:uid="{43BD45FC-93B6-41B8-ACBE-E94A383DD106}"/>
    <cellStyle name="Porcentual 11" xfId="1690" xr:uid="{00000000-0005-0000-0000-0000FA070000}"/>
    <cellStyle name="Porcentual 11 2" xfId="3103" xr:uid="{E7CECAC9-5D3A-425F-BCC1-B1FC1D720D87}"/>
    <cellStyle name="Porcentual 12" xfId="1691" xr:uid="{00000000-0005-0000-0000-0000FB070000}"/>
    <cellStyle name="Porcentual 12 2" xfId="3104" xr:uid="{158C521B-A1A4-41A8-A6C6-186340F09DF9}"/>
    <cellStyle name="Porcentual 13" xfId="1692" xr:uid="{00000000-0005-0000-0000-0000FC070000}"/>
    <cellStyle name="Porcentual 13 2" xfId="3105" xr:uid="{4D9CCC34-9AD2-4FAE-BF9D-BAF2A9F0A3E5}"/>
    <cellStyle name="Porcentual 14" xfId="1693" xr:uid="{00000000-0005-0000-0000-0000FD070000}"/>
    <cellStyle name="Porcentual 14 2" xfId="3106" xr:uid="{38469416-781D-479E-BA3F-EBEE5F52E36A}"/>
    <cellStyle name="Porcentual 15" xfId="1694" xr:uid="{00000000-0005-0000-0000-0000FE070000}"/>
    <cellStyle name="Porcentual 15 2" xfId="3107" xr:uid="{49642815-5C2C-4D57-9316-216AFB08D462}"/>
    <cellStyle name="Porcentual 16" xfId="1695" xr:uid="{00000000-0005-0000-0000-0000FF070000}"/>
    <cellStyle name="Porcentual 16 2" xfId="3108" xr:uid="{3330CF97-5C84-40D7-9376-A30CB7D132F3}"/>
    <cellStyle name="Porcentual 17" xfId="1696" xr:uid="{00000000-0005-0000-0000-000000080000}"/>
    <cellStyle name="Porcentual 17 2" xfId="3109" xr:uid="{2AB5A14A-F0A8-4AA0-88D0-5F66E216E550}"/>
    <cellStyle name="Porcentual 18" xfId="1697" xr:uid="{00000000-0005-0000-0000-000001080000}"/>
    <cellStyle name="Porcentual 18 2" xfId="3110" xr:uid="{706336C9-DE03-4E7B-AEB2-7170E490A7A5}"/>
    <cellStyle name="Porcentual 19" xfId="1698" xr:uid="{00000000-0005-0000-0000-000002080000}"/>
    <cellStyle name="Porcentual 19 2" xfId="3111" xr:uid="{6BA3496D-5070-42D7-96F1-B6DDDA0901BA}"/>
    <cellStyle name="Porcentual 2" xfId="1699" xr:uid="{00000000-0005-0000-0000-000003080000}"/>
    <cellStyle name="Porcentual 2 2" xfId="1700" xr:uid="{00000000-0005-0000-0000-000004080000}"/>
    <cellStyle name="Porcentual 2 2 2" xfId="3113" xr:uid="{559840A3-0682-4C3D-B90C-039FEB8B7830}"/>
    <cellStyle name="Porcentual 2 3" xfId="2176" xr:uid="{00000000-0005-0000-0000-000005080000}"/>
    <cellStyle name="Porcentual 2 4" xfId="3112" xr:uid="{0EAF793D-28EC-44BB-B5A4-472B02928775}"/>
    <cellStyle name="Porcentual 20" xfId="1701" xr:uid="{00000000-0005-0000-0000-000006080000}"/>
    <cellStyle name="Porcentual 20 2" xfId="3114" xr:uid="{6A183CFC-2BF2-4213-9730-2F64E65B2BFE}"/>
    <cellStyle name="Porcentual 21" xfId="1702" xr:uid="{00000000-0005-0000-0000-000007080000}"/>
    <cellStyle name="Porcentual 21 2" xfId="3115" xr:uid="{BC574C5C-CDBD-4445-A64B-3C2899203511}"/>
    <cellStyle name="Porcentual 22" xfId="1703" xr:uid="{00000000-0005-0000-0000-000008080000}"/>
    <cellStyle name="Porcentual 22 2" xfId="3116" xr:uid="{E783CB05-C90A-4F52-B26C-B6742091B64B}"/>
    <cellStyle name="Porcentual 23" xfId="1704" xr:uid="{00000000-0005-0000-0000-000009080000}"/>
    <cellStyle name="Porcentual 3" xfId="1705" xr:uid="{00000000-0005-0000-0000-00000A080000}"/>
    <cellStyle name="Porcentual 3 2" xfId="1706" xr:uid="{00000000-0005-0000-0000-00000B080000}"/>
    <cellStyle name="Porcentual 3 3" xfId="2177" xr:uid="{00000000-0005-0000-0000-00000C080000}"/>
    <cellStyle name="Porcentual 4" xfId="1707" xr:uid="{00000000-0005-0000-0000-00000D080000}"/>
    <cellStyle name="Porcentual 4 2" xfId="3117" xr:uid="{F2971828-6E5A-4B78-9FBF-6E821B913A05}"/>
    <cellStyle name="Porcentual 5" xfId="1708" xr:uid="{00000000-0005-0000-0000-00000E080000}"/>
    <cellStyle name="Porcentual 5 2" xfId="3118" xr:uid="{27ACA241-F11D-4A28-ACDC-CE86455E6FFD}"/>
    <cellStyle name="Porcentual 6" xfId="1709" xr:uid="{00000000-0005-0000-0000-00000F080000}"/>
    <cellStyle name="Porcentual 6 2" xfId="3119" xr:uid="{83D65B29-CE94-44C2-812E-E91CE2ADEE58}"/>
    <cellStyle name="Porcentual 7" xfId="1710" xr:uid="{00000000-0005-0000-0000-000010080000}"/>
    <cellStyle name="Porcentual 7 2" xfId="3120" xr:uid="{49210461-8A4E-42CF-8146-6E94301138F5}"/>
    <cellStyle name="Porcentual 8" xfId="1711" xr:uid="{00000000-0005-0000-0000-000011080000}"/>
    <cellStyle name="Porcentual 8 2" xfId="3121" xr:uid="{EE3819EC-864F-4692-BF4D-34CFCA25F1F3}"/>
    <cellStyle name="Porcentual 9" xfId="1712" xr:uid="{00000000-0005-0000-0000-000012080000}"/>
    <cellStyle name="Porcentual 9 2" xfId="3122" xr:uid="{BD2FDEDE-CF6E-49E4-85EE-D9933908A8D2}"/>
    <cellStyle name="pricing" xfId="1713" xr:uid="{00000000-0005-0000-0000-000013080000}"/>
    <cellStyle name="pricing 2" xfId="3123" xr:uid="{1F8625A3-D12E-4657-81F1-F66627B94884}"/>
    <cellStyle name="producto" xfId="1714" xr:uid="{00000000-0005-0000-0000-000014080000}"/>
    <cellStyle name="PSChar" xfId="1715" xr:uid="{00000000-0005-0000-0000-000015080000}"/>
    <cellStyle name="R" xfId="1716" xr:uid="{00000000-0005-0000-0000-000016080000}"/>
    <cellStyle name="R 2" xfId="1937" xr:uid="{00000000-0005-0000-0000-000017080000}"/>
    <cellStyle name="R_00 Valor Referencial LP-RP-RS PSE CHINCHEROS II" xfId="1717" xr:uid="{00000000-0005-0000-0000-000018080000}"/>
    <cellStyle name="R_00 Valor Referencial LP-RP-RS PSE CHINCHEROS II_00_VREF_33 Proy (Item 2)" xfId="2277" xr:uid="{00000000-0005-0000-0000-000019080000}"/>
    <cellStyle name="R_00 Valor Referencial LP-RP-RS PSE CHINCHEROS II_001_VREF_33 Proyectos (Grupo N°10)" xfId="2278" xr:uid="{00000000-0005-0000-0000-00001A080000}"/>
    <cellStyle name="R_00 Valor Referencial LP-RP-RS PSE CHINCHEROS II_03_Valor Referencial_Grupo 8" xfId="2279" xr:uid="{00000000-0005-0000-0000-00001B080000}"/>
    <cellStyle name="R_00 Valor Referencial LP-RP-RS PSE CHINCHEROS II_Copia de PRESUPUESTO GRUPO 11_6" xfId="2280" xr:uid="{00000000-0005-0000-0000-00001C080000}"/>
    <cellStyle name="R_00 Valor Referencial LP-RP-RS PSE CHINCHEROS II_ESTIMADO" xfId="2281" xr:uid="{00000000-0005-0000-0000-00001D080000}"/>
    <cellStyle name="R_00 Valor Referencial LP-RP-RS PSE CHINCHEROS II_Estimado (Grupo N°12) (version 2)" xfId="2282" xr:uid="{00000000-0005-0000-0000-00001E080000}"/>
    <cellStyle name="R_00 Valor Referencial LP-RP-RS PSE CHINCHEROS II_G12 Oferta x Proyecto" xfId="2283" xr:uid="{00000000-0005-0000-0000-00001F080000}"/>
    <cellStyle name="R_00 Valor Referencial LP-RP-RS PSE CHINCHEROS II_presupuesto grupo 12" xfId="2284" xr:uid="{00000000-0005-0000-0000-000020080000}"/>
    <cellStyle name="R_00 Valor Referencial LP-RP-RS PSE CHINCHEROS II_Presupuesto Grupo 8" xfId="2285" xr:uid="{00000000-0005-0000-0000-000021080000}"/>
    <cellStyle name="R_00 Valor Referencial LP-RP-RS PSE CHINCHEROS II_PRESUPUESTO GRUPO 9_ITEM 2_1" xfId="2286" xr:uid="{00000000-0005-0000-0000-000022080000}"/>
    <cellStyle name="R_00 Valor Referencial LP-RP-RS PSE CHINCHEROS II_PRESUPUESTO GRUPO 9_ITEM 2_8" xfId="2287" xr:uid="{00000000-0005-0000-0000-000023080000}"/>
    <cellStyle name="R_00 Valor Referencial LP-RP-RS PSE CHINCHEROS II_VReferencial (Grupo N°12)" xfId="2288" xr:uid="{00000000-0005-0000-0000-000024080000}"/>
    <cellStyle name="R_004_Valor Referencial (Grupo N°10)" xfId="2289" xr:uid="{00000000-0005-0000-0000-000025080000}"/>
    <cellStyle name="R_05_VALOR REFERENCIAL_Jimbe Pamparomas" xfId="1718" xr:uid="{00000000-0005-0000-0000-000026080000}"/>
    <cellStyle name="R_05_VALOR REFERENCIAL_Jimbe Pamparomas_ELET_RURAL GRUPO 3 - ITEM 2-V01" xfId="1719" xr:uid="{00000000-0005-0000-0000-000027080000}"/>
    <cellStyle name="R_05_VALOR REFERENCIAL_Jimbe Pamparomas_PropuestaCorregidaSan Juan Bautista" xfId="1720" xr:uid="{00000000-0005-0000-0000-000028080000}"/>
    <cellStyle name="R_05_VALOR REFERENCIAL_Jimbe Pamparomas_VALOR REFER. ELET_RURAL GRUPO 2" xfId="1721" xr:uid="{00000000-0005-0000-0000-000029080000}"/>
    <cellStyle name="R_1 Feb Val PSE Yurinaki RA2" xfId="1722" xr:uid="{00000000-0005-0000-0000-00002A080000}"/>
    <cellStyle name="R_1 Mar Val PSE Yurinaki RA2" xfId="1723" xr:uid="{00000000-0005-0000-0000-00002B080000}"/>
    <cellStyle name="R_1. Presup RS ZONA NORTE - GRUPO 1" xfId="1724" xr:uid="{00000000-0005-0000-0000-00002C080000}"/>
    <cellStyle name="R_1. Presup RS ZONA NORTE - GRUPO 1_00_VREF_33 Proy (Item 2)" xfId="2290" xr:uid="{00000000-0005-0000-0000-00002D080000}"/>
    <cellStyle name="R_1. Presup RS ZONA NORTE - GRUPO 1_001_VREF_33 Proyectos (Grupo N°10)" xfId="2291" xr:uid="{00000000-0005-0000-0000-00002E080000}"/>
    <cellStyle name="R_1. Presup RS ZONA NORTE - GRUPO 1_03_Valor Referencial_Grupo 8" xfId="2292" xr:uid="{00000000-0005-0000-0000-00002F080000}"/>
    <cellStyle name="R_1. Presup RS ZONA NORTE - GRUPO 1_Copia de PRESUPUESTO GRUPO 11_6" xfId="2293" xr:uid="{00000000-0005-0000-0000-000030080000}"/>
    <cellStyle name="R_1. Presup RS ZONA NORTE - GRUPO 1_ELET_RURAL GRUPO 3 - ITEM 2-V01" xfId="1725" xr:uid="{00000000-0005-0000-0000-000031080000}"/>
    <cellStyle name="R_1. Presup RS ZONA NORTE - GRUPO 1_ESTIMADO" xfId="2294" xr:uid="{00000000-0005-0000-0000-000032080000}"/>
    <cellStyle name="R_1. Presup RS ZONA NORTE - GRUPO 1_Estimado (Grupo N°12) (version 2)" xfId="2295" xr:uid="{00000000-0005-0000-0000-000033080000}"/>
    <cellStyle name="R_1. Presup RS ZONA NORTE - GRUPO 1_G12 Oferta x Proyecto" xfId="2296" xr:uid="{00000000-0005-0000-0000-000034080000}"/>
    <cellStyle name="R_1. Presup RS ZONA NORTE - GRUPO 1_presupuesto grupo 12" xfId="2297" xr:uid="{00000000-0005-0000-0000-000035080000}"/>
    <cellStyle name="R_1. Presup RS ZONA NORTE - GRUPO 1_Presupuesto Grupo 8" xfId="2298" xr:uid="{00000000-0005-0000-0000-000036080000}"/>
    <cellStyle name="R_1. Presup RS ZONA NORTE - GRUPO 1_PRESUPUESTO GRUPO 9_ITEM 2_1" xfId="2299" xr:uid="{00000000-0005-0000-0000-000037080000}"/>
    <cellStyle name="R_1. Presup RS ZONA NORTE - GRUPO 1_PRESUPUESTO GRUPO 9_ITEM 2_8" xfId="2300" xr:uid="{00000000-0005-0000-0000-000038080000}"/>
    <cellStyle name="R_1. Presup RS ZONA NORTE - GRUPO 1_PropuestaCorregidaSan Juan Bautista" xfId="1726" xr:uid="{00000000-0005-0000-0000-000039080000}"/>
    <cellStyle name="R_1. Presup RS ZONA NORTE - GRUPO 1_VALOR REFER. ELET_RURAL GRUPO 2" xfId="1727" xr:uid="{00000000-0005-0000-0000-00003A080000}"/>
    <cellStyle name="R_1. Presup RS ZONA NORTE - GRUPO 1_VReferencial (Grupo N°12)" xfId="2301" xr:uid="{00000000-0005-0000-0000-00003B080000}"/>
    <cellStyle name="R_1.PRESUPUESTO TARMA 4" xfId="2302" xr:uid="{00000000-0005-0000-0000-00003C080000}"/>
    <cellStyle name="R_4. Presup SE GRUPO 3" xfId="1728" xr:uid="{00000000-0005-0000-0000-00003D080000}"/>
    <cellStyle name="R_7.2.3 a 7.2.6-SER San Francisco IV Etapa ok" xfId="2303" xr:uid="{00000000-0005-0000-0000-00003E080000}"/>
    <cellStyle name="R_7.2.3 a 7.2.6-SER San Francisco IV Etapa ok_00_VREF_33 Proy (Item 2)" xfId="2304" xr:uid="{00000000-0005-0000-0000-00003F080000}"/>
    <cellStyle name="R_7.2.3 a 7.2.6-SER San Francisco IV Etapa ok_001_VREF_33 Proyectos (Grupo N°10)" xfId="2305" xr:uid="{00000000-0005-0000-0000-000040080000}"/>
    <cellStyle name="R_7.2.3 a 7.2.6-SER San Francisco IV Etapa ok_03_Valor Referencial_Grupo 8" xfId="2306" xr:uid="{00000000-0005-0000-0000-000041080000}"/>
    <cellStyle name="R_7.2.3 a 7.2.6-SER San Francisco IV Etapa ok_Copia de PRESUPUESTO GRUPO 11_6" xfId="2307" xr:uid="{00000000-0005-0000-0000-000042080000}"/>
    <cellStyle name="R_7.2.3 a 7.2.6-SER San Francisco IV Etapa ok_ESTIMADO" xfId="2308" xr:uid="{00000000-0005-0000-0000-000043080000}"/>
    <cellStyle name="R_7.2.3 a 7.2.6-SER San Francisco IV Etapa ok_Estimado (Grupo N°12) (version 2)" xfId="2309" xr:uid="{00000000-0005-0000-0000-000044080000}"/>
    <cellStyle name="R_7.2.3 a 7.2.6-SER San Francisco IV Etapa ok_G12 Oferta x Proyecto" xfId="2310" xr:uid="{00000000-0005-0000-0000-000045080000}"/>
    <cellStyle name="R_7.2.3 a 7.2.6-SER San Francisco IV Etapa ok_presupuesto grupo 12" xfId="2311" xr:uid="{00000000-0005-0000-0000-000046080000}"/>
    <cellStyle name="R_7.2.3 a 7.2.6-SER San Francisco IV Etapa ok_Presupuesto Grupo 8" xfId="2312" xr:uid="{00000000-0005-0000-0000-000047080000}"/>
    <cellStyle name="R_7.2.3 a 7.2.6-SER San Francisco IV Etapa ok_PRESUPUESTO GRUPO 9_ITEM 2_1" xfId="2313" xr:uid="{00000000-0005-0000-0000-000048080000}"/>
    <cellStyle name="R_7.2.3 a 7.2.6-SER San Francisco IV Etapa ok_PRESUPUESTO GRUPO 9_ITEM 2_8" xfId="2314" xr:uid="{00000000-0005-0000-0000-000049080000}"/>
    <cellStyle name="R_7.2.3 a 7.2.6-SER San Francisco IV Etapa ok_VReferencial (Grupo N°12)" xfId="2315" xr:uid="{00000000-0005-0000-0000-00004A080000}"/>
    <cellStyle name="R_Anex. 1.1 al 2.18-prefact" xfId="1729" xr:uid="{00000000-0005-0000-0000-00004B080000}"/>
    <cellStyle name="R_Anex. 1.1 al 2.18-prefact_00_VREF_33 Proy (Item 2)" xfId="2316" xr:uid="{00000000-0005-0000-0000-00004C080000}"/>
    <cellStyle name="R_Anex. 1.1 al 2.18-prefact_001_VREF_33 Proyectos (Grupo N°10)" xfId="2317" xr:uid="{00000000-0005-0000-0000-00004D080000}"/>
    <cellStyle name="R_Anex. 1.1 al 2.18-prefact_03_Valor Referencial_Grupo 8" xfId="2318" xr:uid="{00000000-0005-0000-0000-00004E080000}"/>
    <cellStyle name="R_Anex. 1.1 al 2.18-prefact_Copia de PRESUPUESTO GRUPO 11_6" xfId="2319" xr:uid="{00000000-0005-0000-0000-00004F080000}"/>
    <cellStyle name="R_Anex. 1.1 al 2.18-prefact_ELET_RURAL GRUPO 3 - ITEM 2-V01" xfId="1730" xr:uid="{00000000-0005-0000-0000-000050080000}"/>
    <cellStyle name="R_Anex. 1.1 al 2.18-prefact_ESTIMADO" xfId="2320" xr:uid="{00000000-0005-0000-0000-000051080000}"/>
    <cellStyle name="R_Anex. 1.1 al 2.18-prefact_Estimado (Grupo N°12) (version 2)" xfId="2321" xr:uid="{00000000-0005-0000-0000-000052080000}"/>
    <cellStyle name="R_Anex. 1.1 al 2.18-prefact_G12 Oferta x Proyecto" xfId="2322" xr:uid="{00000000-0005-0000-0000-000053080000}"/>
    <cellStyle name="R_Anex. 1.1 al 2.18-prefact_Grupo 9 - PNER Cajamarca" xfId="1731" xr:uid="{00000000-0005-0000-0000-000054080000}"/>
    <cellStyle name="R_Anex. 1.1 al 2.18-prefact_presupuesto grupo 12" xfId="2323" xr:uid="{00000000-0005-0000-0000-000055080000}"/>
    <cellStyle name="R_Anex. 1.1 al 2.18-prefact_Presupuesto Grupo 8" xfId="2324" xr:uid="{00000000-0005-0000-0000-000056080000}"/>
    <cellStyle name="R_Anex. 1.1 al 2.18-prefact_PRESUPUESTO GRUPO 9_ITEM 2_1" xfId="2325" xr:uid="{00000000-0005-0000-0000-000057080000}"/>
    <cellStyle name="R_Anex. 1.1 al 2.18-prefact_PRESUPUESTO GRUPO 9_ITEM 2_8" xfId="2326" xr:uid="{00000000-0005-0000-0000-000058080000}"/>
    <cellStyle name="R_Anex. 1.1 al 2.18-prefact_PropuestaCorregidaSan Juan Bautista" xfId="1732" xr:uid="{00000000-0005-0000-0000-000059080000}"/>
    <cellStyle name="R_Anex. 1.1 al 2.18-prefact_Resumen Grupo 3 LP" xfId="1733" xr:uid="{00000000-0005-0000-0000-00005A080000}"/>
    <cellStyle name="R_Anex. 1.1 al 2.18-prefact_Resumen RS Grupo 3" xfId="1734" xr:uid="{00000000-0005-0000-0000-00005B080000}"/>
    <cellStyle name="R_Anex. 1.1 al 2.18-prefact_VALOR REFER. ELET_RURAL GRUPO 2" xfId="1735" xr:uid="{00000000-0005-0000-0000-00005C080000}"/>
    <cellStyle name="R_Anex. 1.1 al 2.18-prefact_VReferencial (Grupo N°12)" xfId="2327" xr:uid="{00000000-0005-0000-0000-00005D080000}"/>
    <cellStyle name="R_Anexo 6.1 y 6.2 - Suministro LP RP RS" xfId="1736" xr:uid="{00000000-0005-0000-0000-00005E080000}"/>
    <cellStyle name="R_Anexo 6.1 y 6.2 - Suministro LP RP RS_004_Valor Referencial (Grupo N°10)" xfId="2328" xr:uid="{00000000-0005-0000-0000-00005F080000}"/>
    <cellStyle name="R_Anexo 6.1 y 6.2 - Suministro LP RP RS_Axo E 2.3 G1-1 ok+" xfId="2329" xr:uid="{00000000-0005-0000-0000-000060080000}"/>
    <cellStyle name="R_Anexo 6.1 y 6.2 - Suministro LP RP RS_Copia de PRESUPUESTO GRUPO 11_6" xfId="2330" xr:uid="{00000000-0005-0000-0000-000061080000}"/>
    <cellStyle name="R_Anexo 6.1 y 6.2 - Suministro LP RP RS_ELET_RURAL GRUPO 3 - ITEM 2-V01" xfId="1737" xr:uid="{00000000-0005-0000-0000-000062080000}"/>
    <cellStyle name="R_Anexo 6.1 y 6.2 - Suministro LP RP RS_Grupo 9 - PNER Cajamarca" xfId="1738" xr:uid="{00000000-0005-0000-0000-000063080000}"/>
    <cellStyle name="R_Anexo 6.1 y 6.2 - Suministro LP RP RS_MyP%20HDNA(1)" xfId="2331" xr:uid="{00000000-0005-0000-0000-000064080000}"/>
    <cellStyle name="R_Anexo 6.1 y 6.2 - Suministro LP RP RS_PRESUPUESTO BT  Precios     MEM 2006  RS" xfId="2332" xr:uid="{00000000-0005-0000-0000-000065080000}"/>
    <cellStyle name="R_Anexo 6.1 y 6.2 - Suministro LP RP RS_PRESUPUESTO BT  Precios     MEM 2006  RS_Estimado Cajabamba" xfId="2333" xr:uid="{00000000-0005-0000-0000-000066080000}"/>
    <cellStyle name="R_Anexo 6.1 y 6.2 - Suministro LP RP RS_PRESUPUESTO BT  Precios     MEM 2006  RS_Presupuesto final SanGregorio" xfId="2334" xr:uid="{00000000-0005-0000-0000-000067080000}"/>
    <cellStyle name="R_Anexo 6.1 y 6.2 - Suministro LP RP RS_PRESUPUESTO GRUPO 9_ITEM 2_4" xfId="2335" xr:uid="{00000000-0005-0000-0000-000068080000}"/>
    <cellStyle name="R_Anexo 6.1 y 6.2 - Suministro LP RP RS_PropuestaCorregidaSan Juan Bautista" xfId="1739" xr:uid="{00000000-0005-0000-0000-000069080000}"/>
    <cellStyle name="R_Anexo 6.1 y 6.2 - Suministro LP RP RS_Resumen Gastos Generale E.R. GRUPO 2" xfId="1740" xr:uid="{00000000-0005-0000-0000-00006A080000}"/>
    <cellStyle name="R_Anexo 6.1 y 6.2 - Suministro LP RP RS_Resumen Gastos Generale E.R. GRUPO 2_00_VREF_33 Proy (Item 2)" xfId="2336" xr:uid="{00000000-0005-0000-0000-00006B080000}"/>
    <cellStyle name="R_Anexo 6.1 y 6.2 - Suministro LP RP RS_Resumen Gastos Generale E.R. GRUPO 2_001_VREF_33 Proyectos (Grupo N°10)" xfId="2337" xr:uid="{00000000-0005-0000-0000-00006C080000}"/>
    <cellStyle name="R_Anexo 6.1 y 6.2 - Suministro LP RP RS_Resumen Gastos Generale E.R. GRUPO 2_03_Valor Referencial_Grupo 8" xfId="2338" xr:uid="{00000000-0005-0000-0000-00006D080000}"/>
    <cellStyle name="R_Anexo 6.1 y 6.2 - Suministro LP RP RS_Resumen Gastos Generale E.R. GRUPO 2_Copia de PRESUPUESTO GRUPO 11_6" xfId="2339" xr:uid="{00000000-0005-0000-0000-00006E080000}"/>
    <cellStyle name="R_Anexo 6.1 y 6.2 - Suministro LP RP RS_Resumen Gastos Generale E.R. GRUPO 2_ESTIMADO" xfId="2340" xr:uid="{00000000-0005-0000-0000-00006F080000}"/>
    <cellStyle name="R_Anexo 6.1 y 6.2 - Suministro LP RP RS_Resumen Gastos Generale E.R. GRUPO 2_Estimado (Grupo N°12) (version 2)" xfId="2341" xr:uid="{00000000-0005-0000-0000-000070080000}"/>
    <cellStyle name="R_Anexo 6.1 y 6.2 - Suministro LP RP RS_Resumen Gastos Generale E.R. GRUPO 2_G12 Oferta x Proyecto" xfId="2342" xr:uid="{00000000-0005-0000-0000-000071080000}"/>
    <cellStyle name="R_Anexo 6.1 y 6.2 - Suministro LP RP RS_Resumen Gastos Generale E.R. GRUPO 2_presupuesto grupo 12" xfId="2343" xr:uid="{00000000-0005-0000-0000-000072080000}"/>
    <cellStyle name="R_Anexo 6.1 y 6.2 - Suministro LP RP RS_Resumen Gastos Generale E.R. GRUPO 2_Presupuesto Grupo 8" xfId="2344" xr:uid="{00000000-0005-0000-0000-000073080000}"/>
    <cellStyle name="R_Anexo 6.1 y 6.2 - Suministro LP RP RS_Resumen Gastos Generale E.R. GRUPO 2_PRESUPUESTO GRUPO 9_ITEM 2_1" xfId="2345" xr:uid="{00000000-0005-0000-0000-000074080000}"/>
    <cellStyle name="R_Anexo 6.1 y 6.2 - Suministro LP RP RS_Resumen Gastos Generale E.R. GRUPO 2_PRESUPUESTO GRUPO 9_ITEM 2_8" xfId="2346" xr:uid="{00000000-0005-0000-0000-000075080000}"/>
    <cellStyle name="R_Anexo 6.1 y 6.2 - Suministro LP RP RS_Resumen Gastos Generale E.R. GRUPO 2_VReferencial (Grupo N°12)" xfId="2347" xr:uid="{00000000-0005-0000-0000-000076080000}"/>
    <cellStyle name="R_Anexo 6.1 y 6.2 - Suministro LP RP RS_VALOR REFER. ELET_RURAL GRUPO 2" xfId="1741" xr:uid="{00000000-0005-0000-0000-000077080000}"/>
    <cellStyle name="R_ANTIGUO" xfId="2348" xr:uid="{00000000-0005-0000-0000-000078080000}"/>
    <cellStyle name="R_ANTIGUO_PRESUPUESTO GRUPO 9_ITEM 2_8" xfId="2349" xr:uid="{00000000-0005-0000-0000-000079080000}"/>
    <cellStyle name="R_Axo 5.2.9 APU Montaje-ok" xfId="2350" xr:uid="{00000000-0005-0000-0000-00007A080000}"/>
    <cellStyle name="R_Axo E 2.3 G1-1 ok+" xfId="2351" xr:uid="{00000000-0005-0000-0000-00007B080000}"/>
    <cellStyle name="R_Axo E 2.4 G1-1 ok" xfId="2352" xr:uid="{00000000-0005-0000-0000-00007C080000}"/>
    <cellStyle name="R_CALCULOS - VILLA RICA II ETAPAfinal" xfId="1742" xr:uid="{00000000-0005-0000-0000-00007D080000}"/>
    <cellStyle name="R_CALCULOS - VILLA RICA II ETAPAfinal_Resumen valoril (3)" xfId="1743" xr:uid="{00000000-0005-0000-0000-00007E080000}"/>
    <cellStyle name="R_CALCULOS - VILLA RICA II ETAPAfinal_VAL 03-MAR 2008-CONTRATISTA_Rev01" xfId="1744" xr:uid="{00000000-0005-0000-0000-00007F080000}"/>
    <cellStyle name="R_CALCULOS - VILLA RICA II ETAPAfinal_VALORIZACION 03-MARZO 08_Rev01" xfId="1745" xr:uid="{00000000-0005-0000-0000-000080080000}"/>
    <cellStyle name="R_CALCULOS - VILLA RICA II ETAPAfinal_VALORIZACION 03-MARZO 08_Rev02" xfId="1746" xr:uid="{00000000-0005-0000-0000-000081080000}"/>
    <cellStyle name="R_CAPTA CLTES MAYORES FINAL (version 1) (version 1)" xfId="2353" xr:uid="{00000000-0005-0000-0000-000082080000}"/>
    <cellStyle name="R_CHULUCANAS I" xfId="1747" xr:uid="{00000000-0005-0000-0000-000083080000}"/>
    <cellStyle name="R_Control total de Amortizaciones Yurinaki-R1" xfId="1748" xr:uid="{00000000-0005-0000-0000-000084080000}"/>
    <cellStyle name="R_Copia de PRESUPUESTO GRUPO 11_6" xfId="2354" xr:uid="{00000000-0005-0000-0000-000085080000}"/>
    <cellStyle name="R_criterios" xfId="1749" xr:uid="{00000000-0005-0000-0000-000086080000}"/>
    <cellStyle name="R_criterios_Grupo 9 - PNER Cajamarca" xfId="1750" xr:uid="{00000000-0005-0000-0000-000087080000}"/>
    <cellStyle name="R_criterios_Resumen Grupo 3 LP" xfId="1751" xr:uid="{00000000-0005-0000-0000-000088080000}"/>
    <cellStyle name="R_criterios_Resumen RS Grupo 3" xfId="1752" xr:uid="{00000000-0005-0000-0000-000089080000}"/>
    <cellStyle name="R_criterios_VALOR REFER. ELET_RURAL GRUPO 2" xfId="1753" xr:uid="{00000000-0005-0000-0000-00008A080000}"/>
    <cellStyle name="R_Datos de Entrada Evaluacion" xfId="1754" xr:uid="{00000000-0005-0000-0000-00008B080000}"/>
    <cellStyle name="R_Datos de Entrada Evaluacion_00_VREF_33 Proy (Item 2)" xfId="2355" xr:uid="{00000000-0005-0000-0000-00008C080000}"/>
    <cellStyle name="R_Datos de Entrada Evaluacion_001_VREF_33 Proyectos (Grupo N°10)" xfId="2356" xr:uid="{00000000-0005-0000-0000-00008D080000}"/>
    <cellStyle name="R_Datos de Entrada Evaluacion_03_Valor Referencial_Grupo 8" xfId="2357" xr:uid="{00000000-0005-0000-0000-00008E080000}"/>
    <cellStyle name="R_Datos de Entrada Evaluacion_Copia de PRESUPUESTO GRUPO 11_6" xfId="2358" xr:uid="{00000000-0005-0000-0000-00008F080000}"/>
    <cellStyle name="R_Datos de Entrada Evaluacion_ESTIMADO" xfId="2359" xr:uid="{00000000-0005-0000-0000-000090080000}"/>
    <cellStyle name="R_Datos de Entrada Evaluacion_Estimado (Grupo N°12) (version 2)" xfId="2360" xr:uid="{00000000-0005-0000-0000-000091080000}"/>
    <cellStyle name="R_Datos de Entrada Evaluacion_G12 Oferta x Proyecto" xfId="2361" xr:uid="{00000000-0005-0000-0000-000092080000}"/>
    <cellStyle name="R_Datos de Entrada Evaluacion_presupuesto grupo 12" xfId="2362" xr:uid="{00000000-0005-0000-0000-000093080000}"/>
    <cellStyle name="R_Datos de Entrada Evaluacion_Presupuesto Grupo 8" xfId="2363" xr:uid="{00000000-0005-0000-0000-000094080000}"/>
    <cellStyle name="R_Datos de Entrada Evaluacion_PRESUPUESTO GRUPO 9_ITEM 2_1" xfId="2364" xr:uid="{00000000-0005-0000-0000-000095080000}"/>
    <cellStyle name="R_Datos de Entrada Evaluacion_PRESUPUESTO GRUPO 9_ITEM 2_8" xfId="2365" xr:uid="{00000000-0005-0000-0000-000096080000}"/>
    <cellStyle name="R_Datos de Entrada Evaluacion_VReferencial (Grupo N°12)" xfId="2366" xr:uid="{00000000-0005-0000-0000-000097080000}"/>
    <cellStyle name="R_EJEMPLO PRESUPUESTO CHIMBOTE2" xfId="2367" xr:uid="{00000000-0005-0000-0000-000098080000}"/>
    <cellStyle name="R_EJEMPLO PRESUPUESTO CHIMBOTE2_Copia de PRESUPUESTO GRUPO 11_6" xfId="2368" xr:uid="{00000000-0005-0000-0000-000099080000}"/>
    <cellStyle name="R_ELET_RURAL GRUPO 3 - ITEM 2-V01" xfId="1755" xr:uid="{00000000-0005-0000-0000-00009A080000}"/>
    <cellStyle name="R_ESTIMADO ALIM A4124 Y RP - RS(YO)" xfId="2369" xr:uid="{00000000-0005-0000-0000-00009B080000}"/>
    <cellStyle name="R_Estimado Trujillo rural 1" xfId="2370" xr:uid="{00000000-0005-0000-0000-00009C080000}"/>
    <cellStyle name="R_Estimado Trujillo rural 1_Copia de PRESUPUESTO GRUPO 11_6" xfId="2371" xr:uid="{00000000-0005-0000-0000-00009D080000}"/>
    <cellStyle name="R_Grupo 9 - PNER Cajamarca" xfId="1756" xr:uid="{00000000-0005-0000-0000-00009E080000}"/>
    <cellStyle name="R_HUANCAYO -PASCO 5" xfId="2372" xr:uid="{00000000-0005-0000-0000-00009F080000}"/>
    <cellStyle name="R_HUANCAYO -PASCO 5_Copia de PRESUPUESTO GRUPO 11_6" xfId="2373" xr:uid="{00000000-0005-0000-0000-0000A0080000}"/>
    <cellStyle name="R_Libro1" xfId="1757" xr:uid="{00000000-0005-0000-0000-0000A1080000}"/>
    <cellStyle name="R_LPRP ULT" xfId="2374" xr:uid="{00000000-0005-0000-0000-0000A2080000}"/>
    <cellStyle name="R_Marco Logico" xfId="1758" xr:uid="{00000000-0005-0000-0000-0000A3080000}"/>
    <cellStyle name="R_Marco Logico_00_VREF_33 Proy (Item 2)" xfId="2375" xr:uid="{00000000-0005-0000-0000-0000A4080000}"/>
    <cellStyle name="R_Marco Logico_001_VREF_33 Proyectos (Grupo N°10)" xfId="2376" xr:uid="{00000000-0005-0000-0000-0000A5080000}"/>
    <cellStyle name="R_Marco Logico_004_Valor Referencial (Grupo N°10)" xfId="2377" xr:uid="{00000000-0005-0000-0000-0000A6080000}"/>
    <cellStyle name="R_Marco Logico_03_Valor Referencial_Grupo 8" xfId="2378" xr:uid="{00000000-0005-0000-0000-0000A7080000}"/>
    <cellStyle name="R_Marco Logico_Copia de PRESUPUESTO GRUPO 11_6" xfId="2379" xr:uid="{00000000-0005-0000-0000-0000A8080000}"/>
    <cellStyle name="R_Marco Logico_ELET_RURAL GRUPO 3 - ITEM 2-V01" xfId="1759" xr:uid="{00000000-0005-0000-0000-0000A9080000}"/>
    <cellStyle name="R_Marco Logico_ESTIMADO" xfId="2380" xr:uid="{00000000-0005-0000-0000-0000AA080000}"/>
    <cellStyle name="R_Marco Logico_Estimado (Grupo N°12) (version 2)" xfId="2381" xr:uid="{00000000-0005-0000-0000-0000AB080000}"/>
    <cellStyle name="R_Marco Logico_G12 Oferta x Proyecto" xfId="2382" xr:uid="{00000000-0005-0000-0000-0000AC080000}"/>
    <cellStyle name="R_Marco Logico_Grupo 9 - PNER Cajamarca" xfId="1760" xr:uid="{00000000-0005-0000-0000-0000AD080000}"/>
    <cellStyle name="R_Marco Logico_presupuesto grupo 12" xfId="2383" xr:uid="{00000000-0005-0000-0000-0000AE080000}"/>
    <cellStyle name="R_Marco Logico_Presupuesto Grupo 8" xfId="2384" xr:uid="{00000000-0005-0000-0000-0000AF080000}"/>
    <cellStyle name="R_Marco Logico_PRESUPUESTO GRUPO 9_ITEM 2_1" xfId="2385" xr:uid="{00000000-0005-0000-0000-0000B0080000}"/>
    <cellStyle name="R_Marco Logico_PRESUPUESTO GRUPO 9_ITEM 2_4" xfId="2386" xr:uid="{00000000-0005-0000-0000-0000B1080000}"/>
    <cellStyle name="R_Marco Logico_PRESUPUESTO GRUPO 9_ITEM 2_8" xfId="2387" xr:uid="{00000000-0005-0000-0000-0000B2080000}"/>
    <cellStyle name="R_Marco Logico_PropuestaCorregidaSan Juan Bautista" xfId="1761" xr:uid="{00000000-0005-0000-0000-0000B3080000}"/>
    <cellStyle name="R_Marco Logico_Resumen Grupo 3 LP" xfId="1762" xr:uid="{00000000-0005-0000-0000-0000B4080000}"/>
    <cellStyle name="R_Marco Logico_Resumen RS Grupo 3" xfId="1763" xr:uid="{00000000-0005-0000-0000-0000B5080000}"/>
    <cellStyle name="R_Marco Logico_VALOR REFER. ELET_RURAL GRUPO 2" xfId="1764" xr:uid="{00000000-0005-0000-0000-0000B6080000}"/>
    <cellStyle name="R_Marco Logico_VReferencial (Grupo N°12)" xfId="2388" xr:uid="{00000000-0005-0000-0000-0000B7080000}"/>
    <cellStyle name="R_METRADO BASE HUANUCO1" xfId="2389" xr:uid="{00000000-0005-0000-0000-0000B8080000}"/>
    <cellStyle name="R_METRADO BASE HVCA" xfId="2390" xr:uid="{00000000-0005-0000-0000-0000B9080000}"/>
    <cellStyle name="R_METRADO CACI X- B BT" xfId="1765" xr:uid="{00000000-0005-0000-0000-0000BA080000}"/>
    <cellStyle name="R_METRADO DE FERRETERIA (2)" xfId="1766" xr:uid="{00000000-0005-0000-0000-0000BB080000}"/>
    <cellStyle name="R_METRADO mat" xfId="1767" xr:uid="{00000000-0005-0000-0000-0000BC080000}"/>
    <cellStyle name="R_METRADO mat_CHULUCANAS I" xfId="1768" xr:uid="{00000000-0005-0000-0000-0000BD080000}"/>
    <cellStyle name="R_METRADO mat_Copia de PRESUPUESTO GRUPO 11_6" xfId="2391" xr:uid="{00000000-0005-0000-0000-0000BE080000}"/>
    <cellStyle name="R_MeTRADO POR LOCALIDAD" xfId="1769" xr:uid="{00000000-0005-0000-0000-0000BF080000}"/>
    <cellStyle name="R_MeTRADO POR LOCALIDAD_00_VREF_33 Proy (Item 2)" xfId="2392" xr:uid="{00000000-0005-0000-0000-0000C0080000}"/>
    <cellStyle name="R_MeTRADO POR LOCALIDAD_001_VREF_33 Proyectos (Grupo N°10)" xfId="2393" xr:uid="{00000000-0005-0000-0000-0000C1080000}"/>
    <cellStyle name="R_MeTRADO POR LOCALIDAD_03_Valor Referencial_Grupo 8" xfId="2394" xr:uid="{00000000-0005-0000-0000-0000C2080000}"/>
    <cellStyle name="R_MeTRADO POR LOCALIDAD_Copia de PRESUPUESTO GRUPO 11_6" xfId="2395" xr:uid="{00000000-0005-0000-0000-0000C3080000}"/>
    <cellStyle name="R_MeTRADO POR LOCALIDAD_ESTIMADO" xfId="2396" xr:uid="{00000000-0005-0000-0000-0000C4080000}"/>
    <cellStyle name="R_MeTRADO POR LOCALIDAD_Estimado (Grupo N°12) (version 2)" xfId="2397" xr:uid="{00000000-0005-0000-0000-0000C5080000}"/>
    <cellStyle name="R_MeTRADO POR LOCALIDAD_G12 Oferta x Proyecto" xfId="2398" xr:uid="{00000000-0005-0000-0000-0000C6080000}"/>
    <cellStyle name="R_MeTRADO POR LOCALIDAD_presupuesto grupo 12" xfId="2399" xr:uid="{00000000-0005-0000-0000-0000C7080000}"/>
    <cellStyle name="R_MeTRADO POR LOCALIDAD_Presupuesto Grupo 8" xfId="2400" xr:uid="{00000000-0005-0000-0000-0000C8080000}"/>
    <cellStyle name="R_MeTRADO POR LOCALIDAD_PRESUPUESTO GRUPO 9_ITEM 2_1" xfId="2401" xr:uid="{00000000-0005-0000-0000-0000C9080000}"/>
    <cellStyle name="R_MeTRADO POR LOCALIDAD_PRESUPUESTO GRUPO 9_ITEM 2_8" xfId="2402" xr:uid="{00000000-0005-0000-0000-0000CA080000}"/>
    <cellStyle name="R_MeTRADO POR LOCALIDAD_VReferencial (Grupo N°12)" xfId="2403" xr:uid="{00000000-0005-0000-0000-0000CB080000}"/>
    <cellStyle name="R_Metrado Presupuesto TM C II-II Etapa" xfId="1770" xr:uid="{00000000-0005-0000-0000-0000CC080000}"/>
    <cellStyle name="R_Metrado Presupuesto TM C II-II Etapa_00_VREF_33 Proy (Item 2)" xfId="2404" xr:uid="{00000000-0005-0000-0000-0000CD080000}"/>
    <cellStyle name="R_Metrado Presupuesto TM C II-II Etapa_001_VREF_33 Proyectos (Grupo N°10)" xfId="2405" xr:uid="{00000000-0005-0000-0000-0000CE080000}"/>
    <cellStyle name="R_Metrado Presupuesto TM C II-II Etapa_03_Valor Referencial_Grupo 8" xfId="2406" xr:uid="{00000000-0005-0000-0000-0000CF080000}"/>
    <cellStyle name="R_Metrado Presupuesto TM C II-II Etapa_Copia de PRESUPUESTO GRUPO 11_6" xfId="2407" xr:uid="{00000000-0005-0000-0000-0000D0080000}"/>
    <cellStyle name="R_Metrado Presupuesto TM C II-II Etapa_ESTIMADO" xfId="2408" xr:uid="{00000000-0005-0000-0000-0000D1080000}"/>
    <cellStyle name="R_Metrado Presupuesto TM C II-II Etapa_Estimado (Grupo N°12) (version 2)" xfId="2409" xr:uid="{00000000-0005-0000-0000-0000D2080000}"/>
    <cellStyle name="R_Metrado Presupuesto TM C II-II Etapa_G12 Oferta x Proyecto" xfId="2410" xr:uid="{00000000-0005-0000-0000-0000D3080000}"/>
    <cellStyle name="R_Metrado Presupuesto TM C II-II Etapa_presupuesto grupo 12" xfId="2411" xr:uid="{00000000-0005-0000-0000-0000D4080000}"/>
    <cellStyle name="R_Metrado Presupuesto TM C II-II Etapa_Presupuesto Grupo 8" xfId="2412" xr:uid="{00000000-0005-0000-0000-0000D5080000}"/>
    <cellStyle name="R_Metrado Presupuesto TM C II-II Etapa_PRESUPUESTO GRUPO 9_ITEM 2_1" xfId="2413" xr:uid="{00000000-0005-0000-0000-0000D6080000}"/>
    <cellStyle name="R_Metrado Presupuesto TM C II-II Etapa_PRESUPUESTO GRUPO 9_ITEM 2_8" xfId="2414" xr:uid="{00000000-0005-0000-0000-0000D7080000}"/>
    <cellStyle name="R_Metrado Presupuesto TM C II-II Etapa_VReferencial (Grupo N°12)" xfId="2415" xr:uid="{00000000-0005-0000-0000-0000D8080000}"/>
    <cellStyle name="R_METRADO REHABILITACION ALIM A4008" xfId="2416" xr:uid="{00000000-0005-0000-0000-0000D9080000}"/>
    <cellStyle name="R_METRADO_LLPP_1A_PARTE" xfId="2178" xr:uid="{00000000-0005-0000-0000-0000DA080000}"/>
    <cellStyle name="R_METRADO_LLPP_2A_PARTE" xfId="2179" xr:uid="{00000000-0005-0000-0000-0000DB080000}"/>
    <cellStyle name="R_METRADO_TOTAL_RS-med prep mono cod  OK impreso" xfId="1771" xr:uid="{00000000-0005-0000-0000-0000DC080000}"/>
    <cellStyle name="R_METRADO_TOTAL_RS-med prep mono cod  OK impreso_00_VREF_33 Proy (Item 2)" xfId="2417" xr:uid="{00000000-0005-0000-0000-0000DD080000}"/>
    <cellStyle name="R_METRADO_TOTAL_RS-med prep mono cod  OK impreso_001_VREF_33 Proyectos (Grupo N°10)" xfId="2418" xr:uid="{00000000-0005-0000-0000-0000DE080000}"/>
    <cellStyle name="R_METRADO_TOTAL_RS-med prep mono cod  OK impreso_03_Valor Referencial_Grupo 8" xfId="2419" xr:uid="{00000000-0005-0000-0000-0000DF080000}"/>
    <cellStyle name="R_METRADO_TOTAL_RS-med prep mono cod  OK impreso_Copia de PRESUPUESTO GRUPO 11_6" xfId="2420" xr:uid="{00000000-0005-0000-0000-0000E0080000}"/>
    <cellStyle name="R_METRADO_TOTAL_RS-med prep mono cod  OK impreso_ESTIMADO" xfId="2421" xr:uid="{00000000-0005-0000-0000-0000E1080000}"/>
    <cellStyle name="R_METRADO_TOTAL_RS-med prep mono cod  OK impreso_Estimado (Grupo N°12) (version 2)" xfId="2422" xr:uid="{00000000-0005-0000-0000-0000E2080000}"/>
    <cellStyle name="R_METRADO_TOTAL_RS-med prep mono cod  OK impreso_G12 Oferta x Proyecto" xfId="2423" xr:uid="{00000000-0005-0000-0000-0000E3080000}"/>
    <cellStyle name="R_METRADO_TOTAL_RS-med prep mono cod  OK impreso_presupuesto grupo 12" xfId="2424" xr:uid="{00000000-0005-0000-0000-0000E4080000}"/>
    <cellStyle name="R_METRADO_TOTAL_RS-med prep mono cod  OK impreso_Presupuesto Grupo 8" xfId="2425" xr:uid="{00000000-0005-0000-0000-0000E5080000}"/>
    <cellStyle name="R_METRADO_TOTAL_RS-med prep mono cod  OK impreso_PRESUPUESTO GRUPO 9_ITEM 2_1" xfId="2426" xr:uid="{00000000-0005-0000-0000-0000E6080000}"/>
    <cellStyle name="R_METRADO_TOTAL_RS-med prep mono cod  OK impreso_PRESUPUESTO GRUPO 9_ITEM 2_8" xfId="2427" xr:uid="{00000000-0005-0000-0000-0000E7080000}"/>
    <cellStyle name="R_METRADO_TOTAL_RS-med prep mono cod  OK impreso_VReferencial (Grupo N°12)" xfId="2428" xr:uid="{00000000-0005-0000-0000-0000E8080000}"/>
    <cellStyle name="R_Metrados RRPP por localid" xfId="1772" xr:uid="{00000000-0005-0000-0000-0000E9080000}"/>
    <cellStyle name="R_Metrados RRPP por localid_00_VREF_33 Proy (Item 2)" xfId="2429" xr:uid="{00000000-0005-0000-0000-0000EA080000}"/>
    <cellStyle name="R_Metrados RRPP por localid_001_VREF_33 Proyectos (Grupo N°10)" xfId="2430" xr:uid="{00000000-0005-0000-0000-0000EB080000}"/>
    <cellStyle name="R_Metrados RRPP por localid_03_Valor Referencial_Grupo 8" xfId="2431" xr:uid="{00000000-0005-0000-0000-0000EC080000}"/>
    <cellStyle name="R_Metrados RRPP por localid_Copia de PRESUPUESTO GRUPO 11_6" xfId="2432" xr:uid="{00000000-0005-0000-0000-0000ED080000}"/>
    <cellStyle name="R_Metrados RRPP por localid_ESTIMADO" xfId="2433" xr:uid="{00000000-0005-0000-0000-0000EE080000}"/>
    <cellStyle name="R_Metrados RRPP por localid_Estimado (Grupo N°12) (version 2)" xfId="2434" xr:uid="{00000000-0005-0000-0000-0000EF080000}"/>
    <cellStyle name="R_Metrados RRPP por localid_G12 Oferta x Proyecto" xfId="2435" xr:uid="{00000000-0005-0000-0000-0000F0080000}"/>
    <cellStyle name="R_Metrados RRPP por localid_presupuesto grupo 12" xfId="2436" xr:uid="{00000000-0005-0000-0000-0000F1080000}"/>
    <cellStyle name="R_Metrados RRPP por localid_Presupuesto Grupo 8" xfId="2437" xr:uid="{00000000-0005-0000-0000-0000F2080000}"/>
    <cellStyle name="R_Metrados RRPP por localid_PRESUPUESTO GRUPO 9_ITEM 2_1" xfId="2438" xr:uid="{00000000-0005-0000-0000-0000F3080000}"/>
    <cellStyle name="R_Metrados RRPP por localid_PRESUPUESTO GRUPO 9_ITEM 2_8" xfId="2439" xr:uid="{00000000-0005-0000-0000-0000F4080000}"/>
    <cellStyle name="R_Metrados RRPP por localid_VReferencial (Grupo N°12)" xfId="2440" xr:uid="{00000000-0005-0000-0000-0000F5080000}"/>
    <cellStyle name="R_METRADOS -V2SySA_RP" xfId="1773" xr:uid="{00000000-0005-0000-0000-0000F6080000}"/>
    <cellStyle name="R_METRADOS -V2SySA_RP_00_VREF_33 Proy (Item 2)" xfId="2441" xr:uid="{00000000-0005-0000-0000-0000F7080000}"/>
    <cellStyle name="R_METRADOS -V2SySA_RP_001_VREF_33 Proyectos (Grupo N°10)" xfId="2442" xr:uid="{00000000-0005-0000-0000-0000F8080000}"/>
    <cellStyle name="R_METRADOS -V2SySA_RP_03_Valor Referencial_Grupo 8" xfId="2443" xr:uid="{00000000-0005-0000-0000-0000F9080000}"/>
    <cellStyle name="R_METRADOS -V2SySA_RP_Copia de PRESUPUESTO GRUPO 11_6" xfId="2444" xr:uid="{00000000-0005-0000-0000-0000FA080000}"/>
    <cellStyle name="R_METRADOS -V2SySA_RP_ESTIMADO" xfId="2445" xr:uid="{00000000-0005-0000-0000-0000FB080000}"/>
    <cellStyle name="R_METRADOS -V2SySA_RP_Estimado (Grupo N°12) (version 2)" xfId="2446" xr:uid="{00000000-0005-0000-0000-0000FC080000}"/>
    <cellStyle name="R_METRADOS -V2SySA_RP_G12 Oferta x Proyecto" xfId="2447" xr:uid="{00000000-0005-0000-0000-0000FD080000}"/>
    <cellStyle name="R_METRADOS -V2SySA_RP_presupuesto grupo 12" xfId="2448" xr:uid="{00000000-0005-0000-0000-0000FE080000}"/>
    <cellStyle name="R_METRADOS -V2SySA_RP_Presupuesto Grupo 8" xfId="2449" xr:uid="{00000000-0005-0000-0000-0000FF080000}"/>
    <cellStyle name="R_METRADOS -V2SySA_RP_PRESUPUESTO GRUPO 9_ITEM 2_1" xfId="2450" xr:uid="{00000000-0005-0000-0000-000000090000}"/>
    <cellStyle name="R_METRADOS -V2SySA_RP_PRESUPUESTO GRUPO 9_ITEM 2_8" xfId="2451" xr:uid="{00000000-0005-0000-0000-000001090000}"/>
    <cellStyle name="R_METRADOS -V2SySA_RP_VReferencial (Grupo N°12)" xfId="2452" xr:uid="{00000000-0005-0000-0000-000002090000}"/>
    <cellStyle name="R_MET-SE" xfId="1774" xr:uid="{00000000-0005-0000-0000-000003090000}"/>
    <cellStyle name="R_MOYCOS22" xfId="1775" xr:uid="{00000000-0005-0000-0000-000004090000}"/>
    <cellStyle name="R_MTDO Y PPTO MT Y BT-FINAL_" xfId="2453" xr:uid="{00000000-0005-0000-0000-000005090000}"/>
    <cellStyle name="R_MTDO Y PPTO REMOD BT HV" xfId="2454" xr:uid="{00000000-0005-0000-0000-000006090000}"/>
    <cellStyle name="R_MTDO Y PPTO REMOD MT_A4355_AUCA" xfId="1776" xr:uid="{00000000-0005-0000-0000-000007090000}"/>
    <cellStyle name="R_MTDO Y PPTO REMOD RP HV" xfId="2455" xr:uid="{00000000-0005-0000-0000-000008090000}"/>
    <cellStyle name="R_MTDO Y PPTO REMOD RP LURI" xfId="1777" xr:uid="{00000000-0005-0000-0000-000009090000}"/>
    <cellStyle name="R_MyP%20HDNA(1)" xfId="2456" xr:uid="{00000000-0005-0000-0000-00000A090000}"/>
    <cellStyle name="R_Ob Civiles SE Cesur" xfId="1778" xr:uid="{00000000-0005-0000-0000-00000B090000}"/>
    <cellStyle name="R_Ob Civiles SE Huallanca Nueva" xfId="1779" xr:uid="{00000000-0005-0000-0000-00000C090000}"/>
    <cellStyle name="R_Ob Civiles SE La Unión" xfId="1780" xr:uid="{00000000-0005-0000-0000-00000D090000}"/>
    <cellStyle name="R_Ob-Electromecánicas-SE. Puerto" xfId="1781" xr:uid="{00000000-0005-0000-0000-00000E090000}"/>
    <cellStyle name="R_Ob-Electromecánicas-SE.Mazuko" xfId="1782" xr:uid="{00000000-0005-0000-0000-00000F090000}"/>
    <cellStyle name="R_OFERTA CACI IX CONCURSO" xfId="2457" xr:uid="{00000000-0005-0000-0000-000010090000}"/>
    <cellStyle name="R_OFERTA CACI IX CONCURSO_PRESUPUESTO GRUPO 9_ITEM 2_8" xfId="2458" xr:uid="{00000000-0005-0000-0000-000011090000}"/>
    <cellStyle name="R_OFERTA HUANCABAMBA PAUCARTAMBO_final" xfId="2459" xr:uid="{00000000-0005-0000-0000-000012090000}"/>
    <cellStyle name="R_OFERTA HUANCABAMBA PAUCARTAMBO_final_Copia de PRESUPUESTO GRUPO 11_6" xfId="2460" xr:uid="{00000000-0005-0000-0000-000013090000}"/>
    <cellStyle name="R_P.U" xfId="2461" xr:uid="{00000000-0005-0000-0000-000014090000}"/>
    <cellStyle name="R_PE Yurinaki - 3" xfId="1938" xr:uid="{00000000-0005-0000-0000-000015090000}"/>
    <cellStyle name="R_PRESUP METRADOS TOTAL" xfId="1783" xr:uid="{00000000-0005-0000-0000-000016090000}"/>
    <cellStyle name="R_PRESUP METRADOS TOTAL_00_VREF_33 Proy (Item 2)" xfId="2462" xr:uid="{00000000-0005-0000-0000-000017090000}"/>
    <cellStyle name="R_PRESUP METRADOS TOTAL_001_VREF_33 Proyectos (Grupo N°10)" xfId="2463" xr:uid="{00000000-0005-0000-0000-000018090000}"/>
    <cellStyle name="R_PRESUP METRADOS TOTAL_03_Valor Referencial_Grupo 8" xfId="2464" xr:uid="{00000000-0005-0000-0000-000019090000}"/>
    <cellStyle name="R_PRESUP METRADOS TOTAL_Copia de PRESUPUESTO GRUPO 11_6" xfId="2465" xr:uid="{00000000-0005-0000-0000-00001A090000}"/>
    <cellStyle name="R_PRESUP METRADOS TOTAL_ESTIMADO" xfId="2466" xr:uid="{00000000-0005-0000-0000-00001B090000}"/>
    <cellStyle name="R_PRESUP METRADOS TOTAL_Estimado (Grupo N°12) (version 2)" xfId="2467" xr:uid="{00000000-0005-0000-0000-00001C090000}"/>
    <cellStyle name="R_PRESUP METRADOS TOTAL_G12 Oferta x Proyecto" xfId="2468" xr:uid="{00000000-0005-0000-0000-00001D090000}"/>
    <cellStyle name="R_PRESUP METRADOS TOTAL_presupuesto grupo 12" xfId="2469" xr:uid="{00000000-0005-0000-0000-00001E090000}"/>
    <cellStyle name="R_PRESUP METRADOS TOTAL_Presupuesto Grupo 8" xfId="2470" xr:uid="{00000000-0005-0000-0000-00001F090000}"/>
    <cellStyle name="R_PRESUP METRADOS TOTAL_PRESUPUESTO GRUPO 9_ITEM 2_1" xfId="2471" xr:uid="{00000000-0005-0000-0000-000020090000}"/>
    <cellStyle name="R_PRESUP METRADOS TOTAL_PRESUPUESTO GRUPO 9_ITEM 2_8" xfId="2472" xr:uid="{00000000-0005-0000-0000-000021090000}"/>
    <cellStyle name="R_PRESUP METRADOS TOTAL_VReferencial (Grupo N°12)" xfId="2473" xr:uid="{00000000-0005-0000-0000-000022090000}"/>
    <cellStyle name="R_presupuesto  PSE MCrisnejas 1" xfId="2474" xr:uid="{00000000-0005-0000-0000-000023090000}"/>
    <cellStyle name="R_presupuesto adicional 2 - LINEAS PRIMARIAS" xfId="2180" xr:uid="{00000000-0005-0000-0000-000024090000}"/>
    <cellStyle name="R_PRESUPUESTO BT  Precios     MEM 2006  RS" xfId="2475" xr:uid="{00000000-0005-0000-0000-000025090000}"/>
    <cellStyle name="R_PRESUPUESTO BT  Precios     MEM 2006  RS_Estimado Cajabamba" xfId="2476" xr:uid="{00000000-0005-0000-0000-000026090000}"/>
    <cellStyle name="R_PRESUPUESTO BT  Precios     MEM 2006  RS_Presupuesto final SanGregorio" xfId="2477" xr:uid="{00000000-0005-0000-0000-000027090000}"/>
    <cellStyle name="R_PRESUPUESTO CHICLAYO" xfId="2478" xr:uid="{00000000-0005-0000-0000-000028090000}"/>
    <cellStyle name="R_PRESUPUESTO CHICLAYO_PRESUPUESTO GRUPO 9_ITEM 2_8" xfId="2479" xr:uid="{00000000-0005-0000-0000-000029090000}"/>
    <cellStyle name="R_Presupuesto Final Huancayo 140807" xfId="1784" xr:uid="{00000000-0005-0000-0000-00002A090000}"/>
    <cellStyle name="R_Presupuesto Final Huancayo 140807_CHULUCANAS I" xfId="1785" xr:uid="{00000000-0005-0000-0000-00002B090000}"/>
    <cellStyle name="R_Presupuesto Final Huancayo 140807_Copia de PRESUPUESTO GRUPO 11_6" xfId="2480" xr:uid="{00000000-0005-0000-0000-00002C090000}"/>
    <cellStyle name="R_PRESUPUESTO FINAL REMODELACION TARMA" xfId="2481" xr:uid="{00000000-0005-0000-0000-00002D090000}"/>
    <cellStyle name="R_PRESUPUESTO GRUPO 9_ITEM 2_4" xfId="2482" xr:uid="{00000000-0005-0000-0000-00002E090000}"/>
    <cellStyle name="R_PRESUPUESTO HUACARIZ 5" xfId="2483" xr:uid="{00000000-0005-0000-0000-00002F090000}"/>
    <cellStyle name="R_PRESUPUESTO HUACARIZ 5_Copia de PRESUPUESTO GRUPO 11_6" xfId="2484" xr:uid="{00000000-0005-0000-0000-000030090000}"/>
    <cellStyle name="R_Presupuesto LT 60kV  Piura-Macacara 1" xfId="2485" xr:uid="{00000000-0005-0000-0000-000031090000}"/>
    <cellStyle name="R_Presupuesto LT 60kV  Piura-Macacara 1_Copia de PRESUPUESTO GRUPO 11_6" xfId="2486" xr:uid="{00000000-0005-0000-0000-000032090000}"/>
    <cellStyle name="R_PRESUPUESTO MT  Precios     MEM 2006  LP" xfId="2487" xr:uid="{00000000-0005-0000-0000-000033090000}"/>
    <cellStyle name="R_PRESUPUESTO MT  Precios     MEM 2006  LP_Estimado Cajabamba" xfId="2488" xr:uid="{00000000-0005-0000-0000-000034090000}"/>
    <cellStyle name="R_PRESUPUESTO MT  Precios     MEM 2006  LP_Presupuesto final SanGregorio" xfId="2489" xr:uid="{00000000-0005-0000-0000-000035090000}"/>
    <cellStyle name="R_PRESUPUESTO MT  Precios     MEM 2006  RP" xfId="2490" xr:uid="{00000000-0005-0000-0000-000036090000}"/>
    <cellStyle name="R_PRESUPUESTO MT  Precios     MEM 2006  RP_Estimado Cajabamba" xfId="2491" xr:uid="{00000000-0005-0000-0000-000037090000}"/>
    <cellStyle name="R_PRESUPUESTO MT  Precios     MEM 2006  RP_Presupuesto final SanGregorio" xfId="2492" xr:uid="{00000000-0005-0000-0000-000038090000}"/>
    <cellStyle name="R_PRESUPUESTO OLMOS 1" xfId="2493" xr:uid="{00000000-0005-0000-0000-000039090000}"/>
    <cellStyle name="R_PRESUPUESTO OLMOS 1(final)" xfId="2494" xr:uid="{00000000-0005-0000-0000-00003A090000}"/>
    <cellStyle name="R_PRESUPUESTO OXAPAMPA 7" xfId="1786" xr:uid="{00000000-0005-0000-0000-00003B090000}"/>
    <cellStyle name="R_PRESUPUESTO OXAPAMPA 7(FINAL)" xfId="1787" xr:uid="{00000000-0005-0000-0000-00003C090000}"/>
    <cellStyle name="R_PRESUPUESTO PEDREGAL-HUARAS" xfId="2495" xr:uid="{00000000-0005-0000-0000-00003D090000}"/>
    <cellStyle name="R_PRESUPUESTO PEDREGAL-HUARAS FINAL" xfId="1788" xr:uid="{00000000-0005-0000-0000-00003E090000}"/>
    <cellStyle name="R_PRESUPUESTO PEDREGAL-HUARAS FINAL_CHULUCANAS I" xfId="1789" xr:uid="{00000000-0005-0000-0000-00003F090000}"/>
    <cellStyle name="R_PRESUPUESTO PEDREGAL-HUARAS FINAL_Copia de PRESUPUESTO GRUPO 11_6" xfId="2496" xr:uid="{00000000-0005-0000-0000-000040090000}"/>
    <cellStyle name="R_PRESUPUESTO REMODELACION  VALLE MANTARO FINAL" xfId="2497" xr:uid="{00000000-0005-0000-0000-000041090000}"/>
    <cellStyle name="R_PRESUPUESTO REMODELACION HUANCAYO 3" xfId="2498" xr:uid="{00000000-0005-0000-0000-000042090000}"/>
    <cellStyle name="R_PRESUPUESTO REMODELACION HUANCAYO 3(final)" xfId="2499" xr:uid="{00000000-0005-0000-0000-000043090000}"/>
    <cellStyle name="R_PRESUPUESTO REMODELACION HUANCAYO 3_Copia de PRESUPUESTO GRUPO 11_6" xfId="2500" xr:uid="{00000000-0005-0000-0000-000044090000}"/>
    <cellStyle name="R_-Presupuesto RS  Proy  1" xfId="1790" xr:uid="{00000000-0005-0000-0000-000045090000}"/>
    <cellStyle name="R_-Presupuesto RS  Proy  1_00_VREF_33 Proy (Item 2)" xfId="2501" xr:uid="{00000000-0005-0000-0000-000046090000}"/>
    <cellStyle name="R_-Presupuesto RS  Proy  1_001_VREF_33 Proyectos (Grupo N°10)" xfId="2502" xr:uid="{00000000-0005-0000-0000-000047090000}"/>
    <cellStyle name="R_-Presupuesto RS  Proy  1_004_Valor Referencial (Grupo N°10)" xfId="2503" xr:uid="{00000000-0005-0000-0000-000048090000}"/>
    <cellStyle name="R_-Presupuesto RS  Proy  1_03_Valor Referencial_Grupo 8" xfId="2504" xr:uid="{00000000-0005-0000-0000-000049090000}"/>
    <cellStyle name="R_-Presupuesto RS  Proy  1_1" xfId="1791" xr:uid="{00000000-0005-0000-0000-00004A090000}"/>
    <cellStyle name="R_-Presupuesto RS  Proy  1_1_00_VREF_33 Proy (Item 2)" xfId="2505" xr:uid="{00000000-0005-0000-0000-00004B090000}"/>
    <cellStyle name="R_-Presupuesto RS  Proy  1_1_001_VREF_33 Proyectos (Grupo N°10)" xfId="2506" xr:uid="{00000000-0005-0000-0000-00004C090000}"/>
    <cellStyle name="R_-Presupuesto RS  Proy  1_1_03_Valor Referencial_Grupo 8" xfId="2507" xr:uid="{00000000-0005-0000-0000-00004D090000}"/>
    <cellStyle name="R_-Presupuesto RS  Proy  1_1_Copia de PRESUPUESTO GRUPO 11_6" xfId="2508" xr:uid="{00000000-0005-0000-0000-00004E090000}"/>
    <cellStyle name="R_-Presupuesto RS  Proy  1_1_ESTIMADO" xfId="2509" xr:uid="{00000000-0005-0000-0000-00004F090000}"/>
    <cellStyle name="R_-Presupuesto RS  Proy  1_1_Estimado (Grupo N°12) (version 2)" xfId="2510" xr:uid="{00000000-0005-0000-0000-000050090000}"/>
    <cellStyle name="R_-Presupuesto RS  Proy  1_1_G12 Oferta x Proyecto" xfId="2511" xr:uid="{00000000-0005-0000-0000-000051090000}"/>
    <cellStyle name="R_-Presupuesto RS  Proy  1_1_presupuesto grupo 12" xfId="2512" xr:uid="{00000000-0005-0000-0000-000052090000}"/>
    <cellStyle name="R_-Presupuesto RS  Proy  1_1_Presupuesto Grupo 8" xfId="2513" xr:uid="{00000000-0005-0000-0000-000053090000}"/>
    <cellStyle name="R_-Presupuesto RS  Proy  1_1_PRESUPUESTO GRUPO 9_ITEM 2_1" xfId="2514" xr:uid="{00000000-0005-0000-0000-000054090000}"/>
    <cellStyle name="R_-Presupuesto RS  Proy  1_1_PRESUPUESTO GRUPO 9_ITEM 2_8" xfId="2515" xr:uid="{00000000-0005-0000-0000-000055090000}"/>
    <cellStyle name="R_-Presupuesto RS  Proy  1_1_VReferencial (Grupo N°12)" xfId="2516" xr:uid="{00000000-0005-0000-0000-000056090000}"/>
    <cellStyle name="R_-Presupuesto RS  Proy  1_Copia de PRESUPUESTO GRUPO 11_6" xfId="2517" xr:uid="{00000000-0005-0000-0000-000057090000}"/>
    <cellStyle name="R_-Presupuesto RS  Proy  1_ELET_RURAL GRUPO 3 - ITEM 2-V01" xfId="1792" xr:uid="{00000000-0005-0000-0000-000058090000}"/>
    <cellStyle name="R_-Presupuesto RS  Proy  1_ESTIMADO" xfId="2518" xr:uid="{00000000-0005-0000-0000-000059090000}"/>
    <cellStyle name="R_-Presupuesto RS  Proy  1_Estimado (Grupo N°12) (version 2)" xfId="2519" xr:uid="{00000000-0005-0000-0000-00005A090000}"/>
    <cellStyle name="R_-Presupuesto RS  Proy  1_G12 Oferta x Proyecto" xfId="2520" xr:uid="{00000000-0005-0000-0000-00005B090000}"/>
    <cellStyle name="R_-Presupuesto RS  Proy  1_Grupo 9 - PNER Cajamarca" xfId="1793" xr:uid="{00000000-0005-0000-0000-00005C090000}"/>
    <cellStyle name="R_-Presupuesto RS  Proy  1_MyP%20HDNA(1)" xfId="2521" xr:uid="{00000000-0005-0000-0000-00005D090000}"/>
    <cellStyle name="R_-Presupuesto RS  Proy  1_Plantilla Valor Referencial" xfId="1794" xr:uid="{00000000-0005-0000-0000-00005E090000}"/>
    <cellStyle name="R_-Presupuesto RS  Proy  1_Plantilla Valor Referencial_00_VREF_33 Proy (Item 2)" xfId="2522" xr:uid="{00000000-0005-0000-0000-00005F090000}"/>
    <cellStyle name="R_-Presupuesto RS  Proy  1_Plantilla Valor Referencial_001_VREF_33 Proyectos (Grupo N°10)" xfId="2523" xr:uid="{00000000-0005-0000-0000-000060090000}"/>
    <cellStyle name="R_-Presupuesto RS  Proy  1_Plantilla Valor Referencial_03_Valor Referencial_Grupo 8" xfId="2524" xr:uid="{00000000-0005-0000-0000-000061090000}"/>
    <cellStyle name="R_-Presupuesto RS  Proy  1_Plantilla Valor Referencial_Copia de PRESUPUESTO GRUPO 11_6" xfId="2525" xr:uid="{00000000-0005-0000-0000-000062090000}"/>
    <cellStyle name="R_-Presupuesto RS  Proy  1_Plantilla Valor Referencial_ESTIMADO" xfId="2526" xr:uid="{00000000-0005-0000-0000-000063090000}"/>
    <cellStyle name="R_-Presupuesto RS  Proy  1_Plantilla Valor Referencial_Estimado (Grupo N°12) (version 2)" xfId="2527" xr:uid="{00000000-0005-0000-0000-000064090000}"/>
    <cellStyle name="R_-Presupuesto RS  Proy  1_Plantilla Valor Referencial_G12 Oferta x Proyecto" xfId="2528" xr:uid="{00000000-0005-0000-0000-000065090000}"/>
    <cellStyle name="R_-Presupuesto RS  Proy  1_Plantilla Valor Referencial_presupuesto grupo 12" xfId="2529" xr:uid="{00000000-0005-0000-0000-000066090000}"/>
    <cellStyle name="R_-Presupuesto RS  Proy  1_Plantilla Valor Referencial_Presupuesto Grupo 8" xfId="2530" xr:uid="{00000000-0005-0000-0000-000067090000}"/>
    <cellStyle name="R_-Presupuesto RS  Proy  1_Plantilla Valor Referencial_PRESUPUESTO GRUPO 9_ITEM 2_1" xfId="2531" xr:uid="{00000000-0005-0000-0000-000068090000}"/>
    <cellStyle name="R_-Presupuesto RS  Proy  1_Plantilla Valor Referencial_PRESUPUESTO GRUPO 9_ITEM 2_8" xfId="2532" xr:uid="{00000000-0005-0000-0000-000069090000}"/>
    <cellStyle name="R_-Presupuesto RS  Proy  1_Plantilla Valor Referencial_VReferencial (Grupo N°12)" xfId="2533" xr:uid="{00000000-0005-0000-0000-00006A090000}"/>
    <cellStyle name="R_-Presupuesto RS  Proy  1_PRESUPUESTO BT  Precios     MEM 2006  RS" xfId="2534" xr:uid="{00000000-0005-0000-0000-00006B090000}"/>
    <cellStyle name="R_-Presupuesto RS  Proy  1_PRESUPUESTO BT  Precios     MEM 2006  RS_Estimado Cajabamba" xfId="2535" xr:uid="{00000000-0005-0000-0000-00006C090000}"/>
    <cellStyle name="R_-Presupuesto RS  Proy  1_PRESUPUESTO BT  Precios     MEM 2006  RS_Presupuesto final SanGregorio" xfId="2536" xr:uid="{00000000-0005-0000-0000-00006D090000}"/>
    <cellStyle name="R_-Presupuesto RS  Proy  1_presupuesto grupo 12" xfId="2537" xr:uid="{00000000-0005-0000-0000-00006E090000}"/>
    <cellStyle name="R_-Presupuesto RS  Proy  1_Presupuesto Grupo 8" xfId="2538" xr:uid="{00000000-0005-0000-0000-00006F090000}"/>
    <cellStyle name="R_-Presupuesto RS  Proy  1_PRESUPUESTO GRUPO 9_ITEM 2_1" xfId="2539" xr:uid="{00000000-0005-0000-0000-000070090000}"/>
    <cellStyle name="R_-Presupuesto RS  Proy  1_PRESUPUESTO GRUPO 9_ITEM 2_4" xfId="2540" xr:uid="{00000000-0005-0000-0000-000071090000}"/>
    <cellStyle name="R_-Presupuesto RS  Proy  1_PRESUPUESTO GRUPO 9_ITEM 2_8" xfId="2541" xr:uid="{00000000-0005-0000-0000-000072090000}"/>
    <cellStyle name="R_-Presupuesto RS  Proy  1_presupuesto Huaylas final" xfId="2542" xr:uid="{00000000-0005-0000-0000-000073090000}"/>
    <cellStyle name="R_-Presupuesto RS  Proy  1_PropuestaCorregidaSan Juan Bautista" xfId="1795" xr:uid="{00000000-0005-0000-0000-000074090000}"/>
    <cellStyle name="R_-Presupuesto RS  Proy  1_Resumen Grupo 3 LP" xfId="1796" xr:uid="{00000000-0005-0000-0000-000075090000}"/>
    <cellStyle name="R_-Presupuesto RS  Proy  1_Resumen RS Grupo 3" xfId="1797" xr:uid="{00000000-0005-0000-0000-000076090000}"/>
    <cellStyle name="R_-Presupuesto RS  Proy  1_VALOR REFER. ELET_RURAL GRUPO 2" xfId="1798" xr:uid="{00000000-0005-0000-0000-000077090000}"/>
    <cellStyle name="R_-Presupuesto RS  Proy  1_VReferencial (Grupo N°12)" xfId="2543" xr:uid="{00000000-0005-0000-0000-000078090000}"/>
    <cellStyle name="R_-Presupuesto RS  Proy  10" xfId="1799" xr:uid="{00000000-0005-0000-0000-000079090000}"/>
    <cellStyle name="R_-Presupuesto RS  Proy  10_Grupo 9 - PNER Cajamarca" xfId="1800" xr:uid="{00000000-0005-0000-0000-00007A090000}"/>
    <cellStyle name="R_-Presupuesto RS  Proy  Fuente" xfId="1801" xr:uid="{00000000-0005-0000-0000-00007B090000}"/>
    <cellStyle name="R_-Presupuesto RS  Proy  Fuente_00_VREF_33 Proy (Item 2)" xfId="2544" xr:uid="{00000000-0005-0000-0000-00007C090000}"/>
    <cellStyle name="R_-Presupuesto RS  Proy  Fuente_001_VREF_33 Proyectos (Grupo N°10)" xfId="2545" xr:uid="{00000000-0005-0000-0000-00007D090000}"/>
    <cellStyle name="R_-Presupuesto RS  Proy  Fuente_004_Valor Referencial (Grupo N°10)" xfId="2546" xr:uid="{00000000-0005-0000-0000-00007E090000}"/>
    <cellStyle name="R_-Presupuesto RS  Proy  Fuente_03_Valor Referencial_Grupo 8" xfId="2547" xr:uid="{00000000-0005-0000-0000-00007F090000}"/>
    <cellStyle name="R_-Presupuesto RS  Proy  Fuente_Copia de PRESUPUESTO GRUPO 11_6" xfId="2548" xr:uid="{00000000-0005-0000-0000-000080090000}"/>
    <cellStyle name="R_-Presupuesto RS  Proy  Fuente_ELET_RURAL GRUPO 3 - ITEM 2-V01" xfId="1802" xr:uid="{00000000-0005-0000-0000-000081090000}"/>
    <cellStyle name="R_-Presupuesto RS  Proy  Fuente_ESTIMADO" xfId="2549" xr:uid="{00000000-0005-0000-0000-000082090000}"/>
    <cellStyle name="R_-Presupuesto RS  Proy  Fuente_Estimado (Grupo N°12) (version 2)" xfId="2550" xr:uid="{00000000-0005-0000-0000-000083090000}"/>
    <cellStyle name="R_-Presupuesto RS  Proy  Fuente_G12 Oferta x Proyecto" xfId="2551" xr:uid="{00000000-0005-0000-0000-000084090000}"/>
    <cellStyle name="R_-Presupuesto RS  Proy  Fuente_presupuesto grupo 12" xfId="2552" xr:uid="{00000000-0005-0000-0000-000085090000}"/>
    <cellStyle name="R_-Presupuesto RS  Proy  Fuente_Presupuesto Grupo 8" xfId="2553" xr:uid="{00000000-0005-0000-0000-000086090000}"/>
    <cellStyle name="R_-Presupuesto RS  Proy  Fuente_PRESUPUESTO GRUPO 9_ITEM 2_1" xfId="2554" xr:uid="{00000000-0005-0000-0000-000087090000}"/>
    <cellStyle name="R_-Presupuesto RS  Proy  Fuente_PRESUPUESTO GRUPO 9_ITEM 2_4" xfId="2555" xr:uid="{00000000-0005-0000-0000-000088090000}"/>
    <cellStyle name="R_-Presupuesto RS  Proy  Fuente_PRESUPUESTO GRUPO 9_ITEM 2_8" xfId="2556" xr:uid="{00000000-0005-0000-0000-000089090000}"/>
    <cellStyle name="R_-Presupuesto RS  Proy  Fuente_PropuestaCorregidaSan Juan Bautista" xfId="1803" xr:uid="{00000000-0005-0000-0000-00008A090000}"/>
    <cellStyle name="R_-Presupuesto RS  Proy  Fuente_VALOR REFER. ELET_RURAL GRUPO 2" xfId="1804" xr:uid="{00000000-0005-0000-0000-00008B090000}"/>
    <cellStyle name="R_-Presupuesto RS  Proy  Fuente_VReferencial (Grupo N°12)" xfId="2557" xr:uid="{00000000-0005-0000-0000-00008C090000}"/>
    <cellStyle name="R_PRESUPUESTO TARMA 4" xfId="2558" xr:uid="{00000000-0005-0000-0000-00008D090000}"/>
    <cellStyle name="R_PRESUPUESTO Viru 5" xfId="2559" xr:uid="{00000000-0005-0000-0000-00008E090000}"/>
    <cellStyle name="R_PRESUPUESTO YURIMAGUAS 8" xfId="2560" xr:uid="{00000000-0005-0000-0000-00008F090000}"/>
    <cellStyle name="R_PRESUPUESTO YURIMAGUAS 8_Copia de PRESUPUESTO GRUPO 11_6" xfId="2561" xr:uid="{00000000-0005-0000-0000-000090090000}"/>
    <cellStyle name="R_Presupuesto-Regulador" xfId="1805" xr:uid="{00000000-0005-0000-0000-000091090000}"/>
    <cellStyle name="R_-Presupuesto-RS Villa Rica" xfId="1806" xr:uid="{00000000-0005-0000-0000-000092090000}"/>
    <cellStyle name="R_-Presupuesto-RS Villa Rica_00_VREF_33 Proy (Item 2)" xfId="2562" xr:uid="{00000000-0005-0000-0000-000093090000}"/>
    <cellStyle name="R_-Presupuesto-RS Villa Rica_001_VREF_33 Proyectos (Grupo N°10)" xfId="2563" xr:uid="{00000000-0005-0000-0000-000094090000}"/>
    <cellStyle name="R_-Presupuesto-RS Villa Rica_03_Valor Referencial_Grupo 8" xfId="2564" xr:uid="{00000000-0005-0000-0000-000095090000}"/>
    <cellStyle name="R_-Presupuesto-RS Villa Rica_Copia de PRESUPUESTO GRUPO 11_6" xfId="2565" xr:uid="{00000000-0005-0000-0000-000096090000}"/>
    <cellStyle name="R_-Presupuesto-RS Villa Rica_ESTIMADO" xfId="2566" xr:uid="{00000000-0005-0000-0000-000097090000}"/>
    <cellStyle name="R_-Presupuesto-RS Villa Rica_Estimado (Grupo N°12) (version 2)" xfId="2567" xr:uid="{00000000-0005-0000-0000-000098090000}"/>
    <cellStyle name="R_-Presupuesto-RS Villa Rica_G12 Oferta x Proyecto" xfId="2568" xr:uid="{00000000-0005-0000-0000-000099090000}"/>
    <cellStyle name="R_-Presupuesto-RS Villa Rica_presupuesto grupo 12" xfId="2569" xr:uid="{00000000-0005-0000-0000-00009A090000}"/>
    <cellStyle name="R_-Presupuesto-RS Villa Rica_Presupuesto Grupo 8" xfId="2570" xr:uid="{00000000-0005-0000-0000-00009B090000}"/>
    <cellStyle name="R_-Presupuesto-RS Villa Rica_PRESUPUESTO GRUPO 9_ITEM 2_1" xfId="2571" xr:uid="{00000000-0005-0000-0000-00009C090000}"/>
    <cellStyle name="R_-Presupuesto-RS Villa Rica_PRESUPUESTO GRUPO 9_ITEM 2_8" xfId="2572" xr:uid="{00000000-0005-0000-0000-00009D090000}"/>
    <cellStyle name="R_-Presupuesto-RS Villa Rica_VReferencial (Grupo N°12)" xfId="2573" xr:uid="{00000000-0005-0000-0000-00009E090000}"/>
    <cellStyle name="R_PropuestaCorregidaSan Juan Bautista" xfId="1807" xr:uid="{00000000-0005-0000-0000-00009F090000}"/>
    <cellStyle name="R_PRUPUESTO Trujillo rural 7" xfId="2574" xr:uid="{00000000-0005-0000-0000-0000A0090000}"/>
    <cellStyle name="R_PSE CUSCO - ITEM 2 - INCOSAC" xfId="1808" xr:uid="{00000000-0005-0000-0000-0000A1090000}"/>
    <cellStyle name="R_pu" xfId="2575" xr:uid="{00000000-0005-0000-0000-0000A2090000}"/>
    <cellStyle name="R_REFERENCIAL Chancay(YO AVANCE)" xfId="2576" xr:uid="{00000000-0005-0000-0000-0000A3090000}"/>
    <cellStyle name="R_REPCOSTO" xfId="1809" xr:uid="{00000000-0005-0000-0000-0000A4090000}"/>
    <cellStyle name="R_REPCOSTO_00_VREF_33 Proy (Item 2)" xfId="2577" xr:uid="{00000000-0005-0000-0000-0000A5090000}"/>
    <cellStyle name="R_REPCOSTO_001_VREF_33 Proyectos (Grupo N°10)" xfId="2578" xr:uid="{00000000-0005-0000-0000-0000A6090000}"/>
    <cellStyle name="R_REPCOSTO_004_Valor Referencial (Grupo N°10)" xfId="2579" xr:uid="{00000000-0005-0000-0000-0000A7090000}"/>
    <cellStyle name="R_REPCOSTO_01 Cuadros_Valorizacion01_Febrero Satipo Ramal 2" xfId="1810" xr:uid="{00000000-0005-0000-0000-0000A8090000}"/>
    <cellStyle name="R_REPCOSTO_03_Valor Referencial_Grupo 8" xfId="2580" xr:uid="{00000000-0005-0000-0000-0000A9090000}"/>
    <cellStyle name="R_REPCOSTO_1.PRESUPUESTO TARMA 4" xfId="2581" xr:uid="{00000000-0005-0000-0000-0000AA090000}"/>
    <cellStyle name="R_REPCOSTO_4. Presup SE GRUPO 3" xfId="1811" xr:uid="{00000000-0005-0000-0000-0000AB090000}"/>
    <cellStyle name="R_REPCOSTO_Anex. 1.1 al 2.18-prefact" xfId="1812" xr:uid="{00000000-0005-0000-0000-0000AC090000}"/>
    <cellStyle name="R_REPCOSTO_Anex. 1.1 al 2.18-prefact_00_VREF_33 Proy (Item 2)" xfId="2582" xr:uid="{00000000-0005-0000-0000-0000AD090000}"/>
    <cellStyle name="R_REPCOSTO_Anex. 1.1 al 2.18-prefact_001_VREF_33 Proyectos (Grupo N°10)" xfId="2583" xr:uid="{00000000-0005-0000-0000-0000AE090000}"/>
    <cellStyle name="R_REPCOSTO_Anex. 1.1 al 2.18-prefact_03_Valor Referencial_Grupo 8" xfId="2584" xr:uid="{00000000-0005-0000-0000-0000AF090000}"/>
    <cellStyle name="R_REPCOSTO_Anex. 1.1 al 2.18-prefact_Copia de PRESUPUESTO GRUPO 11_6" xfId="2585" xr:uid="{00000000-0005-0000-0000-0000B0090000}"/>
    <cellStyle name="R_REPCOSTO_Anex. 1.1 al 2.18-prefact_ELET_RURAL GRUPO 3 - ITEM 2-V01" xfId="1813" xr:uid="{00000000-0005-0000-0000-0000B1090000}"/>
    <cellStyle name="R_REPCOSTO_Anex. 1.1 al 2.18-prefact_ESTIMADO" xfId="2586" xr:uid="{00000000-0005-0000-0000-0000B2090000}"/>
    <cellStyle name="R_REPCOSTO_Anex. 1.1 al 2.18-prefact_Estimado (Grupo N°12) (version 2)" xfId="2587" xr:uid="{00000000-0005-0000-0000-0000B3090000}"/>
    <cellStyle name="R_REPCOSTO_Anex. 1.1 al 2.18-prefact_G12 Oferta x Proyecto" xfId="2588" xr:uid="{00000000-0005-0000-0000-0000B4090000}"/>
    <cellStyle name="R_REPCOSTO_Anex. 1.1 al 2.18-prefact_Grupo 9 - PNER Cajamarca" xfId="1814" xr:uid="{00000000-0005-0000-0000-0000B5090000}"/>
    <cellStyle name="R_REPCOSTO_Anex. 1.1 al 2.18-prefact_presupuesto grupo 12" xfId="2589" xr:uid="{00000000-0005-0000-0000-0000B6090000}"/>
    <cellStyle name="R_REPCOSTO_Anex. 1.1 al 2.18-prefact_Presupuesto Grupo 8" xfId="2590" xr:uid="{00000000-0005-0000-0000-0000B7090000}"/>
    <cellStyle name="R_REPCOSTO_Anex. 1.1 al 2.18-prefact_PRESUPUESTO GRUPO 9_ITEM 2_1" xfId="2591" xr:uid="{00000000-0005-0000-0000-0000B8090000}"/>
    <cellStyle name="R_REPCOSTO_Anex. 1.1 al 2.18-prefact_PRESUPUESTO GRUPO 9_ITEM 2_8" xfId="2592" xr:uid="{00000000-0005-0000-0000-0000B9090000}"/>
    <cellStyle name="R_REPCOSTO_Anex. 1.1 al 2.18-prefact_PropuestaCorregidaSan Juan Bautista" xfId="1815" xr:uid="{00000000-0005-0000-0000-0000BA090000}"/>
    <cellStyle name="R_REPCOSTO_Anex. 1.1 al 2.18-prefact_Resumen Grupo 3 LP" xfId="1816" xr:uid="{00000000-0005-0000-0000-0000BB090000}"/>
    <cellStyle name="R_REPCOSTO_Anex. 1.1 al 2.18-prefact_Resumen RS Grupo 3" xfId="1817" xr:uid="{00000000-0005-0000-0000-0000BC090000}"/>
    <cellStyle name="R_REPCOSTO_Anex. 1.1 al 2.18-prefact_VALOR REFER. ELET_RURAL GRUPO 2" xfId="1818" xr:uid="{00000000-0005-0000-0000-0000BD090000}"/>
    <cellStyle name="R_REPCOSTO_Anex. 1.1 al 2.18-prefact_VReferencial (Grupo N°12)" xfId="2593" xr:uid="{00000000-0005-0000-0000-0000BE090000}"/>
    <cellStyle name="R_REPCOSTO_AVANCE DE VALORIZAC_CRLS" xfId="1819" xr:uid="{00000000-0005-0000-0000-0000BF090000}"/>
    <cellStyle name="R_REPCOSTO_Axo E 2.3 G1-1 ok+" xfId="2594" xr:uid="{00000000-0005-0000-0000-0000C0090000}"/>
    <cellStyle name="R_REPCOSTO_CAPTA CLTES MAYORES FINAL (version 1) (version 1)" xfId="2595" xr:uid="{00000000-0005-0000-0000-0000C1090000}"/>
    <cellStyle name="R_REPCOSTO_CHULUCANAS I" xfId="1820" xr:uid="{00000000-0005-0000-0000-0000C2090000}"/>
    <cellStyle name="R_REPCOSTO_Copia de PRESUPUESTO GRUPO 11_6" xfId="2596" xr:uid="{00000000-0005-0000-0000-0000C3090000}"/>
    <cellStyle name="R_REPCOSTO_criterios" xfId="1821" xr:uid="{00000000-0005-0000-0000-0000C4090000}"/>
    <cellStyle name="R_REPCOSTO_criterios_Grupo 9 - PNER Cajamarca" xfId="1822" xr:uid="{00000000-0005-0000-0000-0000C5090000}"/>
    <cellStyle name="R_REPCOSTO_criterios_Resumen Grupo 3 LP" xfId="1823" xr:uid="{00000000-0005-0000-0000-0000C6090000}"/>
    <cellStyle name="R_REPCOSTO_criterios_Resumen RS Grupo 3" xfId="1824" xr:uid="{00000000-0005-0000-0000-0000C7090000}"/>
    <cellStyle name="R_REPCOSTO_criterios_VALOR REFER. ELET_RURAL GRUPO 2" xfId="1825" xr:uid="{00000000-0005-0000-0000-0000C8090000}"/>
    <cellStyle name="R_REPCOSTO_CUADROS_ VALORIZACIONES_MARZO_RAMAL_2" xfId="1826" xr:uid="{00000000-0005-0000-0000-0000C9090000}"/>
    <cellStyle name="R_REPCOSTO_D2.01-D2.06-D2.07 Res Gen -Gastos Gen-Estd Ing Proy 2" xfId="1827" xr:uid="{00000000-0005-0000-0000-0000CA090000}"/>
    <cellStyle name="R_REPCOSTO_D2.01-D2.06-D2.07 Res Gen -Gastos Gen-Estd Ing Proy 2_00_VREF_33 Proy (Item 2)" xfId="2597" xr:uid="{00000000-0005-0000-0000-0000CB090000}"/>
    <cellStyle name="R_REPCOSTO_D2.01-D2.06-D2.07 Res Gen -Gastos Gen-Estd Ing Proy 2_001_VREF_33 Proyectos (Grupo N°10)" xfId="2598" xr:uid="{00000000-0005-0000-0000-0000CC090000}"/>
    <cellStyle name="R_REPCOSTO_D2.01-D2.06-D2.07 Res Gen -Gastos Gen-Estd Ing Proy 2_03_Valor Referencial_Grupo 8" xfId="2599" xr:uid="{00000000-0005-0000-0000-0000CD090000}"/>
    <cellStyle name="R_REPCOSTO_D2.01-D2.06-D2.07 Res Gen -Gastos Gen-Estd Ing Proy 2_Copia de PRESUPUESTO GRUPO 11_6" xfId="2600" xr:uid="{00000000-0005-0000-0000-0000CE090000}"/>
    <cellStyle name="R_REPCOSTO_D2.01-D2.06-D2.07 Res Gen -Gastos Gen-Estd Ing Proy 2_ELET_RURAL GRUPO 3 - ITEM 2-V01" xfId="1828" xr:uid="{00000000-0005-0000-0000-0000CF090000}"/>
    <cellStyle name="R_REPCOSTO_D2.01-D2.06-D2.07 Res Gen -Gastos Gen-Estd Ing Proy 2_ESTIMADO" xfId="2601" xr:uid="{00000000-0005-0000-0000-0000D0090000}"/>
    <cellStyle name="R_REPCOSTO_D2.01-D2.06-D2.07 Res Gen -Gastos Gen-Estd Ing Proy 2_Estimado (Grupo N°12) (version 2)" xfId="2602" xr:uid="{00000000-0005-0000-0000-0000D1090000}"/>
    <cellStyle name="R_REPCOSTO_D2.01-D2.06-D2.07 Res Gen -Gastos Gen-Estd Ing Proy 2_G12 Oferta x Proyecto" xfId="2603" xr:uid="{00000000-0005-0000-0000-0000D2090000}"/>
    <cellStyle name="R_REPCOSTO_D2.01-D2.06-D2.07 Res Gen -Gastos Gen-Estd Ing Proy 2_Grupo 9 - PNER Cajamarca" xfId="1829" xr:uid="{00000000-0005-0000-0000-0000D3090000}"/>
    <cellStyle name="R_REPCOSTO_D2.01-D2.06-D2.07 Res Gen -Gastos Gen-Estd Ing Proy 2_presupuesto grupo 12" xfId="2604" xr:uid="{00000000-0005-0000-0000-0000D4090000}"/>
    <cellStyle name="R_REPCOSTO_D2.01-D2.06-D2.07 Res Gen -Gastos Gen-Estd Ing Proy 2_Presupuesto Grupo 8" xfId="2605" xr:uid="{00000000-0005-0000-0000-0000D5090000}"/>
    <cellStyle name="R_REPCOSTO_D2.01-D2.06-D2.07 Res Gen -Gastos Gen-Estd Ing Proy 2_PRESUPUESTO GRUPO 9_ITEM 2_1" xfId="2606" xr:uid="{00000000-0005-0000-0000-0000D6090000}"/>
    <cellStyle name="R_REPCOSTO_D2.01-D2.06-D2.07 Res Gen -Gastos Gen-Estd Ing Proy 2_PRESUPUESTO GRUPO 9_ITEM 2_8" xfId="2607" xr:uid="{00000000-0005-0000-0000-0000D7090000}"/>
    <cellStyle name="R_REPCOSTO_D2.01-D2.06-D2.07 Res Gen -Gastos Gen-Estd Ing Proy 2_PropuestaCorregidaSan Juan Bautista" xfId="1830" xr:uid="{00000000-0005-0000-0000-0000D8090000}"/>
    <cellStyle name="R_REPCOSTO_D2.01-D2.06-D2.07 Res Gen -Gastos Gen-Estd Ing Proy 2_Resumen Grupo 3 LP" xfId="1831" xr:uid="{00000000-0005-0000-0000-0000D9090000}"/>
    <cellStyle name="R_REPCOSTO_D2.01-D2.06-D2.07 Res Gen -Gastos Gen-Estd Ing Proy 2_Resumen RS Grupo 3" xfId="1832" xr:uid="{00000000-0005-0000-0000-0000DA090000}"/>
    <cellStyle name="R_REPCOSTO_D2.01-D2.06-D2.07 Res Gen -Gastos Gen-Estd Ing Proy 2_VALOR REFER. ELET_RURAL GRUPO 2" xfId="1833" xr:uid="{00000000-0005-0000-0000-0000DB090000}"/>
    <cellStyle name="R_REPCOSTO_D2.01-D2.06-D2.07 Res Gen -Gastos Gen-Estd Ing Proy 2_VReferencial (Grupo N°12)" xfId="2608" xr:uid="{00000000-0005-0000-0000-0000DC090000}"/>
    <cellStyle name="R_REPCOSTO_Datos de Entrada Evaluacion" xfId="1834" xr:uid="{00000000-0005-0000-0000-0000DD090000}"/>
    <cellStyle name="R_REPCOSTO_Datos de Entrada Evaluacion_00_VREF_33 Proy (Item 2)" xfId="2609" xr:uid="{00000000-0005-0000-0000-0000DE090000}"/>
    <cellStyle name="R_REPCOSTO_Datos de Entrada Evaluacion_001_VREF_33 Proyectos (Grupo N°10)" xfId="2610" xr:uid="{00000000-0005-0000-0000-0000DF090000}"/>
    <cellStyle name="R_REPCOSTO_Datos de Entrada Evaluacion_03_Valor Referencial_Grupo 8" xfId="2611" xr:uid="{00000000-0005-0000-0000-0000E0090000}"/>
    <cellStyle name="R_REPCOSTO_Datos de Entrada Evaluacion_Copia de PRESUPUESTO GRUPO 11_6" xfId="2612" xr:uid="{00000000-0005-0000-0000-0000E1090000}"/>
    <cellStyle name="R_REPCOSTO_Datos de Entrada Evaluacion_ESTIMADO" xfId="2613" xr:uid="{00000000-0005-0000-0000-0000E2090000}"/>
    <cellStyle name="R_REPCOSTO_Datos de Entrada Evaluacion_Estimado (Grupo N°12) (version 2)" xfId="2614" xr:uid="{00000000-0005-0000-0000-0000E3090000}"/>
    <cellStyle name="R_REPCOSTO_Datos de Entrada Evaluacion_G12 Oferta x Proyecto" xfId="2615" xr:uid="{00000000-0005-0000-0000-0000E4090000}"/>
    <cellStyle name="R_REPCOSTO_Datos de Entrada Evaluacion_presupuesto grupo 12" xfId="2616" xr:uid="{00000000-0005-0000-0000-0000E5090000}"/>
    <cellStyle name="R_REPCOSTO_Datos de Entrada Evaluacion_Presupuesto Grupo 8" xfId="2617" xr:uid="{00000000-0005-0000-0000-0000E6090000}"/>
    <cellStyle name="R_REPCOSTO_Datos de Entrada Evaluacion_PRESUPUESTO GRUPO 9_ITEM 2_1" xfId="2618" xr:uid="{00000000-0005-0000-0000-0000E7090000}"/>
    <cellStyle name="R_REPCOSTO_Datos de Entrada Evaluacion_PRESUPUESTO GRUPO 9_ITEM 2_8" xfId="2619" xr:uid="{00000000-0005-0000-0000-0000E8090000}"/>
    <cellStyle name="R_REPCOSTO_Datos de Entrada Evaluacion_VReferencial (Grupo N°12)" xfId="2620" xr:uid="{00000000-0005-0000-0000-0000E9090000}"/>
    <cellStyle name="R_REPCOSTO_Datos Generales-ok" xfId="1835" xr:uid="{00000000-0005-0000-0000-0000EA090000}"/>
    <cellStyle name="R_REPCOSTO_Datos Generales-ok_00_VREF_33 Proy (Item 2)" xfId="2621" xr:uid="{00000000-0005-0000-0000-0000EB090000}"/>
    <cellStyle name="R_REPCOSTO_Datos Generales-ok_001_VREF_33 Proyectos (Grupo N°10)" xfId="2622" xr:uid="{00000000-0005-0000-0000-0000EC090000}"/>
    <cellStyle name="R_REPCOSTO_Datos Generales-ok_03_Valor Referencial_Grupo 8" xfId="2623" xr:uid="{00000000-0005-0000-0000-0000ED090000}"/>
    <cellStyle name="R_REPCOSTO_Datos Generales-ok_Copia de PRESUPUESTO GRUPO 11_6" xfId="2624" xr:uid="{00000000-0005-0000-0000-0000EE090000}"/>
    <cellStyle name="R_REPCOSTO_Datos Generales-ok_ESTIMADO" xfId="2625" xr:uid="{00000000-0005-0000-0000-0000EF090000}"/>
    <cellStyle name="R_REPCOSTO_Datos Generales-ok_Estimado (Grupo N°12) (version 2)" xfId="2626" xr:uid="{00000000-0005-0000-0000-0000F0090000}"/>
    <cellStyle name="R_REPCOSTO_Datos Generales-ok_G12 Oferta x Proyecto" xfId="2627" xr:uid="{00000000-0005-0000-0000-0000F1090000}"/>
    <cellStyle name="R_REPCOSTO_Datos Generales-ok_presupuesto grupo 12" xfId="2628" xr:uid="{00000000-0005-0000-0000-0000F2090000}"/>
    <cellStyle name="R_REPCOSTO_Datos Generales-ok_Presupuesto Grupo 8" xfId="2629" xr:uid="{00000000-0005-0000-0000-0000F3090000}"/>
    <cellStyle name="R_REPCOSTO_Datos Generales-ok_PRESUPUESTO GRUPO 9_ITEM 2_1" xfId="2630" xr:uid="{00000000-0005-0000-0000-0000F4090000}"/>
    <cellStyle name="R_REPCOSTO_Datos Generales-ok_PRESUPUESTO GRUPO 9_ITEM 2_8" xfId="2631" xr:uid="{00000000-0005-0000-0000-0000F5090000}"/>
    <cellStyle name="R_REPCOSTO_Datos Generales-ok_VReferencial (Grupo N°12)" xfId="2632" xr:uid="{00000000-0005-0000-0000-0000F6090000}"/>
    <cellStyle name="R_REPCOSTO_EJEMPLO PRESUPUESTO CHIMBOTE2" xfId="2633" xr:uid="{00000000-0005-0000-0000-0000F7090000}"/>
    <cellStyle name="R_REPCOSTO_ELET_RURAL GRUPO 3 - ITEM 2-V01" xfId="1836" xr:uid="{00000000-0005-0000-0000-0000F8090000}"/>
    <cellStyle name="R_REPCOSTO_ESTIMADO" xfId="2634" xr:uid="{00000000-0005-0000-0000-0000F9090000}"/>
    <cellStyle name="R_REPCOSTO_Estimado (Grupo N°12) (version 2)" xfId="2635" xr:uid="{00000000-0005-0000-0000-0000FA090000}"/>
    <cellStyle name="R_REPCOSTO_ESTIMADO ALIM A4124 Y RP - RS(YO)" xfId="2636" xr:uid="{00000000-0005-0000-0000-0000FB090000}"/>
    <cellStyle name="R_REPCOSTO_Estimado Trujillo rural 1" xfId="2637" xr:uid="{00000000-0005-0000-0000-0000FC090000}"/>
    <cellStyle name="R_REPCOSTO_Estimado Trujillo rural 1_Copia de PRESUPUESTO GRUPO 11_6" xfId="2638" xr:uid="{00000000-0005-0000-0000-0000FD090000}"/>
    <cellStyle name="R_REPCOSTO_G12 Oferta x Proyecto" xfId="2639" xr:uid="{00000000-0005-0000-0000-0000FE090000}"/>
    <cellStyle name="R_REPCOSTO_Grupo 9 - PNER Cajamarca" xfId="1837" xr:uid="{00000000-0005-0000-0000-0000FF090000}"/>
    <cellStyle name="R_REPCOSTO_Grupo 9 - PNER Cajamarca_1" xfId="1838" xr:uid="{00000000-0005-0000-0000-0000000A0000}"/>
    <cellStyle name="R_REPCOSTO_HUANCAYO -PASCO 5" xfId="2640" xr:uid="{00000000-0005-0000-0000-0000010A0000}"/>
    <cellStyle name="R_REPCOSTO_Indicadores Mercado-ok-Amazonas" xfId="1839" xr:uid="{00000000-0005-0000-0000-0000020A0000}"/>
    <cellStyle name="R_REPCOSTO_Indicadores Mercado-ok-Amazonas_00_VREF_33 Proy (Item 2)" xfId="2641" xr:uid="{00000000-0005-0000-0000-0000030A0000}"/>
    <cellStyle name="R_REPCOSTO_Indicadores Mercado-ok-Amazonas_001_VREF_33 Proyectos (Grupo N°10)" xfId="2642" xr:uid="{00000000-0005-0000-0000-0000040A0000}"/>
    <cellStyle name="R_REPCOSTO_Indicadores Mercado-ok-Amazonas_03_Valor Referencial_Grupo 8" xfId="2643" xr:uid="{00000000-0005-0000-0000-0000050A0000}"/>
    <cellStyle name="R_REPCOSTO_Indicadores Mercado-ok-Amazonas_Copia de PRESUPUESTO GRUPO 11_6" xfId="2644" xr:uid="{00000000-0005-0000-0000-0000060A0000}"/>
    <cellStyle name="R_REPCOSTO_Indicadores Mercado-ok-Amazonas_ESTIMADO" xfId="2645" xr:uid="{00000000-0005-0000-0000-0000070A0000}"/>
    <cellStyle name="R_REPCOSTO_Indicadores Mercado-ok-Amazonas_Estimado (Grupo N°12) (version 2)" xfId="2646" xr:uid="{00000000-0005-0000-0000-0000080A0000}"/>
    <cellStyle name="R_REPCOSTO_Indicadores Mercado-ok-Amazonas_G12 Oferta x Proyecto" xfId="2647" xr:uid="{00000000-0005-0000-0000-0000090A0000}"/>
    <cellStyle name="R_REPCOSTO_Indicadores Mercado-ok-Amazonas_presupuesto grupo 12" xfId="2648" xr:uid="{00000000-0005-0000-0000-00000A0A0000}"/>
    <cellStyle name="R_REPCOSTO_Indicadores Mercado-ok-Amazonas_Presupuesto Grupo 8" xfId="2649" xr:uid="{00000000-0005-0000-0000-00000B0A0000}"/>
    <cellStyle name="R_REPCOSTO_Indicadores Mercado-ok-Amazonas_PRESUPUESTO GRUPO 9_ITEM 2_1" xfId="2650" xr:uid="{00000000-0005-0000-0000-00000C0A0000}"/>
    <cellStyle name="R_REPCOSTO_Indicadores Mercado-ok-Amazonas_PRESUPUESTO GRUPO 9_ITEM 2_8" xfId="2651" xr:uid="{00000000-0005-0000-0000-00000D0A0000}"/>
    <cellStyle name="R_REPCOSTO_Indicadores Mercado-ok-Amazonas_VReferencial (Grupo N°12)" xfId="2652" xr:uid="{00000000-0005-0000-0000-00000E0A0000}"/>
    <cellStyle name="R_REPCOSTO_Libro2" xfId="1840" xr:uid="{00000000-0005-0000-0000-00000F0A0000}"/>
    <cellStyle name="R_REPCOSTO_Libro2_00_VREF_33 Proy (Item 2)" xfId="2653" xr:uid="{00000000-0005-0000-0000-0000100A0000}"/>
    <cellStyle name="R_REPCOSTO_Libro2_001_VREF_33 Proyectos (Grupo N°10)" xfId="2654" xr:uid="{00000000-0005-0000-0000-0000110A0000}"/>
    <cellStyle name="R_REPCOSTO_Libro2_03_Valor Referencial_Grupo 8" xfId="2655" xr:uid="{00000000-0005-0000-0000-0000120A0000}"/>
    <cellStyle name="R_REPCOSTO_Libro2_Copia de PRESUPUESTO GRUPO 11_6" xfId="2656" xr:uid="{00000000-0005-0000-0000-0000130A0000}"/>
    <cellStyle name="R_REPCOSTO_Libro2_ESTIMADO" xfId="2657" xr:uid="{00000000-0005-0000-0000-0000140A0000}"/>
    <cellStyle name="R_REPCOSTO_Libro2_Estimado (Grupo N°12) (version 2)" xfId="2658" xr:uid="{00000000-0005-0000-0000-0000150A0000}"/>
    <cellStyle name="R_REPCOSTO_Libro2_G12 Oferta x Proyecto" xfId="2659" xr:uid="{00000000-0005-0000-0000-0000160A0000}"/>
    <cellStyle name="R_REPCOSTO_Libro2_presupuesto grupo 12" xfId="2660" xr:uid="{00000000-0005-0000-0000-0000170A0000}"/>
    <cellStyle name="R_REPCOSTO_Libro2_Presupuesto Grupo 8" xfId="2661" xr:uid="{00000000-0005-0000-0000-0000180A0000}"/>
    <cellStyle name="R_REPCOSTO_Libro2_PRESUPUESTO GRUPO 9_ITEM 2_1" xfId="2662" xr:uid="{00000000-0005-0000-0000-0000190A0000}"/>
    <cellStyle name="R_REPCOSTO_Libro2_PRESUPUESTO GRUPO 9_ITEM 2_8" xfId="2663" xr:uid="{00000000-0005-0000-0000-00001A0A0000}"/>
    <cellStyle name="R_REPCOSTO_Libro2_VReferencial (Grupo N°12)" xfId="2664" xr:uid="{00000000-0005-0000-0000-00001B0A0000}"/>
    <cellStyle name="R_REPCOSTO_Marco Logico" xfId="1841" xr:uid="{00000000-0005-0000-0000-00001C0A0000}"/>
    <cellStyle name="R_REPCOSTO_Marco Logico_00_VREF_33 Proy (Item 2)" xfId="2665" xr:uid="{00000000-0005-0000-0000-00001D0A0000}"/>
    <cellStyle name="R_REPCOSTO_Marco Logico_001_VREF_33 Proyectos (Grupo N°10)" xfId="2666" xr:uid="{00000000-0005-0000-0000-00001E0A0000}"/>
    <cellStyle name="R_REPCOSTO_Marco Logico_004_Valor Referencial (Grupo N°10)" xfId="2667" xr:uid="{00000000-0005-0000-0000-00001F0A0000}"/>
    <cellStyle name="R_REPCOSTO_Marco Logico_03_Valor Referencial_Grupo 8" xfId="2668" xr:uid="{00000000-0005-0000-0000-0000200A0000}"/>
    <cellStyle name="R_REPCOSTO_Marco Logico_Copia de PRESUPUESTO GRUPO 11_6" xfId="2669" xr:uid="{00000000-0005-0000-0000-0000210A0000}"/>
    <cellStyle name="R_REPCOSTO_Marco Logico_ELET_RURAL GRUPO 3 - ITEM 2-V01" xfId="1842" xr:uid="{00000000-0005-0000-0000-0000220A0000}"/>
    <cellStyle name="R_REPCOSTO_Marco Logico_ESTIMADO" xfId="2670" xr:uid="{00000000-0005-0000-0000-0000230A0000}"/>
    <cellStyle name="R_REPCOSTO_Marco Logico_Estimado (Grupo N°12) (version 2)" xfId="2671" xr:uid="{00000000-0005-0000-0000-0000240A0000}"/>
    <cellStyle name="R_REPCOSTO_Marco Logico_G12 Oferta x Proyecto" xfId="2672" xr:uid="{00000000-0005-0000-0000-0000250A0000}"/>
    <cellStyle name="R_REPCOSTO_Marco Logico_Grupo 9 - PNER Cajamarca" xfId="1843" xr:uid="{00000000-0005-0000-0000-0000260A0000}"/>
    <cellStyle name="R_REPCOSTO_Marco Logico_presupuesto grupo 12" xfId="2673" xr:uid="{00000000-0005-0000-0000-0000270A0000}"/>
    <cellStyle name="R_REPCOSTO_Marco Logico_Presupuesto Grupo 8" xfId="2674" xr:uid="{00000000-0005-0000-0000-0000280A0000}"/>
    <cellStyle name="R_REPCOSTO_Marco Logico_PRESUPUESTO GRUPO 9_ITEM 2_1" xfId="2675" xr:uid="{00000000-0005-0000-0000-0000290A0000}"/>
    <cellStyle name="R_REPCOSTO_Marco Logico_PRESUPUESTO GRUPO 9_ITEM 2_4" xfId="2676" xr:uid="{00000000-0005-0000-0000-00002A0A0000}"/>
    <cellStyle name="R_REPCOSTO_Marco Logico_PRESUPUESTO GRUPO 9_ITEM 2_8" xfId="2677" xr:uid="{00000000-0005-0000-0000-00002B0A0000}"/>
    <cellStyle name="R_REPCOSTO_Marco Logico_PropuestaCorregidaSan Juan Bautista" xfId="1844" xr:uid="{00000000-0005-0000-0000-00002C0A0000}"/>
    <cellStyle name="R_REPCOSTO_Marco Logico_Resumen Grupo 3 LP" xfId="1845" xr:uid="{00000000-0005-0000-0000-00002D0A0000}"/>
    <cellStyle name="R_REPCOSTO_Marco Logico_Resumen RS Grupo 3" xfId="1846" xr:uid="{00000000-0005-0000-0000-00002E0A0000}"/>
    <cellStyle name="R_REPCOSTO_Marco Logico_VALOR REFER. ELET_RURAL GRUPO 2" xfId="1847" xr:uid="{00000000-0005-0000-0000-00002F0A0000}"/>
    <cellStyle name="R_REPCOSTO_Marco Logico_VReferencial (Grupo N°12)" xfId="2678" xr:uid="{00000000-0005-0000-0000-0000300A0000}"/>
    <cellStyle name="R_REPCOSTO_Metrado Bambamarca" xfId="1848" xr:uid="{00000000-0005-0000-0000-0000310A0000}"/>
    <cellStyle name="R_REPCOSTO_Metrado Bambamarca_Grupo 9 - PNER Cajamarca" xfId="1849" xr:uid="{00000000-0005-0000-0000-0000320A0000}"/>
    <cellStyle name="R_REPCOSTO_METRADO BASE HUANUCO1" xfId="2679" xr:uid="{00000000-0005-0000-0000-0000330A0000}"/>
    <cellStyle name="R_REPCOSTO_METRADO BASE HVCA" xfId="2680" xr:uid="{00000000-0005-0000-0000-0000340A0000}"/>
    <cellStyle name="R_REPCOSTO_Metrado Chota" xfId="1850" xr:uid="{00000000-0005-0000-0000-0000350A0000}"/>
    <cellStyle name="R_REPCOSTO_Metrado Chota_Grupo 9 - PNER Cajamarca" xfId="1851" xr:uid="{00000000-0005-0000-0000-0000360A0000}"/>
    <cellStyle name="R_REPCOSTO_METRADO REHABILITACION ALIM A4008" xfId="2681" xr:uid="{00000000-0005-0000-0000-0000370A0000}"/>
    <cellStyle name="R_REPCOSTO_METRADO STA+" xfId="1852" xr:uid="{00000000-0005-0000-0000-0000380A0000}"/>
    <cellStyle name="R_REPCOSTO_METRADO STA+_Grupo 9 - PNER Cajamarca" xfId="1853" xr:uid="{00000000-0005-0000-0000-0000390A0000}"/>
    <cellStyle name="R_REPCOSTO_MTDO Y PPTO MT Y BT-FINAL_" xfId="2682" xr:uid="{00000000-0005-0000-0000-00003A0A0000}"/>
    <cellStyle name="R_REPCOSTO_MTDO Y PPTO REMOD BT HV" xfId="2683" xr:uid="{00000000-0005-0000-0000-00003B0A0000}"/>
    <cellStyle name="R_REPCOSTO_MTDO Y PPTO REMOD MT_A4355_AUCA" xfId="1854" xr:uid="{00000000-0005-0000-0000-00003C0A0000}"/>
    <cellStyle name="R_REPCOSTO_MTDO Y PPTO REMOD RP HV" xfId="2684" xr:uid="{00000000-0005-0000-0000-00003D0A0000}"/>
    <cellStyle name="R_REPCOSTO_MTDO Y PPTO REMOD RP LURI" xfId="1855" xr:uid="{00000000-0005-0000-0000-00003E0A0000}"/>
    <cellStyle name="R_REPCOSTO_MyP%20HDNA(1)" xfId="2685" xr:uid="{00000000-0005-0000-0000-00003F0A0000}"/>
    <cellStyle name="R_REPCOSTO_P.U" xfId="2686" xr:uid="{00000000-0005-0000-0000-0000400A0000}"/>
    <cellStyle name="R_REPCOSTO_presupuesto  PSE MCrisnejas 1" xfId="2687" xr:uid="{00000000-0005-0000-0000-0000410A0000}"/>
    <cellStyle name="R_REPCOSTO_PRESUPUESTO BT  Precios     MEM 2006  RS" xfId="2688" xr:uid="{00000000-0005-0000-0000-0000420A0000}"/>
    <cellStyle name="R_REPCOSTO_PRESUPUESTO BT  Precios     MEM 2006  RS_Estimado Cajabamba" xfId="2689" xr:uid="{00000000-0005-0000-0000-0000430A0000}"/>
    <cellStyle name="R_REPCOSTO_PRESUPUESTO BT  Precios     MEM 2006  RS_Presupuesto final SanGregorio" xfId="2690" xr:uid="{00000000-0005-0000-0000-0000440A0000}"/>
    <cellStyle name="R_REPCOSTO_PRESUPUESTO CACI XII_1" xfId="2691" xr:uid="{00000000-0005-0000-0000-0000450A0000}"/>
    <cellStyle name="R_REPCOSTO_PRESUPUESTO CHICLAYO, LAMBAYEQUE" xfId="2692" xr:uid="{00000000-0005-0000-0000-0000460A0000}"/>
    <cellStyle name="R_REPCOSTO_PRESUPUESTO CHICLAYO, LAMBAYEQUE_PRESUPUESTO GRUPO 9_ITEM 2_8" xfId="2693" xr:uid="{00000000-0005-0000-0000-0000470A0000}"/>
    <cellStyle name="R_REPCOSTO_PRESUPUESTO FERREÑAFE4" xfId="2694" xr:uid="{00000000-0005-0000-0000-0000480A0000}"/>
    <cellStyle name="R_REPCOSTO_PRESUPUESTO FERREÑAFE4_PRESUPUESTO GRUPO 9_ITEM 2_8" xfId="2695" xr:uid="{00000000-0005-0000-0000-0000490A0000}"/>
    <cellStyle name="R_REPCOSTO_PRESUPUESTO FINAL REMODELACION TARMA" xfId="2696" xr:uid="{00000000-0005-0000-0000-00004A0A0000}"/>
    <cellStyle name="R_REPCOSTO_presupuesto grupo 12" xfId="2697" xr:uid="{00000000-0005-0000-0000-00004B0A0000}"/>
    <cellStyle name="R_REPCOSTO_Presupuesto Grupo 8" xfId="2698" xr:uid="{00000000-0005-0000-0000-00004C0A0000}"/>
    <cellStyle name="R_REPCOSTO_PRESUPUESTO GRUPO 9_ITEM 2_1" xfId="2699" xr:uid="{00000000-0005-0000-0000-00004D0A0000}"/>
    <cellStyle name="R_REPCOSTO_PRESUPUESTO GRUPO 9_ITEM 2_4" xfId="2700" xr:uid="{00000000-0005-0000-0000-00004E0A0000}"/>
    <cellStyle name="R_REPCOSTO_PRESUPUESTO GRUPO 9_ITEM 2_8" xfId="2701" xr:uid="{00000000-0005-0000-0000-00004F0A0000}"/>
    <cellStyle name="R_REPCOSTO_PRESUPUESTO HUACARIZ 5" xfId="2702" xr:uid="{00000000-0005-0000-0000-0000500A0000}"/>
    <cellStyle name="R_REPCOSTO_presupuesto Huaylas final" xfId="2703" xr:uid="{00000000-0005-0000-0000-0000510A0000}"/>
    <cellStyle name="R_REPCOSTO_Presupuesto LT 60kV  Piura-Macacara 1" xfId="2704" xr:uid="{00000000-0005-0000-0000-0000520A0000}"/>
    <cellStyle name="R_REPCOSTO_Presupuesto LT 60kV  Piura-Macacara 1_Copia de PRESUPUESTO GRUPO 11_6" xfId="2705" xr:uid="{00000000-0005-0000-0000-0000530A0000}"/>
    <cellStyle name="R_REPCOSTO_PRESUPUESTO OXAPAMPA 7" xfId="2706" xr:uid="{00000000-0005-0000-0000-0000540A0000}"/>
    <cellStyle name="R_REPCOSTO_PRESUPUESTO OXAPAMPA 7_Copia de PRESUPUESTO GRUPO 11_6" xfId="2707" xr:uid="{00000000-0005-0000-0000-0000550A0000}"/>
    <cellStyle name="R_REPCOSTO_PRESUPUESTO REMODELACION  VALLE MANTARO FINAL" xfId="2708" xr:uid="{00000000-0005-0000-0000-0000560A0000}"/>
    <cellStyle name="R_REPCOSTO_PRESUPUESTO REMODELACION HUANCAYO 3(final)" xfId="2709" xr:uid="{00000000-0005-0000-0000-0000570A0000}"/>
    <cellStyle name="R_REPCOSTO_PRESUPUESTO TARMA 4" xfId="2710" xr:uid="{00000000-0005-0000-0000-0000580A0000}"/>
    <cellStyle name="R_REPCOSTO_PRESUPUESTO Viru 5" xfId="2711" xr:uid="{00000000-0005-0000-0000-0000590A0000}"/>
    <cellStyle name="R_REPCOSTO_PropuestaCorregidaSan Juan Bautista" xfId="1856" xr:uid="{00000000-0005-0000-0000-00005A0A0000}"/>
    <cellStyle name="R_REPCOSTO_PRUPUESTO Trujillo rural 7" xfId="2712" xr:uid="{00000000-0005-0000-0000-00005B0A0000}"/>
    <cellStyle name="R_REPCOSTO_pu" xfId="2713" xr:uid="{00000000-0005-0000-0000-00005C0A0000}"/>
    <cellStyle name="R_REPCOSTO_REFERENCIAL Chancay(YO AVANCE)" xfId="2714" xr:uid="{00000000-0005-0000-0000-00005D0A0000}"/>
    <cellStyle name="R_REPCOSTO_Resumen de Gastos Generales" xfId="1857" xr:uid="{00000000-0005-0000-0000-00005E0A0000}"/>
    <cellStyle name="R_REPCOSTO_Resumen de Gastos Generales_00_VREF_33 Proy (Item 2)" xfId="2715" xr:uid="{00000000-0005-0000-0000-00005F0A0000}"/>
    <cellStyle name="R_REPCOSTO_Resumen de Gastos Generales_001_VREF_33 Proyectos (Grupo N°10)" xfId="2716" xr:uid="{00000000-0005-0000-0000-0000600A0000}"/>
    <cellStyle name="R_REPCOSTO_Resumen de Gastos Generales_03_Valor Referencial_Grupo 8" xfId="2717" xr:uid="{00000000-0005-0000-0000-0000610A0000}"/>
    <cellStyle name="R_REPCOSTO_Resumen de Gastos Generales_Copia de PRESUPUESTO GRUPO 11_6" xfId="2718" xr:uid="{00000000-0005-0000-0000-0000620A0000}"/>
    <cellStyle name="R_REPCOSTO_Resumen de Gastos Generales_ESTIMADO" xfId="2719" xr:uid="{00000000-0005-0000-0000-0000630A0000}"/>
    <cellStyle name="R_REPCOSTO_Resumen de Gastos Generales_Estimado (Grupo N°12) (version 2)" xfId="2720" xr:uid="{00000000-0005-0000-0000-0000640A0000}"/>
    <cellStyle name="R_REPCOSTO_Resumen de Gastos Generales_G12 Oferta x Proyecto" xfId="2721" xr:uid="{00000000-0005-0000-0000-0000650A0000}"/>
    <cellStyle name="R_REPCOSTO_Resumen de Gastos Generales_presupuesto grupo 12" xfId="2722" xr:uid="{00000000-0005-0000-0000-0000660A0000}"/>
    <cellStyle name="R_REPCOSTO_Resumen de Gastos Generales_Presupuesto Grupo 8" xfId="2723" xr:uid="{00000000-0005-0000-0000-0000670A0000}"/>
    <cellStyle name="R_REPCOSTO_Resumen de Gastos Generales_PRESUPUESTO GRUPO 9_ITEM 2_1" xfId="2724" xr:uid="{00000000-0005-0000-0000-0000680A0000}"/>
    <cellStyle name="R_REPCOSTO_Resumen de Gastos Generales_PRESUPUESTO GRUPO 9_ITEM 2_8" xfId="2725" xr:uid="{00000000-0005-0000-0000-0000690A0000}"/>
    <cellStyle name="R_REPCOSTO_Resumen de Gastos Generales_VReferencial (Grupo N°12)" xfId="2726" xr:uid="{00000000-0005-0000-0000-00006A0A0000}"/>
    <cellStyle name="R_REPCOSTO_Resumen Gastos Generale E.R. GRUPO 2" xfId="1858" xr:uid="{00000000-0005-0000-0000-00006B0A0000}"/>
    <cellStyle name="R_REPCOSTO_Resumen Gastos Generale E.R. GRUPO 2_00_VREF_33 Proy (Item 2)" xfId="2727" xr:uid="{00000000-0005-0000-0000-00006C0A0000}"/>
    <cellStyle name="R_REPCOSTO_Resumen Gastos Generale E.R. GRUPO 2_001_VREF_33 Proyectos (Grupo N°10)" xfId="2728" xr:uid="{00000000-0005-0000-0000-00006D0A0000}"/>
    <cellStyle name="R_REPCOSTO_Resumen Gastos Generale E.R. GRUPO 2_03_Valor Referencial_Grupo 8" xfId="2729" xr:uid="{00000000-0005-0000-0000-00006E0A0000}"/>
    <cellStyle name="R_REPCOSTO_Resumen Gastos Generale E.R. GRUPO 2_Copia de PRESUPUESTO GRUPO 11_6" xfId="2730" xr:uid="{00000000-0005-0000-0000-00006F0A0000}"/>
    <cellStyle name="R_REPCOSTO_Resumen Gastos Generale E.R. GRUPO 2_ESTIMADO" xfId="2731" xr:uid="{00000000-0005-0000-0000-0000700A0000}"/>
    <cellStyle name="R_REPCOSTO_Resumen Gastos Generale E.R. GRUPO 2_Estimado (Grupo N°12) (version 2)" xfId="2732" xr:uid="{00000000-0005-0000-0000-0000710A0000}"/>
    <cellStyle name="R_REPCOSTO_Resumen Gastos Generale E.R. GRUPO 2_G12 Oferta x Proyecto" xfId="2733" xr:uid="{00000000-0005-0000-0000-0000720A0000}"/>
    <cellStyle name="R_REPCOSTO_Resumen Gastos Generale E.R. GRUPO 2_presupuesto grupo 12" xfId="2734" xr:uid="{00000000-0005-0000-0000-0000730A0000}"/>
    <cellStyle name="R_REPCOSTO_Resumen Gastos Generale E.R. GRUPO 2_Presupuesto Grupo 8" xfId="2735" xr:uid="{00000000-0005-0000-0000-0000740A0000}"/>
    <cellStyle name="R_REPCOSTO_Resumen Gastos Generale E.R. GRUPO 2_PRESUPUESTO GRUPO 9_ITEM 2_1" xfId="2736" xr:uid="{00000000-0005-0000-0000-0000750A0000}"/>
    <cellStyle name="R_REPCOSTO_Resumen Gastos Generale E.R. GRUPO 2_PRESUPUESTO GRUPO 9_ITEM 2_8" xfId="2737" xr:uid="{00000000-0005-0000-0000-0000760A0000}"/>
    <cellStyle name="R_REPCOSTO_Resumen Gastos Generale E.R. GRUPO 2_VReferencial (Grupo N°12)" xfId="2738" xr:uid="{00000000-0005-0000-0000-0000770A0000}"/>
    <cellStyle name="R_REPCOSTO_Resumen Presup. Aranceles" xfId="1859" xr:uid="{00000000-0005-0000-0000-0000780A0000}"/>
    <cellStyle name="R_REPCOSTO_Resumen Presup. Aranceles_Grupo 9 - PNER Cajamarca" xfId="1860" xr:uid="{00000000-0005-0000-0000-0000790A0000}"/>
    <cellStyle name="R_REPCOSTO_Resumen valoril (3)" xfId="1861" xr:uid="{00000000-0005-0000-0000-00007A0A0000}"/>
    <cellStyle name="R_REPCOSTO_SSEE Elevadoras" xfId="1862" xr:uid="{00000000-0005-0000-0000-00007B0A0000}"/>
    <cellStyle name="R_REPCOSTO_VAL 03-MAR 2008-CONTRATISTA_Rev01" xfId="1863" xr:uid="{00000000-0005-0000-0000-00007C0A0000}"/>
    <cellStyle name="R_REPCOSTO_VALOR REFER. ELET_RURAL GRUPO 2" xfId="1864" xr:uid="{00000000-0005-0000-0000-00007D0A0000}"/>
    <cellStyle name="R_REPCOSTO_VALORIZACION 03-MARZO 08_Rev01" xfId="1865" xr:uid="{00000000-0005-0000-0000-00007E0A0000}"/>
    <cellStyle name="R_REPCOSTO_VALORIZACION 03-MARZO 08_Rev02" xfId="1866" xr:uid="{00000000-0005-0000-0000-00007F0A0000}"/>
    <cellStyle name="R_REPCOSTO_VALORIZACION N_1 NOV_2009_ICE_CHUNGUI_FINAL_2A" xfId="1867" xr:uid="{00000000-0005-0000-0000-0000800A0000}"/>
    <cellStyle name="R_REPCOSTO_VALORIZACION N_1 NOV_2009_ICE_CHUNGUI_segun formato" xfId="1868" xr:uid="{00000000-0005-0000-0000-0000810A0000}"/>
    <cellStyle name="R_REPCOSTO_VALORIZACION N_3_ENERO_2010_ICE_CHUNGUI_250110" xfId="1869" xr:uid="{00000000-0005-0000-0000-0000820A0000}"/>
    <cellStyle name="R_REPCOSTO_VALORIZACION Nº 03_CONDOR" xfId="1870" xr:uid="{00000000-0005-0000-0000-0000830A0000}"/>
    <cellStyle name="R_REPCOSTO_VReferencial (Grupo N°12)" xfId="2739" xr:uid="{00000000-0005-0000-0000-0000840A0000}"/>
    <cellStyle name="R_Resumen Gastos Generale E.R. GRUPO 2" xfId="1871" xr:uid="{00000000-0005-0000-0000-0000850A0000}"/>
    <cellStyle name="R_Resumen Gastos Generale E.R. GRUPO 2_00_VREF_33 Proy (Item 2)" xfId="2740" xr:uid="{00000000-0005-0000-0000-0000860A0000}"/>
    <cellStyle name="R_Resumen Gastos Generale E.R. GRUPO 2_001_VREF_33 Proyectos (Grupo N°10)" xfId="2741" xr:uid="{00000000-0005-0000-0000-0000870A0000}"/>
    <cellStyle name="R_Resumen Gastos Generale E.R. GRUPO 2_03_Valor Referencial_Grupo 8" xfId="2742" xr:uid="{00000000-0005-0000-0000-0000880A0000}"/>
    <cellStyle name="R_Resumen Gastos Generale E.R. GRUPO 2_Copia de PRESUPUESTO GRUPO 11_6" xfId="2743" xr:uid="{00000000-0005-0000-0000-0000890A0000}"/>
    <cellStyle name="R_Resumen Gastos Generale E.R. GRUPO 2_ESTIMADO" xfId="2744" xr:uid="{00000000-0005-0000-0000-00008A0A0000}"/>
    <cellStyle name="R_Resumen Gastos Generale E.R. GRUPO 2_Estimado (Grupo N°12) (version 2)" xfId="2745" xr:uid="{00000000-0005-0000-0000-00008B0A0000}"/>
    <cellStyle name="R_Resumen Gastos Generale E.R. GRUPO 2_G12 Oferta x Proyecto" xfId="2746" xr:uid="{00000000-0005-0000-0000-00008C0A0000}"/>
    <cellStyle name="R_Resumen Gastos Generale E.R. GRUPO 2_presupuesto grupo 12" xfId="2747" xr:uid="{00000000-0005-0000-0000-00008D0A0000}"/>
    <cellStyle name="R_Resumen Gastos Generale E.R. GRUPO 2_Presupuesto Grupo 8" xfId="2748" xr:uid="{00000000-0005-0000-0000-00008E0A0000}"/>
    <cellStyle name="R_Resumen Gastos Generale E.R. GRUPO 2_PRESUPUESTO GRUPO 9_ITEM 2_1" xfId="2749" xr:uid="{00000000-0005-0000-0000-00008F0A0000}"/>
    <cellStyle name="R_Resumen Gastos Generale E.R. GRUPO 2_PRESUPUESTO GRUPO 9_ITEM 2_8" xfId="2750" xr:uid="{00000000-0005-0000-0000-0000900A0000}"/>
    <cellStyle name="R_Resumen Gastos Generale E.R. GRUPO 2_VReferencial (Grupo N°12)" xfId="2751" xr:uid="{00000000-0005-0000-0000-0000910A0000}"/>
    <cellStyle name="R_Resumen RS Grupo 3" xfId="1872" xr:uid="{00000000-0005-0000-0000-0000920A0000}"/>
    <cellStyle name="R_Resumen RS Grupo 3_00_VREF_33 Proy (Item 2)" xfId="2752" xr:uid="{00000000-0005-0000-0000-0000930A0000}"/>
    <cellStyle name="R_Resumen RS Grupo 3_001_VREF_33 Proyectos (Grupo N°10)" xfId="2753" xr:uid="{00000000-0005-0000-0000-0000940A0000}"/>
    <cellStyle name="R_Resumen RS Grupo 3_03_Valor Referencial_Grupo 8" xfId="2754" xr:uid="{00000000-0005-0000-0000-0000950A0000}"/>
    <cellStyle name="R_Resumen RS Grupo 3_Copia de PRESUPUESTO GRUPO 11_6" xfId="2755" xr:uid="{00000000-0005-0000-0000-0000960A0000}"/>
    <cellStyle name="R_Resumen RS Grupo 3_ESTIMADO" xfId="2756" xr:uid="{00000000-0005-0000-0000-0000970A0000}"/>
    <cellStyle name="R_Resumen RS Grupo 3_Estimado (Grupo N°12) (version 2)" xfId="2757" xr:uid="{00000000-0005-0000-0000-0000980A0000}"/>
    <cellStyle name="R_Resumen RS Grupo 3_G12 Oferta x Proyecto" xfId="2758" xr:uid="{00000000-0005-0000-0000-0000990A0000}"/>
    <cellStyle name="R_Resumen RS Grupo 3_presupuesto grupo 12" xfId="2759" xr:uid="{00000000-0005-0000-0000-00009A0A0000}"/>
    <cellStyle name="R_Resumen RS Grupo 3_Presupuesto Grupo 8" xfId="2760" xr:uid="{00000000-0005-0000-0000-00009B0A0000}"/>
    <cellStyle name="R_Resumen RS Grupo 3_PRESUPUESTO GRUPO 9_ITEM 2_1" xfId="2761" xr:uid="{00000000-0005-0000-0000-00009C0A0000}"/>
    <cellStyle name="R_Resumen RS Grupo 3_PRESUPUESTO GRUPO 9_ITEM 2_8" xfId="2762" xr:uid="{00000000-0005-0000-0000-00009D0A0000}"/>
    <cellStyle name="R_Resumen RS Grupo 3_VReferencial (Grupo N°12)" xfId="2763" xr:uid="{00000000-0005-0000-0000-00009E0A0000}"/>
    <cellStyle name="R_SE Reductora Pataz" xfId="1873" xr:uid="{00000000-0005-0000-0000-00009F0A0000}"/>
    <cellStyle name="R_SE. Otuzco" xfId="1874" xr:uid="{00000000-0005-0000-0000-0000A00A0000}"/>
    <cellStyle name="R_VAL 03-MAR 2008-CONTRATISTA_Rev01" xfId="1875" xr:uid="{00000000-0005-0000-0000-0000A10A0000}"/>
    <cellStyle name="R_VALOR REFER. ELET_RURAL GRUPO 2" xfId="1876" xr:uid="{00000000-0005-0000-0000-0000A20A0000}"/>
    <cellStyle name="R_VALOR REFER. ELET_RURAL GRUPO 2_1" xfId="1877" xr:uid="{00000000-0005-0000-0000-0000A30A0000}"/>
    <cellStyle name="R_VALORIZACION 03-MARZO 08_Rev01" xfId="1878" xr:uid="{00000000-0005-0000-0000-0000A40A0000}"/>
    <cellStyle name="R_VALORIZACION 03-MARZO 08_Rev02" xfId="1879" xr:uid="{00000000-0005-0000-0000-0000A50A0000}"/>
    <cellStyle name="R_Valorización CACI IX -DICIEMBRE 2007" xfId="1880" xr:uid="{00000000-0005-0000-0000-0000A60A0000}"/>
    <cellStyle name="R_Valorización CACI IX -DICIEMBRE 2007_01 Cuadros_Valorizacion01_Febrero Satipo Ramal 2" xfId="1881" xr:uid="{00000000-0005-0000-0000-0000A70A0000}"/>
    <cellStyle name="R_Valorización CACI IX -DICIEMBRE 2007_AVANCE DE VALORIZAC_CRLS" xfId="1882" xr:uid="{00000000-0005-0000-0000-0000A80A0000}"/>
    <cellStyle name="R_Valorización CACI IX -DICIEMBRE 2007_CUADROS_ VALORIZACIONES_MARZO_RAMAL_2" xfId="1883" xr:uid="{00000000-0005-0000-0000-0000A90A0000}"/>
    <cellStyle name="R_Valorización CACI IX -DICIEMBRE 2007_Resumen valoril (3)" xfId="1884" xr:uid="{00000000-0005-0000-0000-0000AA0A0000}"/>
    <cellStyle name="R_Valorización CACI IX -DICIEMBRE 2007_VAL 03-MAR 2008-CONTRATISTA_Rev01" xfId="1885" xr:uid="{00000000-0005-0000-0000-0000AB0A0000}"/>
    <cellStyle name="R_Valorización CACI IX -DICIEMBRE 2007_VALORIZACION 03-MARZO 08_Rev01" xfId="1886" xr:uid="{00000000-0005-0000-0000-0000AC0A0000}"/>
    <cellStyle name="R_Valorización CACI IX -DICIEMBRE 2007_VALORIZACION 03-MARZO 08_Rev02" xfId="1887" xr:uid="{00000000-0005-0000-0000-0000AD0A0000}"/>
    <cellStyle name="R_Valorización CACI IX -DICIEMBRE 2007_VALORIZACION N_1 NOV_2009_ICE_CHUNGUI_FINAL_2A" xfId="1888" xr:uid="{00000000-0005-0000-0000-0000AE0A0000}"/>
    <cellStyle name="R_Valorización CACI IX -DICIEMBRE 2007_VALORIZACION N_1 NOV_2009_ICE_CHUNGUI_segun formato" xfId="1889" xr:uid="{00000000-0005-0000-0000-0000AF0A0000}"/>
    <cellStyle name="R_Valorización CACI IX -DICIEMBRE 2007_VALORIZACION N_3_ENERO_2010_ICE_CHUNGUI_250110" xfId="1890" xr:uid="{00000000-0005-0000-0000-0000B00A0000}"/>
    <cellStyle name="R_Valorizacion02-FEB" xfId="1891" xr:uid="{00000000-0005-0000-0000-0000B10A0000}"/>
    <cellStyle name="R_Valorizacion02-FEB_Resumen valoril (3)" xfId="1892" xr:uid="{00000000-0005-0000-0000-0000B20A0000}"/>
    <cellStyle name="R_Valorizacion02-FEB_VAL 03-MAR 2008-CONTRATISTA_Rev01" xfId="1893" xr:uid="{00000000-0005-0000-0000-0000B30A0000}"/>
    <cellStyle name="R_Valorizacion02-FEB_VALORIZACION 03-MARZO 08_Rev01" xfId="1894" xr:uid="{00000000-0005-0000-0000-0000B40A0000}"/>
    <cellStyle name="R_Valorizacion02-FEB_VALORIZACION 03-MARZO 08_Rev02" xfId="1895" xr:uid="{00000000-0005-0000-0000-0000B50A0000}"/>
    <cellStyle name="R_valorizado" xfId="1896" xr:uid="{00000000-0005-0000-0000-0000B60A0000}"/>
    <cellStyle name="R_valorizado_01 Cuadros_Valorizacion01_Febrero Satipo Ramal 2" xfId="1897" xr:uid="{00000000-0005-0000-0000-0000B70A0000}"/>
    <cellStyle name="R_valorizado_AVANCE DE VALORIZAC_CRLS" xfId="1898" xr:uid="{00000000-0005-0000-0000-0000B80A0000}"/>
    <cellStyle name="R_valorizado_CUADROS_ VALORIZACIONES_MARZO_RAMAL_2" xfId="1899" xr:uid="{00000000-0005-0000-0000-0000B90A0000}"/>
    <cellStyle name="R_valorizado_Resumen valoril (3)" xfId="1900" xr:uid="{00000000-0005-0000-0000-0000BA0A0000}"/>
    <cellStyle name="R_valorizado_VAL 03-MAR 2008-CONTRATISTA_Rev01" xfId="1901" xr:uid="{00000000-0005-0000-0000-0000BB0A0000}"/>
    <cellStyle name="R_valorizado_VALORIZACION 03-MARZO 08_Rev01" xfId="1902" xr:uid="{00000000-0005-0000-0000-0000BC0A0000}"/>
    <cellStyle name="R_valorizado_VALORIZACION 03-MARZO 08_Rev02" xfId="1903" xr:uid="{00000000-0005-0000-0000-0000BD0A0000}"/>
    <cellStyle name="R_valorizado_VALORIZACION N_1 NOV_2009_ICE_CHUNGUI_FINAL_2A" xfId="1904" xr:uid="{00000000-0005-0000-0000-0000BE0A0000}"/>
    <cellStyle name="R_valorizado_VALORIZACION N_1 NOV_2009_ICE_CHUNGUI_segun formato" xfId="1905" xr:uid="{00000000-0005-0000-0000-0000BF0A0000}"/>
    <cellStyle name="R_valorizado_VALORIZACION N_3_ENERO_2010_ICE_CHUNGUI_250110" xfId="1906" xr:uid="{00000000-0005-0000-0000-0000C00A0000}"/>
    <cellStyle name="R_VREFERC SUMINISTROS JUNIO 2007" xfId="1907" xr:uid="{00000000-0005-0000-0000-0000C10A0000}"/>
    <cellStyle name="REDES SECUNDARIAS" xfId="1908" xr:uid="{00000000-0005-0000-0000-0000C20A0000}"/>
    <cellStyle name="RevList" xfId="1909" xr:uid="{00000000-0005-0000-0000-0000C30A0000}"/>
    <cellStyle name="RevList 2" xfId="3124" xr:uid="{BE63729F-036C-41CA-8A99-6936D46C73DB}"/>
    <cellStyle name="RM" xfId="1910" xr:uid="{00000000-0005-0000-0000-0000C40A0000}"/>
    <cellStyle name="Salida 2" xfId="2181" xr:uid="{00000000-0005-0000-0000-0000C50A0000}"/>
    <cellStyle name="Subtotal" xfId="1911" xr:uid="{00000000-0005-0000-0000-0000C60A0000}"/>
    <cellStyle name="Texto de advertencia 2" xfId="2182" xr:uid="{00000000-0005-0000-0000-0000C70A0000}"/>
    <cellStyle name="Texto explicativo 2" xfId="2183" xr:uid="{00000000-0005-0000-0000-0000C80A0000}"/>
    <cellStyle name="Title" xfId="1912" xr:uid="{00000000-0005-0000-0000-0000C90A0000}"/>
    <cellStyle name="TITULO" xfId="2764" xr:uid="{00000000-0005-0000-0000-0000CA0A0000}"/>
    <cellStyle name="Título 1 2" xfId="2184" xr:uid="{00000000-0005-0000-0000-0000CB0A0000}"/>
    <cellStyle name="Título 2 2" xfId="2185" xr:uid="{00000000-0005-0000-0000-0000CC0A0000}"/>
    <cellStyle name="Título 3 2" xfId="2186" xr:uid="{00000000-0005-0000-0000-0000CD0A0000}"/>
    <cellStyle name="Título 4" xfId="2187" xr:uid="{00000000-0005-0000-0000-0000CE0A0000}"/>
    <cellStyle name="Total 10" xfId="1913" xr:uid="{00000000-0005-0000-0000-0000CF0A0000}"/>
    <cellStyle name="Total 11" xfId="1914" xr:uid="{00000000-0005-0000-0000-0000D00A0000}"/>
    <cellStyle name="Total 12" xfId="1915" xr:uid="{00000000-0005-0000-0000-0000D10A0000}"/>
    <cellStyle name="Total 13" xfId="1916" xr:uid="{00000000-0005-0000-0000-0000D20A0000}"/>
    <cellStyle name="Total 14" xfId="1917" xr:uid="{00000000-0005-0000-0000-0000D30A0000}"/>
    <cellStyle name="Total 15" xfId="1918" xr:uid="{00000000-0005-0000-0000-0000D40A0000}"/>
    <cellStyle name="Total 16" xfId="1919" xr:uid="{00000000-0005-0000-0000-0000D50A0000}"/>
    <cellStyle name="Total 17" xfId="1920" xr:uid="{00000000-0005-0000-0000-0000D60A0000}"/>
    <cellStyle name="Total 18" xfId="1921" xr:uid="{00000000-0005-0000-0000-0000D70A0000}"/>
    <cellStyle name="Total 19" xfId="1922" xr:uid="{00000000-0005-0000-0000-0000D80A0000}"/>
    <cellStyle name="Total 2" xfId="1923" xr:uid="{00000000-0005-0000-0000-0000D90A0000}"/>
    <cellStyle name="Total 20" xfId="1924" xr:uid="{00000000-0005-0000-0000-0000DA0A0000}"/>
    <cellStyle name="Total 21" xfId="1925" xr:uid="{00000000-0005-0000-0000-0000DB0A0000}"/>
    <cellStyle name="Total 22" xfId="1926" xr:uid="{00000000-0005-0000-0000-0000DC0A0000}"/>
    <cellStyle name="Total 23" xfId="1927" xr:uid="{00000000-0005-0000-0000-0000DD0A0000}"/>
    <cellStyle name="Total 24" xfId="2188" xr:uid="{00000000-0005-0000-0000-0000DE0A0000}"/>
    <cellStyle name="Total 3" xfId="1928" xr:uid="{00000000-0005-0000-0000-0000DF0A0000}"/>
    <cellStyle name="Total 4" xfId="1929" xr:uid="{00000000-0005-0000-0000-0000E00A0000}"/>
    <cellStyle name="Total 5" xfId="1930" xr:uid="{00000000-0005-0000-0000-0000E10A0000}"/>
    <cellStyle name="Total 6" xfId="1931" xr:uid="{00000000-0005-0000-0000-0000E20A0000}"/>
    <cellStyle name="Total 7" xfId="1932" xr:uid="{00000000-0005-0000-0000-0000E30A0000}"/>
    <cellStyle name="Total 8" xfId="1933" xr:uid="{00000000-0005-0000-0000-0000E40A0000}"/>
    <cellStyle name="Total 9" xfId="1934" xr:uid="{00000000-0005-0000-0000-0000E50A0000}"/>
    <cellStyle name="Warning Text" xfId="1935" xr:uid="{00000000-0005-0000-0000-0000E60A0000}"/>
  </cellStyles>
  <dxfs count="59">
    <dxf>
      <font>
        <color theme="0"/>
      </font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 val="0"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theme="0"/>
      </font>
    </dxf>
    <dxf>
      <font>
        <b val="0"/>
        <i val="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3333FF"/>
      </font>
    </dxf>
    <dxf>
      <font>
        <color rgb="FF3333FF"/>
      </font>
      <fill>
        <patternFill>
          <bgColor theme="9" tint="0.39994506668294322"/>
        </patternFill>
      </fill>
    </dxf>
    <dxf>
      <font>
        <color rgb="FF3333FF"/>
      </font>
    </dxf>
    <dxf>
      <font>
        <color rgb="FF3333FF"/>
      </font>
      <fill>
        <patternFill>
          <bgColor theme="9" tint="0.39994506668294322"/>
        </patternFill>
      </fill>
    </dxf>
    <dxf>
      <font>
        <color rgb="FF3333FF"/>
      </font>
    </dxf>
    <dxf>
      <font>
        <color rgb="FF3333FF"/>
      </font>
      <fill>
        <patternFill>
          <bgColor theme="9" tint="0.39994506668294322"/>
        </patternFill>
      </fill>
    </dxf>
    <dxf>
      <font>
        <color rgb="FF3333FF"/>
      </font>
    </dxf>
    <dxf>
      <font>
        <color rgb="FF3333FF"/>
      </font>
      <fill>
        <patternFill>
          <bgColor theme="9" tint="0.39994506668294322"/>
        </patternFill>
      </fill>
    </dxf>
    <dxf>
      <font>
        <color rgb="FF3333FF"/>
      </font>
      <fill>
        <patternFill>
          <bgColor theme="9" tint="0.39994506668294322"/>
        </patternFill>
      </fill>
    </dxf>
    <dxf>
      <font>
        <color rgb="FF3333FF"/>
      </font>
    </dxf>
    <dxf>
      <font>
        <color rgb="FF3333FF"/>
      </font>
    </dxf>
    <dxf>
      <font>
        <color rgb="FF3333FF"/>
      </font>
      <fill>
        <patternFill>
          <bgColor theme="9" tint="0.39994506668294322"/>
        </patternFill>
      </fill>
    </dxf>
    <dxf>
      <font>
        <color rgb="FF3333FF"/>
      </font>
      <fill>
        <patternFill>
          <bgColor theme="9" tint="0.39994506668294322"/>
        </patternFill>
      </fill>
    </dxf>
    <dxf>
      <font>
        <color rgb="FF3333FF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3333FF"/>
      </font>
      <fill>
        <patternFill>
          <bgColor theme="9" tint="0.39994506668294322"/>
        </patternFill>
      </fill>
    </dxf>
    <dxf>
      <font>
        <color rgb="FF3333FF"/>
      </font>
    </dxf>
    <dxf>
      <font>
        <b/>
        <i val="0"/>
      </font>
      <fill>
        <patternFill>
          <bgColor rgb="FFFFFF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3333FF"/>
      </font>
      <fill>
        <patternFill>
          <bgColor theme="9" tint="0.39994506668294322"/>
        </patternFill>
      </fill>
    </dxf>
    <dxf>
      <font>
        <color rgb="FF3333FF"/>
      </font>
    </dxf>
    <dxf>
      <font>
        <b/>
        <i val="0"/>
      </font>
      <fill>
        <patternFill>
          <bgColor rgb="FFFFFF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3333FF"/>
      </font>
    </dxf>
    <dxf>
      <font>
        <color rgb="FF3333FF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3333FF"/>
      </font>
    </dxf>
    <dxf>
      <font>
        <color rgb="FF3333FF"/>
      </font>
      <fill>
        <patternFill>
          <bgColor theme="9" tint="0.39994506668294322"/>
        </patternFill>
      </fill>
    </dxf>
    <dxf>
      <font>
        <condense val="0"/>
        <extend val="0"/>
        <color indexed="9"/>
      </font>
    </dxf>
    <dxf>
      <font>
        <color auto="1"/>
      </font>
      <numFmt numFmtId="0" formatCode="General"/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03" formatCode=";;;"/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FFFF99"/>
      <color rgb="FF3333FF"/>
      <color rgb="FFFFFF66"/>
      <color rgb="FFFFFFCC"/>
      <color rgb="FF66FFCC"/>
      <color rgb="FF99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iconsa\data\PROYECTO\ENPROCES\DEP-PROY.02\AIJA.PSE\CONCURSO\DATOS.MEM\AIJA-I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MEGA_CJ\CAJAMARCA_99\AGOSTO_1999\LAMBDA_LL\LA_LIBERTAD_99\JUNIO_1999\Flujo%20Energia%2099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is%20documentos\DEP\27pse-OECF-II\SPres-resumen\Pr-21\RpCH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EP/27pse-OECF-II/SPres-resumen/Pr-21/RpCH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EP/27pse-OECF-II/SPres-resumen/Pr-21/RpCH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Mis%20documentos\FORMATOS-ANEXO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Mis%20documentos\DEP\27pse-OECF-II\SPres-resumen\Pr-21\RpCH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P\27pse-OECF-II\SPres-resumen\Pr-21\RpCHI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GV\GESTION%202002\PPTO-2002\DECRETO%20DE%20URGENCIA\PSE%20SANDIA%20II\DEP\27pse-OECF-II\SPres-resumen\Pr-21\RpCH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DEP\27pse-OECF-II\SPres-resumen\Pr-21\RpCH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XP-FINAL-UNI-DIPLOMADO-2004-energia-hass/anexos%202.1,%202.2,%202.3,%202.4,%202.5,%203.1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XP-FINAL-UNI-DIPLOMADO-2004-energia-hass/anexos%202.1,%202.2,%202.3,%202.4,%202.5,%203.1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royectos_en_proceso\5.%20Pre-Factib.%20Hu&#225;nuco%20-%20DEP\3.%20Informe%20III\Metrados\REDES%20PRIMARIAS\Presupuesto%20RP%20%20Proyecto%20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\27pse-OECF-II\SPres-resumen\Pr-21\RpCHI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PRUEBA\DM_LP_2.xlsx" TargetMode="External"/><Relationship Id="rId1" Type="http://schemas.openxmlformats.org/officeDocument/2006/relationships/externalLinkPath" Target="/Personal/PRUEBA/DM_LP_2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OYECTO/ENPROCES/VARIOS/AYAC-SFR/COYM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/ENPROCES/VARIOS/AYAC-SFR/COY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E79170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FS\pproceso\Dep-2004-Estudios\PSE%20Huancan&#233;\Informe-04-05locl\PARTE1.LP\V2-METR.PRE\Jimbe-Pamparomas%20II%20Etapa\PRIMARIA\VOLUMEN%20II\RP_JIMBE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gart/CTGAR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gart/CTGAR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06\d\PC-06\PSE-PUNO-AZANGARO\PSE-PUNO-IIETAPA\FORMATOSPUN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orote\C\ismael\CTE-PEAJE-SPT\LINEAMIENTOS\rosa\cte\FORMA-V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sa\samuel\tabaconas\Vol-ii\PRES-RP-TABA-FEBRER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q14\c\C\MEM\DEP\RP_JIMBE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Proy. Abonados 3.1c"/>
      <sheetName val="Cuenta x API"/>
      <sheetName val="Hoja2"/>
      <sheetName val="Hoja3"/>
      <sheetName val="CALEND C."/>
      <sheetName val="14 PIAS"/>
      <sheetName val="13 TUCARI"/>
      <sheetName val="4  VOTORANTIM 501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RS METRADO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Mensual - Acumul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VAL ESTRUCTURAS "/>
      <sheetName val="REIT_REAJ_"/>
      <sheetName val="RESUM_VAL_"/>
      <sheetName val="VAL ARQUITECTURA"/>
      <sheetName val="VAL_RES."/>
      <sheetName val="D_MAT_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ones"/>
      <sheetName val="EVAL"/>
      <sheetName val="social"/>
      <sheetName val="RESUMEN RO"/>
      <sheetName val="ANALISIS VENTAS"/>
      <sheetName val="2 TUCARI"/>
      <sheetName val="8  VOTORANTIN 501"/>
      <sheetName val="CALENDARIO"/>
      <sheetName val="A"/>
      <sheetName val="Base"/>
      <sheetName val="ENTR_F"/>
      <sheetName val="Identificación Cargas _Anexo 4_"/>
      <sheetName val="3_1"/>
      <sheetName val="DATOS DE CAMPO"/>
      <sheetName val="STRUCT"/>
      <sheetName val="#¡REF"/>
      <sheetName val="Fundacion"/>
      <sheetName val="CANT.UNITARIAS"/>
      <sheetName val="CuadroIyII"/>
      <sheetName val="Presupuesto"/>
      <sheetName val="Hoja1"/>
      <sheetName val="Consun Energ_ _Anexo_5_2_5_"/>
      <sheetName val="Costos Alt2"/>
      <sheetName val="CIVIL"/>
      <sheetName val="AnexoVI"/>
      <sheetName val="cantidades"/>
      <sheetName val="DATOS"/>
      <sheetName val="REV3"/>
      <sheetName val="FlujoTJ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jun"/>
      <sheetName val="FlujoTJ"/>
      <sheetName val="Flujo LLNO"/>
      <sheetName val="Reseteos"/>
      <sheetName val="T2"/>
      <sheetName val="Flujo_CJ"/>
      <sheetName val="RESUMEN RO"/>
      <sheetName val="ANALISIS RO MAYO"/>
      <sheetName val="2 TUCARI"/>
      <sheetName val="8  VOTORANTIN 501"/>
      <sheetName val="Analisis de la T.C. - 2.2"/>
      <sheetName val="Hoja4"/>
      <sheetName val="DATOS DE CAMPO"/>
      <sheetName val="CAP_120mm2"/>
      <sheetName val="CENSO93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LINEAS"/>
      <sheetName val="Datos de Entrada"/>
      <sheetName val="CAP-120mm2"/>
      <sheetName val="PRESUPUESTO"/>
      <sheetName val="#¡REF"/>
      <sheetName val="Tipo de Cambio"/>
      <sheetName val="EV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Fundacion"/>
      <sheetName val="cantidad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LM3"/>
      <sheetName val="FORMA- RE1"/>
      <sheetName val="FORMA_LM1"/>
      <sheetName val="FORMA__SE1_"/>
      <sheetName val="FORMA_SE2"/>
      <sheetName val="FORMA_LS1_LS2"/>
      <sheetName val="FORMA_LS3"/>
      <sheetName val="FORMA_ST1"/>
      <sheetName val="FORMA_LM3"/>
      <sheetName val="FORMA_ RE1"/>
      <sheetName val="#¡REF"/>
      <sheetName val="FlujoTJ"/>
      <sheetName val="ENTR_F"/>
      <sheetName val="3_1"/>
      <sheetName val="CALCULO"/>
    </sheetNames>
    <sheetDataSet>
      <sheetData sheetId="0" refreshError="1">
        <row r="1">
          <cell r="A1" t="str">
            <v>CTE PEAJES POR CONEXIÓN AL SPT</v>
          </cell>
          <cell r="Q1" t="str">
            <v>FORMULARIO : CTE-SPT-VNR-LM1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DE MADERA)</v>
          </cell>
        </row>
        <row r="7">
          <cell r="A7" t="str">
            <v>NOMBRE DE LA EMPRESA</v>
          </cell>
          <cell r="C7" t="str">
            <v>:</v>
          </cell>
        </row>
        <row r="9">
          <cell r="A9" t="str">
            <v>NIVEL DE TENSION (kV)</v>
          </cell>
          <cell r="C9" t="str">
            <v>:</v>
          </cell>
        </row>
        <row r="11">
          <cell r="A11" t="str">
            <v>DENOMINACION DE LA LINEA</v>
          </cell>
          <cell r="C11" t="str">
            <v>:</v>
          </cell>
          <cell r="P11" t="str">
            <v>Unidad de moneda:</v>
          </cell>
        </row>
        <row r="13">
          <cell r="A13" t="str">
            <v>NUMERO DE TERNAS</v>
          </cell>
          <cell r="C13" t="str">
            <v>:</v>
          </cell>
          <cell r="P13" t="str">
            <v>Tasa de cambio:</v>
          </cell>
        </row>
        <row r="15">
          <cell r="A15" t="str">
            <v>LONGITUD (Km.)</v>
          </cell>
          <cell r="C15" t="str">
            <v>:</v>
          </cell>
          <cell r="P15" t="str">
            <v>Fecha de Referencia:</v>
          </cell>
        </row>
        <row r="17">
          <cell r="A17" t="str">
            <v>TIPO DE ESTRUCTURAS DE MADERA</v>
          </cell>
          <cell r="C17" t="str">
            <v>:</v>
          </cell>
          <cell r="P17" t="str">
            <v>Hoja:</v>
          </cell>
          <cell r="Q17" t="str">
            <v>1/2</v>
          </cell>
        </row>
        <row r="19">
          <cell r="E19" t="str">
            <v>S U M I N I S T R O S    I M P O R T A D O S</v>
          </cell>
          <cell r="J19" t="str">
            <v>F L E T E</v>
          </cell>
        </row>
        <row r="20">
          <cell r="E20" t="str">
            <v>P R E C I O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O    B    R    A    S</v>
          </cell>
          <cell r="Q20" t="str">
            <v>S U B</v>
          </cell>
        </row>
        <row r="21">
          <cell r="A21" t="str">
            <v>ITEM</v>
          </cell>
          <cell r="B21" t="str">
            <v xml:space="preserve"> A   C   T   I   V   I   D   A   D</v>
          </cell>
          <cell r="E21" t="str">
            <v xml:space="preserve">F  O  B  </v>
          </cell>
          <cell r="G21" t="str">
            <v>Y</v>
          </cell>
          <cell r="H21" t="str">
            <v>Y   GASTOS</v>
          </cell>
          <cell r="I21" t="str">
            <v>SUB 
TOTAL</v>
          </cell>
          <cell r="K21" t="str">
            <v>SUB</v>
          </cell>
          <cell r="L21" t="str">
            <v>C I V I L E S</v>
          </cell>
          <cell r="Q21" t="str">
            <v>T O T A L</v>
          </cell>
        </row>
        <row r="22">
          <cell r="C22" t="str">
            <v>UNIDAD</v>
          </cell>
          <cell r="D22" t="str">
            <v>CANTIDAD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DE  ADUANA</v>
          </cell>
          <cell r="J22" t="str">
            <v>UNITARIO</v>
          </cell>
          <cell r="K22" t="str">
            <v>TOTAL</v>
          </cell>
          <cell r="L22" t="str">
            <v>UNITARIO</v>
          </cell>
          <cell r="M22" t="str">
            <v>TOTAL</v>
          </cell>
          <cell r="N22" t="str">
            <v>UNITARIO</v>
          </cell>
          <cell r="O22" t="str">
            <v>TOTAL</v>
          </cell>
          <cell r="P22" t="str">
            <v>SUB 
TOTAL</v>
          </cell>
          <cell r="Q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 xml:space="preserve">  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 xml:space="preserve">  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 xml:space="preserve">  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suelo con  agua</v>
          </cell>
          <cell r="C42" t="str">
            <v>m3</v>
          </cell>
        </row>
        <row r="43">
          <cell r="A43" t="str">
            <v>4.4</v>
          </cell>
          <cell r="B43" t="str">
            <v xml:space="preserve">  Excavación  en  roca  compacta</v>
          </cell>
          <cell r="C43" t="str">
            <v>m3</v>
          </cell>
        </row>
        <row r="44">
          <cell r="A44" t="str">
            <v>4.5</v>
          </cell>
          <cell r="B44" t="str">
            <v xml:space="preserve">  Relleno  con  material  propio  compactado</v>
          </cell>
          <cell r="C44" t="str">
            <v>m3</v>
          </cell>
        </row>
        <row r="45">
          <cell r="A45" t="str">
            <v>4.6</v>
          </cell>
          <cell r="B45" t="str">
            <v xml:space="preserve">  Relleno  con  material  de  préstamo</v>
          </cell>
          <cell r="C45" t="str">
            <v>m4</v>
          </cell>
        </row>
        <row r="46">
          <cell r="A46" t="str">
            <v>4.7</v>
          </cell>
          <cell r="B46" t="str">
            <v xml:space="preserve">  Eliminación  de material   excedente</v>
          </cell>
          <cell r="C46" t="str">
            <v>m3</v>
          </cell>
        </row>
        <row r="47">
          <cell r="A47" t="str">
            <v>4.8</v>
          </cell>
          <cell r="B47" t="str">
            <v xml:space="preserve">  Bloques de concreto para retenidas </v>
          </cell>
          <cell r="C47" t="str">
            <v>U</v>
          </cell>
        </row>
        <row r="49">
          <cell r="B49" t="str">
            <v>S U B  -  T O T A L      O B R A S   C I V I L E S</v>
          </cell>
        </row>
        <row r="51">
          <cell r="A51" t="str">
            <v>II</v>
          </cell>
          <cell r="B51" t="str">
            <v xml:space="preserve">  O B R A S    E L E C T R O M E C A N I C A S </v>
          </cell>
        </row>
        <row r="52">
          <cell r="A52" t="str">
            <v>1.0</v>
          </cell>
          <cell r="B52" t="str">
            <v xml:space="preserve">  Estructuras   de  Madera</v>
          </cell>
        </row>
        <row r="54">
          <cell r="A54">
            <v>1.1000000000000001</v>
          </cell>
          <cell r="B54" t="str">
            <v xml:space="preserve">Estructuras Vestidas </v>
          </cell>
        </row>
        <row r="55">
          <cell r="B55" t="str">
            <v xml:space="preserve"> Suspension</v>
          </cell>
        </row>
        <row r="56">
          <cell r="B56" t="str">
            <v xml:space="preserve">  Tipo " HS"  Compuesta de : </v>
          </cell>
        </row>
        <row r="57">
          <cell r="B57" t="str">
            <v xml:space="preserve">  Postes de madera tratada 90' Clase 1</v>
          </cell>
        </row>
        <row r="58">
          <cell r="B58" t="str">
            <v xml:space="preserve">  Cruceta de madera de 5/8" x 9 1/2" x 40'</v>
          </cell>
        </row>
        <row r="59">
          <cell r="B59" t="str">
            <v xml:space="preserve">  Brazos " X " formado por tablones de madera</v>
          </cell>
        </row>
        <row r="60">
          <cell r="B60" t="str">
            <v xml:space="preserve">  Accesorios  y ferreteria</v>
          </cell>
          <cell r="C60" t="str">
            <v>U</v>
          </cell>
        </row>
        <row r="62">
          <cell r="B62" t="str">
            <v>Angulo</v>
          </cell>
        </row>
        <row r="63">
          <cell r="B63" t="str">
            <v xml:space="preserve">  Tipo " A1" Conpuesto de :</v>
          </cell>
        </row>
        <row r="64">
          <cell r="B64" t="str">
            <v xml:space="preserve">   Postes de madera tratada 90' Clase 1</v>
          </cell>
        </row>
        <row r="65">
          <cell r="B65" t="str">
            <v xml:space="preserve">   Abrazaderas metálicas</v>
          </cell>
        </row>
        <row r="66">
          <cell r="B66" t="str">
            <v xml:space="preserve">   Accesorios  y ferreteria</v>
          </cell>
          <cell r="C66" t="str">
            <v>U</v>
          </cell>
        </row>
        <row r="68">
          <cell r="B68" t="str">
            <v xml:space="preserve">  Tipo " A2" Conpuesto de :</v>
          </cell>
        </row>
        <row r="69">
          <cell r="B69" t="str">
            <v xml:space="preserve">  Postes de madera tratada 90' Clase 1</v>
          </cell>
        </row>
        <row r="70">
          <cell r="B70" t="str">
            <v xml:space="preserve">  Abrazaderas metálicas</v>
          </cell>
        </row>
        <row r="71">
          <cell r="B71" t="str">
            <v xml:space="preserve">  Accesorios  y ferreteria</v>
          </cell>
          <cell r="C71" t="str">
            <v>U</v>
          </cell>
        </row>
      </sheetData>
      <sheetData sheetId="1"/>
      <sheetData sheetId="2" refreshError="1">
        <row r="301">
          <cell r="A301" t="str">
            <v>FORMATO VC5</v>
          </cell>
        </row>
        <row r="302">
          <cell r="A302" t="str">
            <v>NIVEL 220 kV</v>
          </cell>
        </row>
        <row r="303">
          <cell r="A303" t="str">
            <v>SISTEMA DE DOBLE BARRA</v>
          </cell>
        </row>
        <row r="304">
          <cell r="A304" t="str">
            <v>B. CELDA TRANSFORMADOR</v>
          </cell>
        </row>
        <row r="305">
          <cell r="A305" t="str">
            <v>NOMBRE DE LA EMPRESA</v>
          </cell>
          <cell r="C305" t="str">
            <v>:</v>
          </cell>
          <cell r="R305" t="str">
            <v>Fecha de Referencia</v>
          </cell>
        </row>
        <row r="306">
          <cell r="A306" t="str">
            <v>TENSION (Kv.)</v>
          </cell>
          <cell r="C306" t="str">
            <v>:</v>
          </cell>
          <cell r="R306" t="str">
            <v xml:space="preserve">HOJA </v>
          </cell>
          <cell r="S306" t="str">
            <v>1/1</v>
          </cell>
        </row>
        <row r="307">
          <cell r="A307" t="str">
            <v>DENOMINACION</v>
          </cell>
          <cell r="C307" t="str">
            <v>:</v>
          </cell>
        </row>
        <row r="308">
          <cell r="A308" t="str">
            <v>TIPO DE BARRA</v>
          </cell>
          <cell r="C308" t="str">
            <v>:</v>
          </cell>
        </row>
        <row r="309">
          <cell r="A309" t="str">
            <v>TIPO DE SUBESTACION (Interior,  Exterior, Convencional, Encapsulada)</v>
          </cell>
        </row>
        <row r="310">
          <cell r="E310" t="str">
            <v>SUMINISTROS IMPORTADOS</v>
          </cell>
          <cell r="J310" t="str">
            <v>SUMINISTROS NACIONALES</v>
          </cell>
          <cell r="L310" t="str">
            <v>FLETE TERRESTRE</v>
          </cell>
          <cell r="N310" t="str">
            <v>OBRAS</v>
          </cell>
          <cell r="S310" t="str">
            <v>SUB               TOTAL              GENERAL</v>
          </cell>
        </row>
        <row r="311">
          <cell r="A311" t="str">
            <v>ITEM</v>
          </cell>
          <cell r="B311" t="str">
            <v>ACTIVIDAD</v>
          </cell>
          <cell r="C311" t="str">
            <v>UNID.</v>
          </cell>
          <cell r="D311" t="str">
            <v>CANT.</v>
          </cell>
          <cell r="E311" t="str">
            <v>PRECIO FOB</v>
          </cell>
          <cell r="G311" t="str">
            <v>FLETE Y SEGURO</v>
          </cell>
          <cell r="H311" t="str">
            <v>ARANCELES Y GASTOS DE ADUANAS</v>
          </cell>
          <cell r="I311" t="str">
            <v>SUB TOTAL</v>
          </cell>
          <cell r="N311" t="str">
            <v>CIVILES</v>
          </cell>
          <cell r="P311" t="str">
            <v>ELECTROMECANICAS</v>
          </cell>
          <cell r="R311" t="str">
            <v>SUB TOTAL</v>
          </cell>
        </row>
        <row r="312">
          <cell r="E312" t="str">
            <v>UNITARIO</v>
          </cell>
          <cell r="F312" t="str">
            <v>TOTAL</v>
          </cell>
          <cell r="J312" t="str">
            <v>UNITARIO</v>
          </cell>
          <cell r="K312" t="str">
            <v>SUB TOTAL</v>
          </cell>
          <cell r="L312" t="str">
            <v>UNITARIO</v>
          </cell>
          <cell r="M312" t="str">
            <v>SUB TOTAL</v>
          </cell>
          <cell r="N312" t="str">
            <v>UNITARIO</v>
          </cell>
          <cell r="O312" t="str">
            <v xml:space="preserve"> TOTAL</v>
          </cell>
          <cell r="P312" t="str">
            <v>UNITARIO</v>
          </cell>
          <cell r="Q312" t="str">
            <v xml:space="preserve"> TOTAL</v>
          </cell>
        </row>
        <row r="313">
          <cell r="A313" t="str">
            <v>I</v>
          </cell>
          <cell r="B313" t="str">
            <v>OBRAS CIVILES</v>
          </cell>
        </row>
        <row r="315">
          <cell r="A315">
            <v>1</v>
          </cell>
          <cell r="B315" t="str">
            <v>BASES Y PORTICOS DE EQUIPOS</v>
          </cell>
        </row>
        <row r="316">
          <cell r="A316">
            <v>1.1000000000000001</v>
          </cell>
          <cell r="B316" t="str">
            <v>Excavación</v>
          </cell>
          <cell r="C316" t="str">
            <v>m3</v>
          </cell>
        </row>
        <row r="317">
          <cell r="A317">
            <v>1.2</v>
          </cell>
          <cell r="B317" t="str">
            <v>Solado</v>
          </cell>
          <cell r="C317" t="str">
            <v>m2</v>
          </cell>
        </row>
        <row r="318">
          <cell r="A318">
            <v>1.3</v>
          </cell>
          <cell r="B318" t="str">
            <v>Encofrado de pedestal</v>
          </cell>
          <cell r="C318" t="str">
            <v>Kg.</v>
          </cell>
        </row>
        <row r="319">
          <cell r="A319">
            <v>1.4</v>
          </cell>
          <cell r="B319" t="str">
            <v>Refuerzo de acero</v>
          </cell>
          <cell r="C319" t="str">
            <v>m3</v>
          </cell>
        </row>
        <row r="320">
          <cell r="A320">
            <v>1.5</v>
          </cell>
          <cell r="B320" t="str">
            <v>Concreto f'c = 210 kg / cm2</v>
          </cell>
          <cell r="C320" t="str">
            <v>m3</v>
          </cell>
        </row>
        <row r="321">
          <cell r="A321">
            <v>1.6</v>
          </cell>
          <cell r="B321" t="str">
            <v>Relleno compactado</v>
          </cell>
          <cell r="C321" t="str">
            <v>m3</v>
          </cell>
        </row>
        <row r="322">
          <cell r="A322">
            <v>1.7</v>
          </cell>
          <cell r="B322" t="str">
            <v>Eliminación de material excedente</v>
          </cell>
          <cell r="C322" t="str">
            <v>m3</v>
          </cell>
        </row>
        <row r="324">
          <cell r="A324">
            <v>2</v>
          </cell>
          <cell r="B324" t="str">
            <v>CANALETAS</v>
          </cell>
        </row>
        <row r="325">
          <cell r="A325">
            <v>2.1</v>
          </cell>
          <cell r="B325" t="str">
            <v>Canaletas tipicas de 30 cm2, al exterior</v>
          </cell>
          <cell r="C325" t="str">
            <v>m.</v>
          </cell>
        </row>
        <row r="326">
          <cell r="A326">
            <v>2.2000000000000002</v>
          </cell>
          <cell r="B326" t="str">
            <v>Canaletas tipicas de 60 cm2, al exterior</v>
          </cell>
          <cell r="C326" t="str">
            <v>m.</v>
          </cell>
        </row>
        <row r="327">
          <cell r="A327">
            <v>2.2999999999999998</v>
          </cell>
          <cell r="B327" t="str">
            <v>Canaletas tipicas de 120 cm2, al exterior</v>
          </cell>
          <cell r="C327" t="str">
            <v>m.</v>
          </cell>
        </row>
        <row r="329">
          <cell r="A329" t="str">
            <v>SUB - TOTAL OBRAS CIVILES</v>
          </cell>
        </row>
        <row r="331">
          <cell r="A331" t="str">
            <v>II</v>
          </cell>
          <cell r="B331" t="str">
            <v>OBRAS ELECTROMECANICAS</v>
          </cell>
        </row>
        <row r="333">
          <cell r="A333" t="str">
            <v>1.</v>
          </cell>
          <cell r="B333" t="str">
            <v>EQUIPOS PRINCIPALES</v>
          </cell>
        </row>
        <row r="334">
          <cell r="A334" t="str">
            <v>1.1</v>
          </cell>
          <cell r="B334" t="str">
            <v>Interruptor, 245 kV, 950 kVp (BIL), 1200 A, 31.5 kA, operación tripolar</v>
          </cell>
          <cell r="C334" t="str">
            <v>u</v>
          </cell>
        </row>
        <row r="335">
          <cell r="A335" t="str">
            <v>1.2</v>
          </cell>
          <cell r="B335" t="str">
            <v>Seccionador de barras, 245 kV, 950 KVp (BIL), 1200 A</v>
          </cell>
          <cell r="C335" t="str">
            <v>u</v>
          </cell>
        </row>
        <row r="336">
          <cell r="A336" t="str">
            <v>1.3</v>
          </cell>
          <cell r="B336" t="str">
            <v>Transformador de Tensión Capacitivo, 245 kV, 950 kVp (BIL)</v>
          </cell>
          <cell r="C336" t="str">
            <v>u</v>
          </cell>
        </row>
        <row r="337">
          <cell r="A337" t="str">
            <v>1.4</v>
          </cell>
          <cell r="B337" t="str">
            <v>Pararrayos 198 kV, 10 kA</v>
          </cell>
          <cell r="C337" t="str">
            <v>u</v>
          </cell>
        </row>
        <row r="340">
          <cell r="A340" t="str">
            <v>2.</v>
          </cell>
          <cell r="B340" t="str">
            <v>EQUIPOS COMPLEMENTARIOS</v>
          </cell>
        </row>
        <row r="341">
          <cell r="A341" t="str">
            <v>2.1</v>
          </cell>
          <cell r="B341" t="str">
            <v>Sistema de Barras (Cable de aleación de Aluminio y conectores)</v>
          </cell>
          <cell r="C341" t="str">
            <v>Cjto</v>
          </cell>
        </row>
        <row r="342">
          <cell r="A342" t="str">
            <v>2.2</v>
          </cell>
          <cell r="B342" t="str">
            <v>Tableros de Control, Protección,  Medición y Señalización</v>
          </cell>
          <cell r="C342" t="str">
            <v>Cjto</v>
          </cell>
        </row>
        <row r="343">
          <cell r="A343" t="str">
            <v>2.3</v>
          </cell>
          <cell r="B343" t="str">
            <v xml:space="preserve">Cables de Control </v>
          </cell>
          <cell r="C343" t="str">
            <v>Cjto</v>
          </cell>
        </row>
        <row r="344">
          <cell r="A344" t="str">
            <v>2.4</v>
          </cell>
          <cell r="B344" t="str">
            <v>Sistema de Puesta a Tierra  Superficial</v>
          </cell>
          <cell r="C344" t="str">
            <v>Cjto</v>
          </cell>
        </row>
        <row r="345">
          <cell r="A345" t="str">
            <v>2.5</v>
          </cell>
          <cell r="B345" t="str">
            <v>Estructuras Metálicas</v>
          </cell>
          <cell r="C345" t="str">
            <v>Cjto</v>
          </cell>
        </row>
        <row r="347">
          <cell r="A347">
            <v>3</v>
          </cell>
          <cell r="B347" t="str">
            <v>REPUESTOS  (5%)</v>
          </cell>
          <cell r="C347" t="str">
            <v>Global</v>
          </cell>
        </row>
        <row r="349">
          <cell r="A349">
            <v>4</v>
          </cell>
          <cell r="B349" t="str">
            <v>INGENIERIA DE DETALLE</v>
          </cell>
          <cell r="C349" t="str">
            <v>Global</v>
          </cell>
        </row>
        <row r="351">
          <cell r="A351">
            <v>5</v>
          </cell>
          <cell r="B351" t="str">
            <v>PRUEBAS Y PUESTAS EN SERVICIO</v>
          </cell>
          <cell r="C351" t="str">
            <v>Global</v>
          </cell>
        </row>
        <row r="353">
          <cell r="A353" t="str">
            <v>SUB TOTAL OBRAS ELECTROMECANICAS</v>
          </cell>
        </row>
        <row r="354">
          <cell r="A354" t="str">
            <v>TOTAL COSTO DIRECTO</v>
          </cell>
        </row>
        <row r="355">
          <cell r="A355" t="str">
            <v>III</v>
          </cell>
          <cell r="B355" t="str">
            <v>GASTOS GENERALES</v>
          </cell>
        </row>
        <row r="356">
          <cell r="A356" t="str">
            <v>IV</v>
          </cell>
          <cell r="B356" t="str">
            <v>UTILIDADES</v>
          </cell>
        </row>
        <row r="357">
          <cell r="A357" t="str">
            <v>TOTAL GENERAL</v>
          </cell>
        </row>
        <row r="379">
          <cell r="A379" t="str">
            <v>FORMATO VC6</v>
          </cell>
        </row>
        <row r="380">
          <cell r="A380" t="str">
            <v>NIVEL 220 kV</v>
          </cell>
        </row>
        <row r="381">
          <cell r="A381" t="str">
            <v>SISTEMA DE DOBLE BARRA</v>
          </cell>
        </row>
        <row r="382">
          <cell r="A382" t="str">
            <v>C. CELDA DE ACOPLAMIENTO</v>
          </cell>
        </row>
        <row r="383">
          <cell r="A383" t="str">
            <v>NOMBRE DE LA EMPRESA</v>
          </cell>
          <cell r="C383" t="str">
            <v>:</v>
          </cell>
          <cell r="R383" t="str">
            <v>Fecha de Referencia</v>
          </cell>
        </row>
        <row r="384">
          <cell r="A384" t="str">
            <v>TENSION (Kv.)</v>
          </cell>
          <cell r="C384" t="str">
            <v>:</v>
          </cell>
          <cell r="R384" t="str">
            <v xml:space="preserve">HOJA </v>
          </cell>
          <cell r="S384" t="str">
            <v>1/1</v>
          </cell>
        </row>
        <row r="385">
          <cell r="A385" t="str">
            <v>DENOMINACION</v>
          </cell>
          <cell r="C385" t="str">
            <v>:</v>
          </cell>
        </row>
        <row r="386">
          <cell r="A386" t="str">
            <v>TIPO DE BARRA</v>
          </cell>
          <cell r="C386" t="str">
            <v>:</v>
          </cell>
        </row>
        <row r="387">
          <cell r="A387" t="str">
            <v>TIPO DE SUBESTACION (Interior,  Exterior, Convencional, Encapsulada)</v>
          </cell>
        </row>
        <row r="388">
          <cell r="E388" t="str">
            <v>SUMINISTROS IMPORTADOS</v>
          </cell>
          <cell r="J388" t="str">
            <v>SUMINISTROS NACIONALES</v>
          </cell>
          <cell r="L388" t="str">
            <v>FLETE TERRESTRE</v>
          </cell>
          <cell r="N388" t="str">
            <v>OBRAS</v>
          </cell>
          <cell r="S388" t="str">
            <v>SUB               TOTAL              GENERAL</v>
          </cell>
        </row>
        <row r="389">
          <cell r="A389" t="str">
            <v>ITEM</v>
          </cell>
          <cell r="B389" t="str">
            <v>ACTIVIDAD</v>
          </cell>
          <cell r="C389" t="str">
            <v>UNID.</v>
          </cell>
          <cell r="D389" t="str">
            <v>CANT.</v>
          </cell>
          <cell r="E389" t="str">
            <v>PRECIO FOB</v>
          </cell>
          <cell r="G389" t="str">
            <v>FLETE Y SEGURO</v>
          </cell>
          <cell r="H389" t="str">
            <v>ARANCELES Y GASTOS DE ADUANAS</v>
          </cell>
          <cell r="I389" t="str">
            <v>SUB TOTAL</v>
          </cell>
          <cell r="N389" t="str">
            <v>CIVILES</v>
          </cell>
          <cell r="P389" t="str">
            <v>ELECTROMECANICAS</v>
          </cell>
          <cell r="R389" t="str">
            <v>SUB TOTAL</v>
          </cell>
        </row>
        <row r="390">
          <cell r="E390" t="str">
            <v>UNITARIO</v>
          </cell>
          <cell r="F390" t="str">
            <v>TOTAL</v>
          </cell>
          <cell r="J390" t="str">
            <v>UNITARIO</v>
          </cell>
          <cell r="K390" t="str">
            <v>SUB TOTAL</v>
          </cell>
          <cell r="L390" t="str">
            <v>UNITARIO</v>
          </cell>
          <cell r="M390" t="str">
            <v>SUB TOTAL</v>
          </cell>
          <cell r="N390" t="str">
            <v>UNITARIO</v>
          </cell>
          <cell r="O390" t="str">
            <v xml:space="preserve"> TOTAL</v>
          </cell>
          <cell r="P390" t="str">
            <v>UNITARIO</v>
          </cell>
          <cell r="Q390" t="str">
            <v xml:space="preserve"> TOTAL</v>
          </cell>
        </row>
        <row r="391">
          <cell r="A391" t="str">
            <v>I</v>
          </cell>
          <cell r="B391" t="str">
            <v>OBRAS CIVILES</v>
          </cell>
        </row>
        <row r="393">
          <cell r="A393">
            <v>1</v>
          </cell>
          <cell r="B393" t="str">
            <v>BASES Y PORTICOS DE EQUIPOS</v>
          </cell>
        </row>
        <row r="394">
          <cell r="A394">
            <v>1.1000000000000001</v>
          </cell>
          <cell r="B394" t="str">
            <v>Excavación</v>
          </cell>
          <cell r="C394" t="str">
            <v>m3</v>
          </cell>
        </row>
        <row r="395">
          <cell r="A395">
            <v>1.2</v>
          </cell>
          <cell r="B395" t="str">
            <v>Solado</v>
          </cell>
          <cell r="C395" t="str">
            <v>m2</v>
          </cell>
        </row>
        <row r="396">
          <cell r="A396">
            <v>1.3</v>
          </cell>
          <cell r="B396" t="str">
            <v>Encofrado de pedestal</v>
          </cell>
          <cell r="C396" t="str">
            <v>Kg.</v>
          </cell>
        </row>
        <row r="397">
          <cell r="A397">
            <v>1.4</v>
          </cell>
          <cell r="B397" t="str">
            <v>Refuerzo de acero</v>
          </cell>
          <cell r="C397" t="str">
            <v>m3</v>
          </cell>
        </row>
        <row r="398">
          <cell r="A398">
            <v>1.5</v>
          </cell>
          <cell r="B398" t="str">
            <v>Concreto f'c = 210 kg / cm2</v>
          </cell>
          <cell r="C398" t="str">
            <v>m3</v>
          </cell>
        </row>
        <row r="399">
          <cell r="A399">
            <v>1.6</v>
          </cell>
          <cell r="B399" t="str">
            <v>Relleno compactado</v>
          </cell>
          <cell r="C399" t="str">
            <v>m3</v>
          </cell>
        </row>
        <row r="400">
          <cell r="A400">
            <v>1.7</v>
          </cell>
          <cell r="B400" t="str">
            <v>Eliminación de material excedente</v>
          </cell>
          <cell r="C400" t="str">
            <v>m3</v>
          </cell>
        </row>
        <row r="402">
          <cell r="A402">
            <v>2</v>
          </cell>
          <cell r="B402" t="str">
            <v>CANALETAS</v>
          </cell>
        </row>
        <row r="403">
          <cell r="A403">
            <v>2.1</v>
          </cell>
          <cell r="B403" t="str">
            <v>Canaletas tipicas de 30 cm2, al exterior</v>
          </cell>
          <cell r="C403" t="str">
            <v>m.</v>
          </cell>
        </row>
        <row r="404">
          <cell r="A404">
            <v>2.2000000000000002</v>
          </cell>
          <cell r="B404" t="str">
            <v>Canaletas tipicas de 60 cm2, al exterior</v>
          </cell>
          <cell r="C404" t="str">
            <v>m.</v>
          </cell>
        </row>
        <row r="405">
          <cell r="A405">
            <v>2.2999999999999998</v>
          </cell>
          <cell r="B405" t="str">
            <v>Canaletas tipicas de 120 cm2, al exterior</v>
          </cell>
          <cell r="C405" t="str">
            <v>m.</v>
          </cell>
        </row>
        <row r="407">
          <cell r="A407" t="str">
            <v>SUB - TOTAL OBRAS CIVILES</v>
          </cell>
        </row>
        <row r="409">
          <cell r="A409" t="str">
            <v>II</v>
          </cell>
          <cell r="B409" t="str">
            <v>OBRAS ELECTROMECANICAS</v>
          </cell>
        </row>
        <row r="411">
          <cell r="A411" t="str">
            <v>1.</v>
          </cell>
          <cell r="B411" t="str">
            <v>EQUIPOS PRINCIPALES</v>
          </cell>
        </row>
        <row r="412">
          <cell r="A412" t="str">
            <v>1.1</v>
          </cell>
          <cell r="B412" t="str">
            <v>Interruptor, 245 kV, 950 kVp (BIL), 1200 A, 31.5 kA, operación uni-tripolar</v>
          </cell>
          <cell r="C412" t="str">
            <v>u</v>
          </cell>
        </row>
        <row r="413">
          <cell r="A413" t="str">
            <v>1.2</v>
          </cell>
          <cell r="B413" t="str">
            <v>Seccionador de barras, 245 kV, 950 KVp (BIL), 1200 A</v>
          </cell>
          <cell r="C413" t="str">
            <v>u</v>
          </cell>
        </row>
        <row r="414">
          <cell r="A414" t="str">
            <v>1.3</v>
          </cell>
          <cell r="B414" t="str">
            <v>Transformador de Tensión Capacitivo, 245 kV, 950 kVp (BIL)</v>
          </cell>
          <cell r="C414" t="str">
            <v>u</v>
          </cell>
        </row>
        <row r="415">
          <cell r="A415" t="str">
            <v>1.4</v>
          </cell>
          <cell r="B415" t="str">
            <v>Transformador de corriente, 245 kV, 950 kVp (BIL)</v>
          </cell>
          <cell r="C415" t="str">
            <v>u</v>
          </cell>
        </row>
        <row r="418">
          <cell r="A418" t="str">
            <v>2.</v>
          </cell>
          <cell r="B418" t="str">
            <v>EQUIPOS COMPLEMENTARIOS</v>
          </cell>
        </row>
        <row r="419">
          <cell r="A419" t="str">
            <v>2.1</v>
          </cell>
          <cell r="B419" t="str">
            <v>Sistema de Barras (Cable de aleación de Aluminio y conectores)</v>
          </cell>
          <cell r="C419" t="str">
            <v>Cjto</v>
          </cell>
        </row>
        <row r="420">
          <cell r="A420" t="str">
            <v>2.2</v>
          </cell>
          <cell r="B420" t="str">
            <v>Tableros de Control, Protección,  Medición y Señalización</v>
          </cell>
          <cell r="C420" t="str">
            <v>Cjto</v>
          </cell>
        </row>
        <row r="421">
          <cell r="A421" t="str">
            <v>2.3</v>
          </cell>
          <cell r="B421" t="str">
            <v xml:space="preserve">Cables de Control </v>
          </cell>
          <cell r="C421" t="str">
            <v>Cjto</v>
          </cell>
        </row>
        <row r="422">
          <cell r="A422" t="str">
            <v>2.4</v>
          </cell>
          <cell r="B422" t="str">
            <v>Sistema de Puesta a Tierra  Superficial</v>
          </cell>
          <cell r="C422" t="str">
            <v>Cjto</v>
          </cell>
        </row>
        <row r="423">
          <cell r="A423" t="str">
            <v>2.5</v>
          </cell>
          <cell r="B423" t="str">
            <v>Estructuras Metálicas</v>
          </cell>
          <cell r="C423" t="str">
            <v>Cjto</v>
          </cell>
        </row>
        <row r="425">
          <cell r="A425">
            <v>3</v>
          </cell>
          <cell r="B425" t="str">
            <v>REPUESTOS  (5%)</v>
          </cell>
          <cell r="C425" t="str">
            <v>Global</v>
          </cell>
        </row>
        <row r="427">
          <cell r="A427">
            <v>4</v>
          </cell>
          <cell r="B427" t="str">
            <v>INGENIERIA DE DETALLE</v>
          </cell>
          <cell r="C427" t="str">
            <v>Global</v>
          </cell>
        </row>
        <row r="429">
          <cell r="A429">
            <v>5</v>
          </cell>
          <cell r="B429" t="str">
            <v>PRUEBAS Y PUESTAS EN SERVICIO</v>
          </cell>
          <cell r="C429" t="str">
            <v>Global</v>
          </cell>
        </row>
        <row r="431">
          <cell r="A431" t="str">
            <v>SUB TOTAL OBRAS ELECTROMECANICAS</v>
          </cell>
        </row>
        <row r="432">
          <cell r="A432" t="str">
            <v>TOTAL COSTO DIRECTO</v>
          </cell>
        </row>
        <row r="433">
          <cell r="A433" t="str">
            <v>III</v>
          </cell>
          <cell r="B433" t="str">
            <v>GASTOS GENERALES</v>
          </cell>
        </row>
        <row r="434">
          <cell r="A434" t="str">
            <v>IV</v>
          </cell>
          <cell r="B434" t="str">
            <v>UTILIDADES</v>
          </cell>
        </row>
        <row r="435">
          <cell r="A435" t="str">
            <v>TOTAL GENERAL</v>
          </cell>
        </row>
        <row r="458">
          <cell r="A458" t="str">
            <v>FORMATO VC7</v>
          </cell>
        </row>
        <row r="459">
          <cell r="A459" t="str">
            <v>NIVEL 220 kV</v>
          </cell>
        </row>
        <row r="460">
          <cell r="A460" t="str">
            <v>SISTEMA EN ANILLO</v>
          </cell>
        </row>
        <row r="461">
          <cell r="A461" t="str">
            <v>A. CELDA DE LINEA</v>
          </cell>
        </row>
        <row r="462">
          <cell r="A462" t="str">
            <v>NOMBRE DE LA EMPRESA</v>
          </cell>
          <cell r="C462" t="str">
            <v>:</v>
          </cell>
          <cell r="R462" t="str">
            <v>Fecha de Referencia</v>
          </cell>
        </row>
        <row r="463">
          <cell r="A463" t="str">
            <v>TENSION (Kv.)</v>
          </cell>
          <cell r="C463" t="str">
            <v>:</v>
          </cell>
          <cell r="R463" t="str">
            <v xml:space="preserve">HOJA </v>
          </cell>
          <cell r="S463" t="str">
            <v>1/1</v>
          </cell>
        </row>
        <row r="464">
          <cell r="A464" t="str">
            <v>DENOMINACION</v>
          </cell>
          <cell r="C464" t="str">
            <v>:</v>
          </cell>
        </row>
        <row r="465">
          <cell r="A465" t="str">
            <v>TIPO DE BARRA</v>
          </cell>
          <cell r="C465" t="str">
            <v>:</v>
          </cell>
        </row>
        <row r="466">
          <cell r="A466" t="str">
            <v>TIPO DE SUBESTACION (Interior,  Exterior, Convencional, Encapsulada)</v>
          </cell>
        </row>
        <row r="467">
          <cell r="E467" t="str">
            <v>SUMINISTROS IMPORTADOS</v>
          </cell>
          <cell r="J467" t="str">
            <v>SUMINISTROS NACIONALES</v>
          </cell>
          <cell r="L467" t="str">
            <v>FLETE TERRESTRE</v>
          </cell>
          <cell r="N467" t="str">
            <v>OBRAS</v>
          </cell>
          <cell r="S467" t="str">
            <v>SUB               TOTAL              GENERAL</v>
          </cell>
        </row>
        <row r="468">
          <cell r="A468" t="str">
            <v>ITEM</v>
          </cell>
          <cell r="B468" t="str">
            <v>ACTIVIDAD</v>
          </cell>
          <cell r="C468" t="str">
            <v>UNID.</v>
          </cell>
          <cell r="D468" t="str">
            <v>CANT.</v>
          </cell>
          <cell r="E468" t="str">
            <v>PRECIO FOB</v>
          </cell>
          <cell r="G468" t="str">
            <v>FLETE Y SEGURO</v>
          </cell>
          <cell r="H468" t="str">
            <v>ARANCELES Y GASTOS DE ADUANAS</v>
          </cell>
          <cell r="I468" t="str">
            <v>SUB TOTAL</v>
          </cell>
          <cell r="N468" t="str">
            <v>CIVILES</v>
          </cell>
          <cell r="P468" t="str">
            <v>ELECTROMECANICAS</v>
          </cell>
          <cell r="R468" t="str">
            <v>SUB TOTAL</v>
          </cell>
        </row>
        <row r="469">
          <cell r="E469" t="str">
            <v>UNITARIO</v>
          </cell>
          <cell r="F469" t="str">
            <v>TOTAL</v>
          </cell>
          <cell r="J469" t="str">
            <v>UNITARIO</v>
          </cell>
          <cell r="K469" t="str">
            <v>SUB TOTAL</v>
          </cell>
          <cell r="L469" t="str">
            <v>UNITARIO</v>
          </cell>
          <cell r="M469" t="str">
            <v>SUB TOTAL</v>
          </cell>
          <cell r="N469" t="str">
            <v>UNITARIO</v>
          </cell>
          <cell r="O469" t="str">
            <v xml:space="preserve"> TOTAL</v>
          </cell>
          <cell r="P469" t="str">
            <v>UNITARIO</v>
          </cell>
          <cell r="Q469" t="str">
            <v xml:space="preserve"> TOTAL</v>
          </cell>
        </row>
        <row r="470">
          <cell r="A470" t="str">
            <v>I</v>
          </cell>
          <cell r="B470" t="str">
            <v>OBRAS CIVILES</v>
          </cell>
        </row>
        <row r="472">
          <cell r="A472">
            <v>1</v>
          </cell>
          <cell r="B472" t="str">
            <v>BASES Y PORTICOS DE EQUIPOS</v>
          </cell>
        </row>
        <row r="473">
          <cell r="A473">
            <v>1.1000000000000001</v>
          </cell>
          <cell r="B473" t="str">
            <v>Excavación</v>
          </cell>
          <cell r="C473" t="str">
            <v>m3</v>
          </cell>
        </row>
        <row r="474">
          <cell r="A474">
            <v>1.2</v>
          </cell>
          <cell r="B474" t="str">
            <v>Solado</v>
          </cell>
          <cell r="C474" t="str">
            <v>m2</v>
          </cell>
        </row>
        <row r="475">
          <cell r="A475">
            <v>1.3</v>
          </cell>
          <cell r="B475" t="str">
            <v>Encofrado de pedestal</v>
          </cell>
          <cell r="C475" t="str">
            <v>Kg.</v>
          </cell>
        </row>
        <row r="476">
          <cell r="A476">
            <v>1.4</v>
          </cell>
          <cell r="B476" t="str">
            <v>Refuerzo de acero</v>
          </cell>
          <cell r="C476" t="str">
            <v>m3</v>
          </cell>
        </row>
        <row r="477">
          <cell r="A477">
            <v>1.5</v>
          </cell>
          <cell r="B477" t="str">
            <v>Concreto f'c = 210 kg / cm2</v>
          </cell>
          <cell r="C477" t="str">
            <v>m3</v>
          </cell>
        </row>
        <row r="478">
          <cell r="A478">
            <v>1.6</v>
          </cell>
          <cell r="B478" t="str">
            <v>Relleno compactado</v>
          </cell>
          <cell r="C478" t="str">
            <v>m3</v>
          </cell>
        </row>
        <row r="479">
          <cell r="A479">
            <v>1.7</v>
          </cell>
          <cell r="B479" t="str">
            <v>Eliminación de material excedente</v>
          </cell>
          <cell r="C479" t="str">
            <v>m3</v>
          </cell>
        </row>
        <row r="481">
          <cell r="A481">
            <v>2</v>
          </cell>
          <cell r="B481" t="str">
            <v>CANALETAS</v>
          </cell>
        </row>
        <row r="482">
          <cell r="A482">
            <v>2.1</v>
          </cell>
          <cell r="B482" t="str">
            <v>Canaletas tipicas de 30 cm2, al exterior</v>
          </cell>
          <cell r="C482" t="str">
            <v>m.</v>
          </cell>
        </row>
        <row r="483">
          <cell r="A483">
            <v>2.2000000000000002</v>
          </cell>
          <cell r="B483" t="str">
            <v>Canaletas tipicas de 60 cm2, al exterior</v>
          </cell>
          <cell r="C483" t="str">
            <v>m.</v>
          </cell>
        </row>
        <row r="484">
          <cell r="A484">
            <v>2.2999999999999998</v>
          </cell>
          <cell r="B484" t="str">
            <v>Canaletas tipicas de 120 cm2, al exterior</v>
          </cell>
          <cell r="C484" t="str">
            <v>m.</v>
          </cell>
        </row>
        <row r="486">
          <cell r="A486" t="str">
            <v>SUB - TOTAL OBRAS CIVILES</v>
          </cell>
        </row>
        <row r="488">
          <cell r="A488" t="str">
            <v>II</v>
          </cell>
          <cell r="B488" t="str">
            <v>OBRAS ELECTROMECANICAS</v>
          </cell>
        </row>
        <row r="490">
          <cell r="A490" t="str">
            <v>1.</v>
          </cell>
          <cell r="B490" t="str">
            <v>EQUIPOS PRINCIPALES</v>
          </cell>
        </row>
        <row r="491">
          <cell r="A491" t="str">
            <v>1.1</v>
          </cell>
          <cell r="B491" t="str">
            <v>Interruptor, 245 kV, 950 kVp (BIL), 1200 A, 31.5 kA, operación uni-tripolar</v>
          </cell>
          <cell r="C491" t="str">
            <v>u</v>
          </cell>
        </row>
        <row r="492">
          <cell r="A492" t="str">
            <v>1.2</v>
          </cell>
          <cell r="B492" t="str">
            <v>Seccionador de línea, 245 kV, 950 KVp (BIL), 1200 A</v>
          </cell>
          <cell r="C492" t="str">
            <v>u</v>
          </cell>
        </row>
        <row r="493">
          <cell r="A493" t="str">
            <v>1.3</v>
          </cell>
          <cell r="B493" t="str">
            <v>Seccionador de barras, 245 kV, 950 KVp (BIL), 1200 A</v>
          </cell>
          <cell r="C493" t="str">
            <v>u</v>
          </cell>
        </row>
        <row r="494">
          <cell r="A494" t="str">
            <v>1.4</v>
          </cell>
          <cell r="B494" t="str">
            <v>Transformador de corriente, 245 kV, 950 kVp (BIL)</v>
          </cell>
          <cell r="C494" t="str">
            <v>u</v>
          </cell>
        </row>
        <row r="495">
          <cell r="A495" t="str">
            <v>1.5</v>
          </cell>
          <cell r="B495" t="str">
            <v>Transformador de Tensión Capacitivo, 245 kV, 950 kV (BIL)</v>
          </cell>
          <cell r="C495" t="str">
            <v>u</v>
          </cell>
        </row>
        <row r="498">
          <cell r="A498" t="str">
            <v>2.</v>
          </cell>
          <cell r="B498" t="str">
            <v>EQUIPOS COMPLEMENTARIOS</v>
          </cell>
        </row>
        <row r="499">
          <cell r="A499" t="str">
            <v>2.1</v>
          </cell>
          <cell r="B499" t="str">
            <v>Sistema de Barras (Tubos de Aluminio y conectores)</v>
          </cell>
          <cell r="C499" t="str">
            <v>Cjto</v>
          </cell>
        </row>
        <row r="500">
          <cell r="A500" t="str">
            <v>2.2</v>
          </cell>
          <cell r="B500" t="str">
            <v>Tableros de Control, Protección,  Medición y Señalización</v>
          </cell>
          <cell r="C500" t="str">
            <v>Cjto</v>
          </cell>
        </row>
        <row r="501">
          <cell r="A501" t="str">
            <v>2.3</v>
          </cell>
          <cell r="B501" t="str">
            <v xml:space="preserve">Cables de Control </v>
          </cell>
          <cell r="C501" t="str">
            <v>Cjto</v>
          </cell>
        </row>
        <row r="502">
          <cell r="A502" t="str">
            <v>2.4</v>
          </cell>
          <cell r="B502" t="str">
            <v>Sistema de Puesta a Tierra  Superficial</v>
          </cell>
          <cell r="C502" t="str">
            <v>Cjto</v>
          </cell>
        </row>
        <row r="503">
          <cell r="A503" t="str">
            <v>2.5</v>
          </cell>
          <cell r="B503" t="str">
            <v>Estructuras Metálicas</v>
          </cell>
          <cell r="C503" t="str">
            <v>Cjto</v>
          </cell>
        </row>
        <row r="504">
          <cell r="A504">
            <v>2.6</v>
          </cell>
          <cell r="B504" t="str">
            <v>Sistema de comunicaciones</v>
          </cell>
          <cell r="C504" t="str">
            <v>Cjto</v>
          </cell>
        </row>
        <row r="506">
          <cell r="A506">
            <v>3</v>
          </cell>
          <cell r="B506" t="str">
            <v>REPUESTOS  (5%)</v>
          </cell>
          <cell r="C506" t="str">
            <v>Global</v>
          </cell>
        </row>
        <row r="508">
          <cell r="A508">
            <v>4</v>
          </cell>
          <cell r="B508" t="str">
            <v>INGENIERIA DE DETALLE</v>
          </cell>
          <cell r="C508" t="str">
            <v>Global</v>
          </cell>
        </row>
        <row r="510">
          <cell r="A510">
            <v>5</v>
          </cell>
          <cell r="B510" t="str">
            <v>PRUEBAS Y PUESTAS EN SERVICIO</v>
          </cell>
          <cell r="C510" t="str">
            <v>Global</v>
          </cell>
        </row>
        <row r="512">
          <cell r="A512" t="str">
            <v>SUB TOTAL OBRAS ELECTROMECANICAS</v>
          </cell>
        </row>
        <row r="513">
          <cell r="A513" t="str">
            <v>TOTAL COSTO DIRECTO</v>
          </cell>
        </row>
        <row r="514">
          <cell r="A514" t="str">
            <v>III</v>
          </cell>
          <cell r="B514" t="str">
            <v>GASTOS GENERALES</v>
          </cell>
        </row>
        <row r="515">
          <cell r="A515" t="str">
            <v>IV</v>
          </cell>
          <cell r="B515" t="str">
            <v>UTILIDADES</v>
          </cell>
        </row>
        <row r="516">
          <cell r="A516" t="str">
            <v>TOTAL GENERAL</v>
          </cell>
        </row>
      </sheetData>
      <sheetData sheetId="3" refreshError="1">
        <row r="18">
          <cell r="B18" t="str">
            <v>VNR (US$)</v>
          </cell>
        </row>
      </sheetData>
      <sheetData sheetId="4" refreshError="1">
        <row r="1">
          <cell r="A1" t="str">
            <v>CTE PEAJES POR CONEXIÓN AL SPT</v>
          </cell>
          <cell r="M1" t="str">
            <v>FORMULARIO : CTE-VNR-LS3</v>
          </cell>
          <cell r="P1" t="str">
            <v>FORMULARIO : CTE-SPT-VNR-LS1</v>
          </cell>
        </row>
        <row r="2">
          <cell r="A2" t="str">
            <v>VALORIZACION DETALLLADA DE LAS INVERSIONES POR CADA LINEA</v>
          </cell>
        </row>
        <row r="3">
          <cell r="A3" t="str">
            <v>(PARA SOPORTES METÁLICOS)</v>
          </cell>
        </row>
        <row r="4">
          <cell r="A4" t="str">
            <v>(SOPORTES METALICOS)</v>
          </cell>
        </row>
        <row r="5">
          <cell r="L5" t="str">
            <v>Unidad de moneda: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A9" t="str">
            <v>NIVEL DE TENSION (Kv.)</v>
          </cell>
          <cell r="C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A11" t="str">
            <v>DENOMINACION DE LA LINEA</v>
          </cell>
          <cell r="C11" t="str">
            <v>:</v>
          </cell>
          <cell r="L11" t="str">
            <v>Hoja:</v>
          </cell>
          <cell r="O11" t="str">
            <v>Unidad de moneda:</v>
          </cell>
        </row>
        <row r="13">
          <cell r="A13" t="str">
            <v>NUMERO DE TERNAS</v>
          </cell>
          <cell r="B13" t="str">
            <v>TIPO</v>
          </cell>
          <cell r="C13" t="str">
            <v>:</v>
          </cell>
          <cell r="D13" t="str">
            <v>EXCAVACION ( m3 )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ACERO ( kg )</v>
          </cell>
          <cell r="O13" t="str">
            <v>Tasa de cambio: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LONGITUD  ( Km.)</v>
          </cell>
          <cell r="B15" t="str">
            <v>I</v>
          </cell>
          <cell r="C15" t="str">
            <v>:</v>
          </cell>
          <cell r="O15" t="str">
            <v xml:space="preserve">Fecha de Referencia : </v>
          </cell>
        </row>
        <row r="16">
          <cell r="B16" t="str">
            <v>I I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O17" t="str">
            <v>Hoja: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  <cell r="E19" t="str">
            <v>S U M I N I S T R O S    I M P O R T A D O S</v>
          </cell>
          <cell r="J19" t="str">
            <v>F L E T E</v>
          </cell>
          <cell r="L19" t="str">
            <v>O B R A S</v>
          </cell>
          <cell r="N19" t="str">
            <v>M O N T A J E</v>
          </cell>
        </row>
        <row r="20"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B22" t="str">
            <v>I V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6">
          <cell r="B26" t="str">
            <v>I V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2">
          <cell r="B32" t="str">
            <v>I I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8">
          <cell r="B38" t="str">
            <v>I V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48">
          <cell r="A48" t="str">
            <v>D H</v>
          </cell>
          <cell r="B48" t="str">
            <v>I</v>
          </cell>
        </row>
        <row r="50">
          <cell r="B50" t="str">
            <v>S U B  -  T O T A L      O B R A S   C I V I L E S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  <cell r="P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</v>
          </cell>
          <cell r="B52" t="str">
            <v xml:space="preserve">  LINEA  DE  TRANSMISION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5" refreshError="1">
        <row r="1">
          <cell r="A1" t="str">
            <v>CTE PEAJES POR CONEXIÓN AL SPT</v>
          </cell>
          <cell r="M1" t="str">
            <v>FORMULARIO : CTE-VNR-LS3</v>
          </cell>
        </row>
        <row r="2">
          <cell r="A2" t="str">
            <v>VALORIZACION DETALLLADA DE LAS INVERSIONES POR CADA LINEA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L5" t="str">
            <v>Unidad de moneda:</v>
          </cell>
        </row>
        <row r="7">
          <cell r="A7" t="str">
            <v>NOMBRE DE LA EMPRESA</v>
          </cell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A9" t="str">
            <v>NOMBRE DE LA EMPRESA</v>
          </cell>
          <cell r="C9" t="str">
            <v>:</v>
          </cell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A11" t="str">
            <v>DENOMINACION DE LA LINEA</v>
          </cell>
          <cell r="C11" t="str">
            <v>:</v>
          </cell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  <cell r="C15" t="str">
            <v>:</v>
          </cell>
        </row>
        <row r="16">
          <cell r="B16" t="str">
            <v>I I</v>
          </cell>
        </row>
        <row r="17">
          <cell r="A17" t="str">
            <v>TIPO DE ESTRUCTURAS : METALICAS DE CELOSIA</v>
          </cell>
          <cell r="B17" t="str">
            <v>I I I</v>
          </cell>
          <cell r="C17" t="str">
            <v>: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</row>
        <row r="18">
          <cell r="A18" t="str">
            <v>ITEM</v>
          </cell>
          <cell r="B18" t="str">
            <v>I V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</row>
        <row r="19">
          <cell r="A19" t="str">
            <v>E</v>
          </cell>
          <cell r="B19" t="str">
            <v>I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UNITARIO</v>
          </cell>
          <cell r="M19" t="str">
            <v>SUB TOTAL</v>
          </cell>
        </row>
        <row r="20">
          <cell r="A20" t="str">
            <v>I</v>
          </cell>
          <cell r="B20" t="str">
            <v>I I</v>
          </cell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</row>
        <row r="21">
          <cell r="A21" t="str">
            <v>ITEM</v>
          </cell>
          <cell r="B21" t="str">
            <v>I I I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</row>
        <row r="22">
          <cell r="A22">
            <v>1</v>
          </cell>
          <cell r="B22" t="str">
            <v>I V</v>
          </cell>
          <cell r="C22" t="str">
            <v>m.</v>
          </cell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TOTAL</v>
          </cell>
          <cell r="L22" t="str">
            <v>UNITARIO</v>
          </cell>
          <cell r="M22" t="str">
            <v>SUB TOTAL</v>
          </cell>
        </row>
        <row r="23">
          <cell r="A23" t="str">
            <v>B</v>
          </cell>
          <cell r="B23" t="str">
            <v>I</v>
          </cell>
          <cell r="C23" t="str">
            <v>m.</v>
          </cell>
        </row>
        <row r="24">
          <cell r="A24" t="str">
            <v>1.0</v>
          </cell>
          <cell r="B24" t="str">
            <v>I I</v>
          </cell>
        </row>
        <row r="25">
          <cell r="A25" t="str">
            <v>1.1</v>
          </cell>
          <cell r="B25" t="str">
            <v>I I I</v>
          </cell>
          <cell r="C25" t="str">
            <v>Global</v>
          </cell>
        </row>
        <row r="26">
          <cell r="A26" t="str">
            <v>II</v>
          </cell>
          <cell r="B26" t="str">
            <v>I V</v>
          </cell>
        </row>
        <row r="27">
          <cell r="A27" t="str">
            <v>C</v>
          </cell>
          <cell r="B27" t="str">
            <v>I</v>
          </cell>
          <cell r="C27" t="str">
            <v>Global</v>
          </cell>
        </row>
        <row r="28">
          <cell r="A28" t="str">
            <v>1.1</v>
          </cell>
          <cell r="B28" t="str">
            <v>I I</v>
          </cell>
          <cell r="C28" t="str">
            <v>km</v>
          </cell>
        </row>
        <row r="29">
          <cell r="A29" t="str">
            <v>2.2</v>
          </cell>
          <cell r="B29" t="str">
            <v>I I I</v>
          </cell>
          <cell r="C29" t="str">
            <v>U</v>
          </cell>
        </row>
        <row r="30">
          <cell r="A30">
            <v>1.2</v>
          </cell>
          <cell r="B30" t="str">
            <v>I V</v>
          </cell>
          <cell r="C30" t="str">
            <v>u</v>
          </cell>
        </row>
        <row r="31">
          <cell r="A31" t="str">
            <v>D</v>
          </cell>
          <cell r="B31" t="str">
            <v>I</v>
          </cell>
          <cell r="C31" t="str">
            <v>u</v>
          </cell>
        </row>
        <row r="32">
          <cell r="A32">
            <v>1.4</v>
          </cell>
          <cell r="B32" t="str">
            <v>I I</v>
          </cell>
          <cell r="C32" t="str">
            <v>u</v>
          </cell>
        </row>
        <row r="33">
          <cell r="A33" t="str">
            <v>3.0</v>
          </cell>
          <cell r="B33" t="str">
            <v>I I I</v>
          </cell>
          <cell r="C33" t="str">
            <v>u</v>
          </cell>
        </row>
        <row r="34">
          <cell r="A34">
            <v>1.5</v>
          </cell>
          <cell r="B34" t="str">
            <v>I V</v>
          </cell>
          <cell r="C34" t="str">
            <v>u</v>
          </cell>
        </row>
        <row r="35">
          <cell r="A35" t="str">
            <v>F</v>
          </cell>
          <cell r="B35" t="str">
            <v>I</v>
          </cell>
          <cell r="C35" t="str">
            <v>km</v>
          </cell>
        </row>
        <row r="36">
          <cell r="A36" t="str">
            <v>3.3</v>
          </cell>
          <cell r="B36" t="str">
            <v>I I</v>
          </cell>
          <cell r="C36" t="str">
            <v>km</v>
          </cell>
        </row>
        <row r="37">
          <cell r="A37">
            <v>2</v>
          </cell>
          <cell r="B37" t="str">
            <v>I I I</v>
          </cell>
          <cell r="C37" t="str">
            <v>Global</v>
          </cell>
        </row>
        <row r="38">
          <cell r="A38">
            <v>3</v>
          </cell>
          <cell r="B38" t="str">
            <v>I V</v>
          </cell>
          <cell r="C38" t="str">
            <v>Global</v>
          </cell>
        </row>
        <row r="39">
          <cell r="A39" t="str">
            <v>G</v>
          </cell>
          <cell r="B39" t="str">
            <v>I</v>
          </cell>
          <cell r="C39" t="str">
            <v>Global</v>
          </cell>
        </row>
        <row r="40">
          <cell r="A40">
            <v>5</v>
          </cell>
          <cell r="B40" t="str">
            <v>I I</v>
          </cell>
          <cell r="C40" t="str">
            <v>Global</v>
          </cell>
        </row>
        <row r="41">
          <cell r="A41">
            <v>6</v>
          </cell>
          <cell r="B41" t="str">
            <v>I I I</v>
          </cell>
          <cell r="C41" t="str">
            <v>Global</v>
          </cell>
        </row>
        <row r="42">
          <cell r="A42">
            <v>6.1</v>
          </cell>
          <cell r="B42" t="str">
            <v>I V</v>
          </cell>
          <cell r="C42" t="str">
            <v>Cjto</v>
          </cell>
        </row>
        <row r="43">
          <cell r="A43" t="str">
            <v>S S D</v>
          </cell>
          <cell r="B43" t="str">
            <v>I</v>
          </cell>
          <cell r="C43" t="str">
            <v>m3</v>
          </cell>
        </row>
        <row r="44">
          <cell r="A44">
            <v>7</v>
          </cell>
          <cell r="B44" t="str">
            <v>I I</v>
          </cell>
          <cell r="C44" t="str">
            <v>m2</v>
          </cell>
        </row>
        <row r="45">
          <cell r="A45">
            <v>8</v>
          </cell>
          <cell r="B45" t="str">
            <v>I I I</v>
          </cell>
          <cell r="C45" t="str">
            <v>m</v>
          </cell>
        </row>
        <row r="46">
          <cell r="A46" t="str">
            <v>T B</v>
          </cell>
          <cell r="B46" t="str">
            <v>I</v>
          </cell>
          <cell r="C46" t="str">
            <v>m3</v>
          </cell>
        </row>
        <row r="47">
          <cell r="A47" t="str">
            <v>A H</v>
          </cell>
          <cell r="B47" t="str">
            <v>I</v>
          </cell>
          <cell r="C47" t="str">
            <v>kg</v>
          </cell>
        </row>
        <row r="48">
          <cell r="A48" t="str">
            <v>D H</v>
          </cell>
          <cell r="B48" t="str">
            <v>I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  <cell r="M50">
            <v>0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A53" t="str">
            <v>I A</v>
          </cell>
          <cell r="B53" t="str">
            <v xml:space="preserve">  OBRAS  ELECTROMECANICAS</v>
          </cell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A55" t="str">
            <v>1.0</v>
          </cell>
          <cell r="B55" t="str">
            <v>TOTAL GENERAL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</sheetData>
      <sheetData sheetId="6" refreshError="1">
        <row r="2">
          <cell r="B2" t="str">
            <v>CTE PEAJES POR CONEXIÓN AL SPT</v>
          </cell>
          <cell r="N2" t="str">
            <v>FORMULARIO : CTE-SPT-VNR-LM3</v>
          </cell>
        </row>
        <row r="3">
          <cell r="A3" t="str">
            <v>FORMULARIO VALORIZACION DE LAS
 INVERSIONES POR TELECOMUNICACIONES</v>
          </cell>
        </row>
        <row r="4">
          <cell r="A4" t="str">
            <v>(SOPORTES METALICOS)</v>
          </cell>
        </row>
        <row r="5">
          <cell r="B5" t="str">
            <v>FORMULARIO DE VALORIZACION TOTAL DE LAS INVERSIONES POR LINEA</v>
          </cell>
          <cell r="L5" t="str">
            <v>Unidad de moneda:</v>
          </cell>
        </row>
        <row r="6">
          <cell r="B6" t="str">
            <v>Miles US$</v>
          </cell>
        </row>
        <row r="7">
          <cell r="C7" t="str">
            <v>:</v>
          </cell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A9" t="str">
            <v>NOMBRE DE LA EMPRESA</v>
          </cell>
          <cell r="B9" t="str">
            <v>NOMBRE DE LA EMPRESA</v>
          </cell>
          <cell r="C9" t="str">
            <v>:</v>
          </cell>
          <cell r="E9" t="str">
            <v>:</v>
          </cell>
          <cell r="L9" t="str">
            <v>Fecha de Referencia:</v>
          </cell>
          <cell r="R9" t="str">
            <v>Unidad de moneda:</v>
          </cell>
        </row>
        <row r="10">
          <cell r="A10" t="str">
            <v>DENOMINACION</v>
          </cell>
          <cell r="C10" t="str">
            <v>:</v>
          </cell>
        </row>
        <row r="11">
          <cell r="B11" t="str">
            <v>NIVEL DE TENSION (Kv.)</v>
          </cell>
          <cell r="E11" t="str">
            <v>:</v>
          </cell>
          <cell r="L11" t="str">
            <v>Hoja:</v>
          </cell>
          <cell r="R11" t="str">
            <v>Tasa de cambio:</v>
          </cell>
        </row>
        <row r="13">
          <cell r="A13" t="str">
            <v>DENOMINACION</v>
          </cell>
          <cell r="B13" t="str">
            <v>DENOMINACION DE LA LINEA</v>
          </cell>
          <cell r="C13" t="str">
            <v>:</v>
          </cell>
          <cell r="D13" t="str">
            <v>EXCAVACION ( m3 )</v>
          </cell>
          <cell r="E13" t="str">
            <v>:</v>
          </cell>
          <cell r="F13" t="str">
            <v>RELLENO ( m3 )</v>
          </cell>
          <cell r="H13" t="str">
            <v>ENCOFRADO ( m²)</v>
          </cell>
          <cell r="J13" t="str">
            <v>CONCRETO ( m3 )</v>
          </cell>
          <cell r="L13" t="str">
            <v>Unidad de moneda:</v>
          </cell>
          <cell r="R13" t="str">
            <v>Fecha: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NUMERO DE TERNAS</v>
          </cell>
          <cell r="E15" t="str">
            <v>:</v>
          </cell>
          <cell r="L15" t="str">
            <v>Tasa de cambio:</v>
          </cell>
          <cell r="R15" t="str">
            <v>Hoja:</v>
          </cell>
        </row>
        <row r="16">
          <cell r="B16" t="str">
            <v>I I</v>
          </cell>
        </row>
        <row r="17">
          <cell r="B17" t="str">
            <v>LONGITUD (Km.)</v>
          </cell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A19" t="str">
            <v>E</v>
          </cell>
          <cell r="B19" t="str">
            <v>TIPO DE ESTRUCTURAS</v>
          </cell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5">
          <cell r="B25" t="str">
            <v>I I I</v>
          </cell>
        </row>
        <row r="26">
          <cell r="A26" t="str">
            <v>II</v>
          </cell>
          <cell r="B26" t="str">
            <v>OBRAS ELECTROMECANICAS</v>
          </cell>
          <cell r="E26" t="str">
            <v>: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  <cell r="E28" t="str">
            <v>: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  <cell r="E30" t="str">
            <v>: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  <cell r="E32" t="str">
            <v>:</v>
          </cell>
        </row>
        <row r="33">
          <cell r="B33" t="str">
            <v>Aparatos Telefónicos intemperie</v>
          </cell>
          <cell r="C33" t="str">
            <v>u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  <cell r="E34" t="str">
            <v>:</v>
          </cell>
        </row>
        <row r="35">
          <cell r="A35">
            <v>1.6</v>
          </cell>
          <cell r="B35" t="str">
            <v>Materiales de instalación</v>
          </cell>
        </row>
        <row r="36">
          <cell r="B36" t="str">
            <v>TOTAL  SIN  I.G.V.</v>
          </cell>
          <cell r="E36" t="str">
            <v>: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  <cell r="E39" t="str">
            <v>: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  <cell r="E41" t="str">
            <v>: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3">
          <cell r="A43" t="str">
            <v>S S D</v>
          </cell>
          <cell r="B43" t="str">
            <v>TOTAL  CON  I.G.V.</v>
          </cell>
          <cell r="E43" t="str">
            <v>: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  <cell r="E45" t="str">
            <v>:</v>
          </cell>
        </row>
        <row r="46">
          <cell r="A46">
            <v>3</v>
          </cell>
          <cell r="B46" t="str">
            <v>REPUESTOS  (5%)</v>
          </cell>
        </row>
        <row r="47">
          <cell r="A47" t="str">
            <v>A H</v>
          </cell>
          <cell r="B47" t="str">
            <v>I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A52" t="str">
            <v>III</v>
          </cell>
          <cell r="B52" t="str">
            <v>GASTOS GENERALES DEL CONTRATISTA</v>
          </cell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7" refreshError="1">
        <row r="2">
          <cell r="B2" t="str">
            <v>CTE PEAJES POR CONEXIÓN AL SPT</v>
          </cell>
          <cell r="N2" t="str">
            <v>FORMULARIO : CTE-SPT-VNR-LM3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7">
          <cell r="C7" t="str">
            <v>:</v>
          </cell>
        </row>
        <row r="8">
          <cell r="D8" t="str">
            <v>:</v>
          </cell>
        </row>
        <row r="9">
          <cell r="B9" t="str">
            <v>NOMBRE DE LA EMPRESA</v>
          </cell>
          <cell r="C9" t="str">
            <v>:</v>
          </cell>
          <cell r="E9" t="str">
            <v>:</v>
          </cell>
        </row>
        <row r="10">
          <cell r="D10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C13" t="str">
            <v>:</v>
          </cell>
          <cell r="D13" t="str">
            <v>: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6">
          <cell r="H16" t="str">
            <v>Hoja:</v>
          </cell>
        </row>
        <row r="17">
          <cell r="B17" t="str">
            <v>LONGITUD (Km.)</v>
          </cell>
          <cell r="E17" t="str">
            <v>:</v>
          </cell>
          <cell r="J17" t="str">
            <v>SUMINISTROS NACIONALES</v>
          </cell>
          <cell r="L17" t="str">
            <v>Fecha:</v>
          </cell>
          <cell r="N17" t="str">
            <v>OBRAS</v>
          </cell>
        </row>
        <row r="18"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Y</v>
          </cell>
          <cell r="H18" t="str">
            <v xml:space="preserve">ARANCELES Y GASTOS  </v>
          </cell>
          <cell r="I18" t="str">
            <v>SUB TOTAL</v>
          </cell>
          <cell r="N18" t="str">
            <v>CIVILES</v>
          </cell>
        </row>
        <row r="19">
          <cell r="B19" t="str">
            <v>TIPO DE ESTRUCTURAS</v>
          </cell>
          <cell r="E19" t="str">
            <v>:</v>
          </cell>
          <cell r="F19" t="str">
            <v>TOTAL</v>
          </cell>
          <cell r="G19" t="str">
            <v>Longitud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TOTAL</v>
          </cell>
          <cell r="L19" t="str">
            <v>Hoja:</v>
          </cell>
          <cell r="M19" t="str">
            <v>SUB TOTAL</v>
          </cell>
          <cell r="N19" t="str">
            <v>UNITARIO</v>
          </cell>
        </row>
        <row r="20"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B22" t="str">
            <v>CASETAS REPETIDORAS</v>
          </cell>
          <cell r="C22" t="str">
            <v>m.</v>
          </cell>
        </row>
        <row r="23">
          <cell r="B23" t="str">
            <v>VALORIZACION 
Miles U. S. DÓLAR</v>
          </cell>
          <cell r="C23" t="str">
            <v>m.</v>
          </cell>
        </row>
        <row r="24">
          <cell r="B24" t="str">
            <v>SUB - TOTAL OBRAS CIVILES</v>
          </cell>
          <cell r="M24" t="str">
            <v>% (1)</v>
          </cell>
        </row>
        <row r="26">
          <cell r="B26" t="str">
            <v>COSTO  DE  EJECUCION  DE  OBRA</v>
          </cell>
          <cell r="E26" t="str">
            <v>:</v>
          </cell>
        </row>
        <row r="27">
          <cell r="B27" t="str">
            <v>TELEFONIA</v>
          </cell>
          <cell r="C27" t="str">
            <v>Global</v>
          </cell>
        </row>
        <row r="28">
          <cell r="B28" t="str">
            <v>INGENIERIA  Y  SUPERVISION</v>
          </cell>
          <cell r="E28" t="str">
            <v>:</v>
          </cell>
        </row>
        <row r="29">
          <cell r="B29" t="str">
            <v>n troncales, una conexión a la Red Pública en armario</v>
          </cell>
        </row>
        <row r="30">
          <cell r="B30" t="str">
            <v>GASTOS  FINANCIEROS</v>
          </cell>
          <cell r="C30" t="str">
            <v>u</v>
          </cell>
          <cell r="E30" t="str">
            <v>:</v>
          </cell>
        </row>
        <row r="31">
          <cell r="B31" t="str">
            <v>Aparatos Telefónicos intemperie</v>
          </cell>
          <cell r="C31" t="str">
            <v>u</v>
          </cell>
        </row>
        <row r="32">
          <cell r="B32" t="str">
            <v>SERVIDUMBRE</v>
          </cell>
          <cell r="C32" t="str">
            <v>u</v>
          </cell>
          <cell r="E32" t="str">
            <v>:</v>
          </cell>
          <cell r="G32" t="str">
            <v>Potencia</v>
          </cell>
        </row>
        <row r="33">
          <cell r="B33" t="str">
            <v xml:space="preserve">Denominación </v>
          </cell>
          <cell r="C33" t="str">
            <v>u</v>
          </cell>
          <cell r="G33" t="str">
            <v>Compensación</v>
          </cell>
        </row>
        <row r="34">
          <cell r="B34" t="str">
            <v>GASTOS  ADMINISTRACION</v>
          </cell>
          <cell r="C34" t="str">
            <v>u</v>
          </cell>
          <cell r="E34" t="str">
            <v>:</v>
          </cell>
          <cell r="G34" t="str">
            <v>( MVAR )</v>
          </cell>
        </row>
        <row r="35">
          <cell r="B35" t="str">
            <v>Materiales de instalación</v>
          </cell>
          <cell r="G35" t="str">
            <v>+</v>
          </cell>
          <cell r="H35" t="str">
            <v>-</v>
          </cell>
        </row>
        <row r="36">
          <cell r="B36" t="str">
            <v>TOTAL  SIN  I.G.V.</v>
          </cell>
          <cell r="E36" t="str">
            <v>:</v>
          </cell>
        </row>
        <row r="37">
          <cell r="B37" t="str">
            <v>ONDA PORTADORA</v>
          </cell>
          <cell r="C37" t="str">
            <v>Global</v>
          </cell>
        </row>
        <row r="38">
          <cell r="B38" t="str">
            <v xml:space="preserve">COMUNICACIONES MOVILES </v>
          </cell>
          <cell r="C38" t="str">
            <v>Global</v>
          </cell>
        </row>
        <row r="39">
          <cell r="B39" t="str">
            <v>COSTO  POR  KILOMETRO  SIN  I.G.V.</v>
          </cell>
          <cell r="C39" t="str">
            <v>Global</v>
          </cell>
          <cell r="E39" t="str">
            <v>:</v>
          </cell>
        </row>
        <row r="40">
          <cell r="B40" t="str">
            <v>TRANSMISOR DE DATOS</v>
          </cell>
          <cell r="C40" t="str">
            <v>Global</v>
          </cell>
        </row>
        <row r="41">
          <cell r="B41" t="str">
            <v>I.G.V.</v>
          </cell>
          <cell r="C41" t="str">
            <v>Global</v>
          </cell>
          <cell r="E41" t="str">
            <v>:</v>
          </cell>
        </row>
        <row r="42">
          <cell r="B42" t="str">
            <v>SUB-TOTAL</v>
          </cell>
          <cell r="C42" t="str">
            <v>Cjto</v>
          </cell>
        </row>
        <row r="43">
          <cell r="B43" t="str">
            <v>TOTAL  CON  I.G.V.</v>
          </cell>
          <cell r="E43" t="str">
            <v>:</v>
          </cell>
        </row>
        <row r="44">
          <cell r="B44" t="str">
            <v>CASETAS DE RADIO</v>
          </cell>
          <cell r="C44" t="str">
            <v>m2</v>
          </cell>
        </row>
        <row r="45">
          <cell r="B45" t="str">
            <v>COSTO  POR  KILOMETRO  CON  I.G.V.</v>
          </cell>
          <cell r="C45" t="str">
            <v>m</v>
          </cell>
          <cell r="E45" t="str">
            <v>:</v>
          </cell>
        </row>
        <row r="46">
          <cell r="B46" t="str">
            <v>REPUESTOS  (5%)</v>
          </cell>
        </row>
        <row r="47">
          <cell r="B47" t="str">
            <v>Denominación</v>
          </cell>
          <cell r="F47" t="str">
            <v>VNR ( mil US$ )</v>
          </cell>
        </row>
        <row r="48">
          <cell r="B48" t="str">
            <v>(1)  Porcentaje respecto al total en porcentaje</v>
          </cell>
          <cell r="C48" t="str">
            <v>Global</v>
          </cell>
        </row>
      </sheetData>
      <sheetData sheetId="8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  <cell r="B5" t="str">
            <v>FORMULARIO DE VALORIZACION TOTAL DE LAS INVERSIONES POR LINEA</v>
          </cell>
        </row>
        <row r="6">
          <cell r="B6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9">
          <cell r="B9" t="str">
            <v>NOMBRE DE LA EMPRESA</v>
          </cell>
          <cell r="E9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A13" t="str">
            <v xml:space="preserve">POTENCIA DE COMPENSACIÓN (MVAR)                </v>
          </cell>
          <cell r="B13" t="str">
            <v>DENOMINACION DE LA LINEA</v>
          </cell>
          <cell r="D13" t="str">
            <v>:</v>
          </cell>
          <cell r="E13" t="str">
            <v>:</v>
          </cell>
        </row>
        <row r="15">
          <cell r="B15" t="str">
            <v>NUMERO DE TERNAS</v>
          </cell>
          <cell r="E15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  <cell r="B17" t="str">
            <v>LONGITUD (Km.)</v>
          </cell>
          <cell r="E17" t="str">
            <v>:</v>
          </cell>
        </row>
        <row r="18">
          <cell r="A18" t="str">
            <v>VALORIZACIÓN  ( en miles de US $ )</v>
          </cell>
        </row>
        <row r="19">
          <cell r="B19" t="str">
            <v>TIPO DE ESTRUCTURAS</v>
          </cell>
          <cell r="E19" t="str">
            <v>:</v>
          </cell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B21" t="str">
            <v xml:space="preserve">POTENCIA MAXIMA A TRANSMITIR (MW) </v>
          </cell>
          <cell r="E21" t="str">
            <v>:</v>
          </cell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  <cell r="B23" t="str">
            <v>VALORIZACION Miles U. S. DÓLAR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  <cell r="B26" t="str">
            <v>COSTO  DE  EJECUCION  DE  OBRA</v>
          </cell>
          <cell r="E26" t="str">
            <v>:</v>
          </cell>
        </row>
        <row r="27">
          <cell r="A27">
            <v>6</v>
          </cell>
        </row>
        <row r="28">
          <cell r="B28" t="str">
            <v>SUB-TOTAL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1">
          <cell r="A31" t="str">
            <v>SUBESTACIONES
VALORIZACIÓN ( en miles de US $ )</v>
          </cell>
        </row>
        <row r="32">
          <cell r="B32" t="str">
            <v>SERVIDUMBRE</v>
          </cell>
          <cell r="E32" t="str">
            <v>:</v>
          </cell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B34" t="str">
            <v>GASTOS  ADMINISTRACION</v>
          </cell>
          <cell r="E34" t="str">
            <v>:</v>
          </cell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  <cell r="B36" t="str">
            <v>TOTAL  SIN  I.G.V.</v>
          </cell>
          <cell r="E36" t="str">
            <v>: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  <cell r="B39" t="str">
            <v>COSTO  POR  KILOMETRO  SIN  I.G.V.</v>
          </cell>
          <cell r="E39" t="str">
            <v>:</v>
          </cell>
        </row>
        <row r="40">
          <cell r="A40">
            <v>5</v>
          </cell>
        </row>
        <row r="41">
          <cell r="A41">
            <v>6</v>
          </cell>
          <cell r="B41" t="str">
            <v>I.G.V.</v>
          </cell>
          <cell r="E41" t="str">
            <v>:</v>
          </cell>
        </row>
        <row r="42">
          <cell r="B42" t="str">
            <v>SUB-TOTAL</v>
          </cell>
        </row>
        <row r="43">
          <cell r="B43" t="str">
            <v>TOTAL  CON  I.G.V.</v>
          </cell>
          <cell r="E43" t="str">
            <v>:</v>
          </cell>
        </row>
        <row r="45">
          <cell r="A45" t="str">
            <v>TOTAL EMPRESA
VALORIZACIÓN (en miles de US $)</v>
          </cell>
          <cell r="B45" t="str">
            <v>COSTO  POR  KILOMETRO  CON  I.G.V.</v>
          </cell>
          <cell r="E45" t="str">
            <v>: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8">
          <cell r="B48" t="str">
            <v>(1)  Porcentaje respecto al total en porcentaje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FORMA-LM1"/>
      <sheetName val="FORMA-(SE1)"/>
      <sheetName val="FORMA-LM3"/>
      <sheetName val="FORMA-LS1-LS2"/>
      <sheetName val="FORMA-LS3"/>
      <sheetName val="FORMA- RE1"/>
      <sheetName val="FORMA-SE2"/>
      <sheetName val="FORMA-ST1"/>
      <sheetName val="RP-RE_x0011_UMEN"/>
      <sheetName val="RP-mon4"/>
      <sheetName val="BD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Hoja1"/>
      <sheetName val="Hoja2"/>
      <sheetName val="Hoja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E-4 P"/>
      <sheetName val="A"/>
      <sheetName val="Datos"/>
      <sheetName val="ARMADOS"/>
      <sheetName val="BASE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/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/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/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/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/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/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/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/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/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/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/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/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/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/>
          <cell r="P111">
            <v>3.4761789851846636E-2</v>
          </cell>
          <cell r="Q111">
            <v>0.02</v>
          </cell>
          <cell r="R111"/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/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.7aEJE BELL-S.J.S. (1)"/>
      <sheetName val="3.1.7a EJE BELL-S.J.S. (2)"/>
      <sheetName val="3.1.7a EJE BELLAV. BARRAN."/>
      <sheetName val="3.1.7aRAMAL VALLE DEL PONAZA"/>
      <sheetName val="3.1.7a EJE BELL.-PICOTA"/>
      <sheetName val="3.1.7a EJE BELLAVISTA-SAPOSOA "/>
      <sheetName val="2.2 2.3. 2.4 2.5"/>
      <sheetName val="2.1"/>
      <sheetName val="3.1.7 c"/>
      <sheetName val="TASA_CREC_DISTRITAL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">
          <cell r="E6" t="str">
            <v>LIMON</v>
          </cell>
          <cell r="F6" t="str">
            <v>BELLAVISTA</v>
          </cell>
          <cell r="G6" t="str">
            <v>BELLAVISTA</v>
          </cell>
          <cell r="H6" t="str">
            <v>I</v>
          </cell>
          <cell r="I6" t="str">
            <v>Pueblo</v>
          </cell>
          <cell r="J6" t="str">
            <v>III</v>
          </cell>
          <cell r="K6">
            <v>113</v>
          </cell>
          <cell r="L6">
            <v>400</v>
          </cell>
          <cell r="M6">
            <v>160</v>
          </cell>
          <cell r="N6">
            <v>865</v>
          </cell>
          <cell r="O6">
            <v>6.6382500629381447E-2</v>
          </cell>
          <cell r="P6">
            <v>3.9527778807701308E-2</v>
          </cell>
          <cell r="Q6">
            <v>0.02</v>
          </cell>
          <cell r="R6">
            <v>5.40625</v>
          </cell>
          <cell r="S6">
            <v>325</v>
          </cell>
          <cell r="T6">
            <v>325</v>
          </cell>
          <cell r="U6">
            <v>1757</v>
          </cell>
          <cell r="V6">
            <v>1757</v>
          </cell>
          <cell r="AA6" t="str">
            <v>L.P. Y R.P. ejecutadas</v>
          </cell>
        </row>
        <row r="7">
          <cell r="E7" t="str">
            <v>SAN RAFAEL</v>
          </cell>
          <cell r="F7" t="str">
            <v>SAN RAFAEL</v>
          </cell>
          <cell r="G7" t="str">
            <v>BELLAVISTA</v>
          </cell>
          <cell r="H7" t="str">
            <v>I</v>
          </cell>
          <cell r="I7" t="str">
            <v>Pueblo</v>
          </cell>
          <cell r="J7" t="str">
            <v>III</v>
          </cell>
          <cell r="K7">
            <v>76</v>
          </cell>
          <cell r="L7">
            <v>396</v>
          </cell>
          <cell r="M7">
            <v>124</v>
          </cell>
          <cell r="N7">
            <v>635</v>
          </cell>
          <cell r="O7">
            <v>4.0135402062755121E-2</v>
          </cell>
          <cell r="P7">
            <v>1.6973716257500548E-2</v>
          </cell>
          <cell r="Q7">
            <v>1.6973716257500548E-2</v>
          </cell>
          <cell r="R7">
            <v>5.120967741935484</v>
          </cell>
          <cell r="S7">
            <v>226</v>
          </cell>
          <cell r="T7">
            <v>226</v>
          </cell>
          <cell r="U7">
            <v>1157</v>
          </cell>
          <cell r="V7">
            <v>1157</v>
          </cell>
          <cell r="AA7" t="str">
            <v>L.P. Y R.P. ejecutadas</v>
          </cell>
        </row>
        <row r="8">
          <cell r="E8" t="str">
            <v>PANAMA</v>
          </cell>
          <cell r="F8" t="str">
            <v>SAN RAFAEL</v>
          </cell>
          <cell r="G8" t="str">
            <v>BELLAVISTA</v>
          </cell>
          <cell r="H8" t="str">
            <v>I</v>
          </cell>
          <cell r="I8" t="str">
            <v>Pueblo</v>
          </cell>
          <cell r="J8" t="str">
            <v>IV</v>
          </cell>
          <cell r="K8">
            <v>38</v>
          </cell>
          <cell r="L8">
            <v>261</v>
          </cell>
          <cell r="M8">
            <v>72</v>
          </cell>
          <cell r="N8">
            <v>287</v>
          </cell>
          <cell r="O8">
            <v>7.9448784095244029E-3</v>
          </cell>
          <cell r="P8">
            <v>1.6973716257500548E-2</v>
          </cell>
          <cell r="Q8">
            <v>1.6973716257500548E-2</v>
          </cell>
          <cell r="R8">
            <v>3.9861111111111112</v>
          </cell>
          <cell r="S8">
            <v>55</v>
          </cell>
          <cell r="T8">
            <v>55</v>
          </cell>
          <cell r="U8">
            <v>219</v>
          </cell>
          <cell r="V8">
            <v>219</v>
          </cell>
          <cell r="AA8" t="str">
            <v>L.P. Y R.P. ejecutadas</v>
          </cell>
        </row>
        <row r="9">
          <cell r="E9" t="str">
            <v>LA LIBERTAD</v>
          </cell>
          <cell r="F9" t="str">
            <v>SAN RAFAEL</v>
          </cell>
          <cell r="G9" t="str">
            <v>BELLAVISTA</v>
          </cell>
          <cell r="H9" t="str">
            <v>I</v>
          </cell>
          <cell r="I9" t="str">
            <v>Pueblo</v>
          </cell>
          <cell r="J9" t="str">
            <v>II</v>
          </cell>
          <cell r="K9">
            <v>115</v>
          </cell>
          <cell r="L9">
            <v>647</v>
          </cell>
          <cell r="M9">
            <v>204</v>
          </cell>
          <cell r="N9">
            <v>1158</v>
          </cell>
          <cell r="O9">
            <v>4.9704413553113502E-2</v>
          </cell>
          <cell r="P9">
            <v>1.6973716257500548E-2</v>
          </cell>
          <cell r="Q9">
            <v>1.6973716257500548E-2</v>
          </cell>
          <cell r="R9">
            <v>5.6764705882352944</v>
          </cell>
          <cell r="S9">
            <v>298</v>
          </cell>
          <cell r="T9">
            <v>298</v>
          </cell>
          <cell r="U9">
            <v>1691</v>
          </cell>
          <cell r="V9">
            <v>1691</v>
          </cell>
          <cell r="AA9" t="str">
            <v>L.P. Y R.P. ejecutadas</v>
          </cell>
        </row>
        <row r="10">
          <cell r="E10" t="str">
            <v>SAN HILARION</v>
          </cell>
          <cell r="F10" t="str">
            <v>SAN HILARION</v>
          </cell>
          <cell r="G10" t="str">
            <v>PICOTA</v>
          </cell>
          <cell r="H10" t="str">
            <v>I</v>
          </cell>
          <cell r="I10" t="str">
            <v>Pueblo</v>
          </cell>
          <cell r="J10" t="str">
            <v>II</v>
          </cell>
          <cell r="K10">
            <v>141</v>
          </cell>
          <cell r="L10">
            <v>820</v>
          </cell>
          <cell r="M10">
            <v>295</v>
          </cell>
          <cell r="N10">
            <v>1474</v>
          </cell>
          <cell r="O10">
            <v>5.0083019996941536E-2</v>
          </cell>
          <cell r="P10">
            <v>3.3455864430997684E-2</v>
          </cell>
          <cell r="Q10">
            <v>0.02</v>
          </cell>
          <cell r="R10">
            <v>4.9966101694915253</v>
          </cell>
          <cell r="S10">
            <v>751</v>
          </cell>
          <cell r="T10">
            <v>751</v>
          </cell>
          <cell r="U10">
            <v>3752</v>
          </cell>
          <cell r="V10">
            <v>3752</v>
          </cell>
          <cell r="AA10" t="str">
            <v>L.P. Y R.P. ejecutadas</v>
          </cell>
        </row>
        <row r="11">
          <cell r="E11" t="str">
            <v>PUERTO RICO</v>
          </cell>
          <cell r="F11" t="str">
            <v>SAN CRISTOBAL</v>
          </cell>
          <cell r="G11" t="str">
            <v>PICOTA</v>
          </cell>
          <cell r="H11" t="str">
            <v>I</v>
          </cell>
          <cell r="I11" t="str">
            <v>Pueblo</v>
          </cell>
          <cell r="J11" t="str">
            <v>III</v>
          </cell>
          <cell r="K11">
            <v>147</v>
          </cell>
          <cell r="L11">
            <v>710</v>
          </cell>
          <cell r="M11">
            <v>187</v>
          </cell>
          <cell r="N11">
            <v>884</v>
          </cell>
          <cell r="O11">
            <v>1.8433851624385378E-2</v>
          </cell>
          <cell r="P11">
            <v>8.0069803577098586E-3</v>
          </cell>
          <cell r="Q11">
            <v>0.01</v>
          </cell>
          <cell r="R11">
            <v>4.7272727272727275</v>
          </cell>
          <cell r="S11">
            <v>206</v>
          </cell>
          <cell r="T11">
            <v>206</v>
          </cell>
          <cell r="U11">
            <v>973</v>
          </cell>
          <cell r="V11">
            <v>973</v>
          </cell>
          <cell r="AA11" t="str">
            <v>L.P. Y R.P. ejecutadas</v>
          </cell>
        </row>
        <row r="12">
          <cell r="E12" t="str">
            <v>PUCACACA</v>
          </cell>
          <cell r="F12" t="str">
            <v>PUCACACA</v>
          </cell>
          <cell r="G12" t="str">
            <v>PICOTA</v>
          </cell>
          <cell r="H12" t="str">
            <v>I</v>
          </cell>
          <cell r="I12" t="str">
            <v>Pueblo</v>
          </cell>
          <cell r="J12" t="str">
            <v>III</v>
          </cell>
          <cell r="K12">
            <v>249</v>
          </cell>
          <cell r="L12">
            <v>1256</v>
          </cell>
          <cell r="M12">
            <v>259</v>
          </cell>
          <cell r="N12">
            <v>1064</v>
          </cell>
          <cell r="O12">
            <v>-1.372960046212035E-2</v>
          </cell>
          <cell r="P12">
            <v>7.4806959327198275E-3</v>
          </cell>
          <cell r="Q12">
            <v>0.01</v>
          </cell>
          <cell r="R12">
            <v>4.1081081081081079</v>
          </cell>
          <cell r="S12">
            <v>349</v>
          </cell>
          <cell r="T12">
            <v>349</v>
          </cell>
          <cell r="U12">
            <v>1433</v>
          </cell>
          <cell r="V12">
            <v>1433</v>
          </cell>
          <cell r="AA12" t="str">
            <v>L.P. Y R.P. ejecutadas</v>
          </cell>
        </row>
        <row r="13">
          <cell r="E13" t="str">
            <v>CASPIZAPA</v>
          </cell>
          <cell r="F13" t="str">
            <v>CASPIZAPA</v>
          </cell>
          <cell r="G13" t="str">
            <v>PICOTA</v>
          </cell>
          <cell r="H13" t="str">
            <v>I</v>
          </cell>
          <cell r="I13" t="str">
            <v>Pueblo</v>
          </cell>
          <cell r="J13" t="str">
            <v>III</v>
          </cell>
          <cell r="K13">
            <v>133</v>
          </cell>
          <cell r="L13">
            <v>708</v>
          </cell>
          <cell r="M13">
            <v>206</v>
          </cell>
          <cell r="N13">
            <v>1152</v>
          </cell>
          <cell r="O13">
            <v>4.1401666814292915E-2</v>
          </cell>
          <cell r="P13">
            <v>1.5892524135662001E-2</v>
          </cell>
          <cell r="Q13">
            <v>1.5892524135662001E-2</v>
          </cell>
          <cell r="R13">
            <v>5.592233009708738</v>
          </cell>
          <cell r="S13">
            <v>391</v>
          </cell>
          <cell r="T13">
            <v>391</v>
          </cell>
          <cell r="U13">
            <v>2186</v>
          </cell>
          <cell r="V13">
            <v>2186</v>
          </cell>
          <cell r="AA13" t="str">
            <v>L.P. Y R.P. ejecutadas</v>
          </cell>
        </row>
        <row r="14">
          <cell r="E14" t="str">
            <v>SAN ANTONIO</v>
          </cell>
          <cell r="F14" t="str">
            <v>CASPIZAPA</v>
          </cell>
          <cell r="G14" t="str">
            <v>PICOTA</v>
          </cell>
          <cell r="H14" t="str">
            <v>I</v>
          </cell>
          <cell r="I14" t="str">
            <v>Caserío</v>
          </cell>
          <cell r="J14" t="str">
            <v>IV</v>
          </cell>
          <cell r="K14">
            <v>27</v>
          </cell>
          <cell r="L14">
            <v>135</v>
          </cell>
          <cell r="M14">
            <v>24</v>
          </cell>
          <cell r="N14">
            <v>113</v>
          </cell>
          <cell r="O14">
            <v>-1.4714580023368895E-2</v>
          </cell>
          <cell r="P14">
            <v>1.5892524135662001E-2</v>
          </cell>
          <cell r="Q14">
            <v>1.5892524135662001E-2</v>
          </cell>
          <cell r="R14">
            <v>4.708333333333333</v>
          </cell>
          <cell r="S14">
            <v>0</v>
          </cell>
          <cell r="T14">
            <v>42</v>
          </cell>
          <cell r="U14">
            <v>0</v>
          </cell>
          <cell r="V14">
            <v>198</v>
          </cell>
          <cell r="AA14" t="str">
            <v>L.P. Y R.P. ejecutadas</v>
          </cell>
        </row>
        <row r="15">
          <cell r="E15" t="str">
            <v>SANTA ROSILLO</v>
          </cell>
          <cell r="F15" t="str">
            <v>BUENOS AIRES</v>
          </cell>
          <cell r="G15" t="str">
            <v>PICOTA</v>
          </cell>
          <cell r="H15" t="str">
            <v>I</v>
          </cell>
          <cell r="I15" t="str">
            <v>Caserío</v>
          </cell>
          <cell r="J15" t="str">
            <v>III</v>
          </cell>
          <cell r="K15">
            <v>45</v>
          </cell>
          <cell r="L15">
            <v>233</v>
          </cell>
          <cell r="M15">
            <v>67</v>
          </cell>
          <cell r="N15">
            <v>283</v>
          </cell>
          <cell r="O15">
            <v>1.6332646632825742E-2</v>
          </cell>
          <cell r="P15">
            <v>4.788180714283552E-3</v>
          </cell>
          <cell r="Q15">
            <v>0.01</v>
          </cell>
          <cell r="R15">
            <v>4.2238805970149258</v>
          </cell>
          <cell r="S15">
            <v>94</v>
          </cell>
          <cell r="T15">
            <v>94</v>
          </cell>
          <cell r="U15">
            <v>397</v>
          </cell>
          <cell r="V15">
            <v>397</v>
          </cell>
          <cell r="AA15" t="str">
            <v>L.P. Y R.P. ejecutadas</v>
          </cell>
        </row>
        <row r="16">
          <cell r="E16" t="str">
            <v>NUEVA UNION DE CASPIZAPA</v>
          </cell>
          <cell r="F16" t="str">
            <v>CASPIZAPA</v>
          </cell>
          <cell r="G16" t="str">
            <v>PICOTA</v>
          </cell>
          <cell r="H16" t="str">
            <v>I</v>
          </cell>
          <cell r="I16" t="str">
            <v>Caserío</v>
          </cell>
          <cell r="J16" t="str">
            <v>III</v>
          </cell>
          <cell r="K16">
            <v>25</v>
          </cell>
          <cell r="L16">
            <v>95</v>
          </cell>
          <cell r="M16">
            <v>51</v>
          </cell>
          <cell r="N16">
            <v>231</v>
          </cell>
          <cell r="O16">
            <v>7.6855336381058015E-2</v>
          </cell>
          <cell r="P16">
            <v>1.5892524135662001E-2</v>
          </cell>
          <cell r="Q16">
            <v>1.5892524135662001E-2</v>
          </cell>
          <cell r="R16">
            <v>4.5294117647058822</v>
          </cell>
          <cell r="S16">
            <v>0</v>
          </cell>
          <cell r="T16">
            <v>39</v>
          </cell>
          <cell r="U16">
            <v>0</v>
          </cell>
          <cell r="V16">
            <v>176</v>
          </cell>
          <cell r="AA16" t="str">
            <v>L.P. Y R.P. ejecutadas</v>
          </cell>
        </row>
        <row r="17">
          <cell r="E17" t="str">
            <v>BUENOS AIRES</v>
          </cell>
          <cell r="F17" t="str">
            <v>BUENOS AIRES</v>
          </cell>
          <cell r="G17" t="str">
            <v>PICOTA</v>
          </cell>
          <cell r="H17" t="str">
            <v>I</v>
          </cell>
          <cell r="I17" t="str">
            <v>Pueblo</v>
          </cell>
          <cell r="J17" t="str">
            <v>III</v>
          </cell>
          <cell r="K17">
            <v>112</v>
          </cell>
          <cell r="L17">
            <v>624</v>
          </cell>
          <cell r="M17">
            <v>153</v>
          </cell>
          <cell r="N17">
            <v>724</v>
          </cell>
          <cell r="O17">
            <v>1.2463785550498319E-2</v>
          </cell>
          <cell r="P17">
            <v>4.788180714283552E-3</v>
          </cell>
          <cell r="Q17">
            <v>0.01</v>
          </cell>
          <cell r="R17">
            <v>4.7320261437908497</v>
          </cell>
          <cell r="S17">
            <v>191</v>
          </cell>
          <cell r="T17">
            <v>191</v>
          </cell>
          <cell r="U17">
            <v>903</v>
          </cell>
          <cell r="V17">
            <v>903</v>
          </cell>
          <cell r="AA17" t="str">
            <v>L.P. Y R.P. ejecutadas</v>
          </cell>
        </row>
        <row r="18">
          <cell r="E18" t="str">
            <v>VILLANUEVA REUBICADA</v>
          </cell>
          <cell r="F18" t="str">
            <v>PICOTA</v>
          </cell>
          <cell r="G18" t="str">
            <v>PICOTA</v>
          </cell>
          <cell r="H18" t="str">
            <v>II</v>
          </cell>
          <cell r="I18" t="str">
            <v>Caserío</v>
          </cell>
          <cell r="J18" t="str">
            <v>IV</v>
          </cell>
          <cell r="K18">
            <v>20</v>
          </cell>
          <cell r="L18">
            <v>130</v>
          </cell>
          <cell r="M18">
            <v>37</v>
          </cell>
          <cell r="N18">
            <v>200</v>
          </cell>
          <cell r="O18">
            <v>3.655071039362201E-2</v>
          </cell>
          <cell r="P18">
            <v>1.5895367691256324E-2</v>
          </cell>
          <cell r="Q18">
            <v>1.5895367691256324E-2</v>
          </cell>
          <cell r="R18">
            <v>5.4054054054054053</v>
          </cell>
          <cell r="S18">
            <v>0</v>
          </cell>
          <cell r="T18">
            <v>43</v>
          </cell>
          <cell r="U18">
            <v>0</v>
          </cell>
          <cell r="V18">
            <v>234</v>
          </cell>
          <cell r="X18" t="str">
            <v>x</v>
          </cell>
          <cell r="AB18">
            <v>268</v>
          </cell>
          <cell r="AD18">
            <v>3</v>
          </cell>
          <cell r="AE18">
            <v>268</v>
          </cell>
        </row>
        <row r="19">
          <cell r="E19" t="str">
            <v>VILLANUEVA DEL RIO</v>
          </cell>
          <cell r="F19" t="str">
            <v>PICOTA</v>
          </cell>
          <cell r="G19" t="str">
            <v>PICOTA</v>
          </cell>
          <cell r="H19" t="str">
            <v>III</v>
          </cell>
          <cell r="I19" t="str">
            <v>Caserío</v>
          </cell>
          <cell r="J19" t="str">
            <v>IV</v>
          </cell>
          <cell r="K19">
            <v>18</v>
          </cell>
          <cell r="L19">
            <v>110</v>
          </cell>
          <cell r="M19">
            <v>30</v>
          </cell>
          <cell r="N19">
            <v>196</v>
          </cell>
          <cell r="O19">
            <v>4.9313552781385717E-2</v>
          </cell>
          <cell r="P19">
            <v>1.5895367691256324E-2</v>
          </cell>
          <cell r="Q19">
            <v>1.5895367691256324E-2</v>
          </cell>
          <cell r="R19">
            <v>6.5333333333333332</v>
          </cell>
          <cell r="S19">
            <v>0</v>
          </cell>
          <cell r="T19">
            <v>35</v>
          </cell>
          <cell r="U19">
            <v>0</v>
          </cell>
          <cell r="V19">
            <v>229</v>
          </cell>
          <cell r="Y19" t="str">
            <v>x</v>
          </cell>
          <cell r="AB19">
            <v>51</v>
          </cell>
          <cell r="AD19">
            <v>2</v>
          </cell>
          <cell r="AE19">
            <v>51</v>
          </cell>
        </row>
        <row r="20">
          <cell r="E20" t="str">
            <v>CHINCHA ALTA</v>
          </cell>
          <cell r="F20" t="str">
            <v>PUCACACA</v>
          </cell>
          <cell r="G20" t="str">
            <v>PICOTA</v>
          </cell>
          <cell r="H20" t="str">
            <v>I</v>
          </cell>
          <cell r="I20" t="str">
            <v>Caserío</v>
          </cell>
          <cell r="J20" t="str">
            <v>IV</v>
          </cell>
          <cell r="K20">
            <v>56</v>
          </cell>
          <cell r="L20">
            <v>360</v>
          </cell>
          <cell r="M20">
            <v>88</v>
          </cell>
          <cell r="N20">
            <v>394</v>
          </cell>
          <cell r="O20">
            <v>7.548923690461562E-3</v>
          </cell>
          <cell r="P20">
            <v>7.4806959327198275E-3</v>
          </cell>
          <cell r="Q20">
            <v>0.01</v>
          </cell>
          <cell r="R20">
            <v>4.4772727272727275</v>
          </cell>
          <cell r="S20">
            <v>0</v>
          </cell>
          <cell r="T20">
            <v>105</v>
          </cell>
          <cell r="U20">
            <v>0</v>
          </cell>
          <cell r="V20">
            <v>470</v>
          </cell>
          <cell r="AA20" t="str">
            <v>L.P. Y R.P. ejecutadas(ampliaciones)</v>
          </cell>
          <cell r="AB20">
            <v>21</v>
          </cell>
          <cell r="AD20">
            <v>5</v>
          </cell>
          <cell r="AE20">
            <v>21</v>
          </cell>
        </row>
        <row r="21">
          <cell r="E21" t="str">
            <v>SHIMBILLO</v>
          </cell>
          <cell r="F21" t="str">
            <v>PUCACACA</v>
          </cell>
          <cell r="G21" t="str">
            <v>PICOTA</v>
          </cell>
          <cell r="H21" t="str">
            <v>I</v>
          </cell>
          <cell r="I21" t="str">
            <v>Caserío</v>
          </cell>
          <cell r="J21" t="str">
            <v>IV</v>
          </cell>
          <cell r="K21">
            <v>62</v>
          </cell>
          <cell r="L21">
            <v>388</v>
          </cell>
          <cell r="M21">
            <v>98</v>
          </cell>
          <cell r="N21">
            <v>435</v>
          </cell>
          <cell r="O21">
            <v>9.5739305974669175E-3</v>
          </cell>
          <cell r="P21">
            <v>7.4806959327198275E-3</v>
          </cell>
          <cell r="Q21">
            <v>0.01</v>
          </cell>
          <cell r="R21">
            <v>4.4387755102040813</v>
          </cell>
          <cell r="S21">
            <v>0</v>
          </cell>
          <cell r="T21">
            <v>80</v>
          </cell>
          <cell r="U21">
            <v>0</v>
          </cell>
          <cell r="V21">
            <v>352</v>
          </cell>
          <cell r="AA21" t="str">
            <v>L.P. Y R.P. ejecutadas(ampliaciones)</v>
          </cell>
          <cell r="AB21">
            <v>59</v>
          </cell>
          <cell r="AD21">
            <v>7</v>
          </cell>
          <cell r="AE21">
            <v>59</v>
          </cell>
        </row>
        <row r="22">
          <cell r="E22" t="str">
            <v>NUEVO CODO</v>
          </cell>
          <cell r="F22" t="str">
            <v>PUCACACA</v>
          </cell>
          <cell r="G22" t="str">
            <v>PICOTA</v>
          </cell>
          <cell r="H22" t="str">
            <v>II</v>
          </cell>
          <cell r="I22" t="str">
            <v>Caserío</v>
          </cell>
          <cell r="J22" t="str">
            <v>IV</v>
          </cell>
          <cell r="K22">
            <v>33</v>
          </cell>
          <cell r="L22">
            <v>194</v>
          </cell>
          <cell r="M22">
            <v>57</v>
          </cell>
          <cell r="N22">
            <v>263</v>
          </cell>
          <cell r="O22">
            <v>2.5682238204305818E-2</v>
          </cell>
          <cell r="P22">
            <v>7.4806959327198275E-3</v>
          </cell>
          <cell r="Q22">
            <v>0.01</v>
          </cell>
          <cell r="R22">
            <v>4.6140350877192979</v>
          </cell>
          <cell r="S22">
            <v>0</v>
          </cell>
          <cell r="T22">
            <v>63</v>
          </cell>
          <cell r="U22">
            <v>0</v>
          </cell>
          <cell r="V22">
            <v>291</v>
          </cell>
          <cell r="X22" t="str">
            <v>x</v>
          </cell>
          <cell r="AB22">
            <v>120</v>
          </cell>
          <cell r="AD22">
            <v>5</v>
          </cell>
          <cell r="AE22">
            <v>120</v>
          </cell>
        </row>
        <row r="23">
          <cell r="E23" t="str">
            <v>SANTO TOMAS DE PAUJILZAPA</v>
          </cell>
          <cell r="F23" t="str">
            <v>BUENOS AIRES</v>
          </cell>
          <cell r="G23" t="str">
            <v>PICOTA</v>
          </cell>
          <cell r="H23" t="str">
            <v>II</v>
          </cell>
          <cell r="I23" t="str">
            <v>Caserío</v>
          </cell>
          <cell r="J23" t="str">
            <v>IV</v>
          </cell>
          <cell r="K23">
            <v>25</v>
          </cell>
          <cell r="L23">
            <v>110</v>
          </cell>
          <cell r="M23">
            <v>30</v>
          </cell>
          <cell r="N23">
            <v>125</v>
          </cell>
          <cell r="O23">
            <v>1.0709723850662378E-2</v>
          </cell>
          <cell r="P23">
            <v>4.788180714283552E-3</v>
          </cell>
          <cell r="Q23">
            <v>0.01</v>
          </cell>
          <cell r="R23">
            <v>4.166666666666667</v>
          </cell>
          <cell r="S23">
            <v>0</v>
          </cell>
          <cell r="T23">
            <v>33</v>
          </cell>
          <cell r="U23">
            <v>0</v>
          </cell>
          <cell r="V23">
            <v>138</v>
          </cell>
          <cell r="X23" t="str">
            <v>x</v>
          </cell>
          <cell r="AB23">
            <v>35</v>
          </cell>
          <cell r="AD23">
            <v>6</v>
          </cell>
          <cell r="AE23">
            <v>35</v>
          </cell>
        </row>
        <row r="24">
          <cell r="E24" t="str">
            <v>SAN ANTONIO DE PAUJILZAPA</v>
          </cell>
          <cell r="F24" t="str">
            <v>BUENOS AIRES</v>
          </cell>
          <cell r="G24" t="str">
            <v>PICOTA</v>
          </cell>
          <cell r="H24" t="str">
            <v>II</v>
          </cell>
          <cell r="I24" t="str">
            <v>Caserío</v>
          </cell>
          <cell r="J24" t="str">
            <v>III</v>
          </cell>
          <cell r="K24">
            <v>54</v>
          </cell>
          <cell r="L24">
            <v>333</v>
          </cell>
          <cell r="M24">
            <v>105</v>
          </cell>
          <cell r="N24">
            <v>555</v>
          </cell>
          <cell r="O24">
            <v>4.3487847934513768E-2</v>
          </cell>
          <cell r="P24">
            <v>4.788180714283552E-3</v>
          </cell>
          <cell r="Q24">
            <v>0.01</v>
          </cell>
          <cell r="R24">
            <v>5.2857142857142856</v>
          </cell>
          <cell r="S24">
            <v>0</v>
          </cell>
          <cell r="T24">
            <v>116</v>
          </cell>
          <cell r="U24">
            <v>0</v>
          </cell>
          <cell r="V24">
            <v>613</v>
          </cell>
          <cell r="X24" t="str">
            <v>x</v>
          </cell>
          <cell r="AB24">
            <v>53</v>
          </cell>
          <cell r="AD24">
            <v>10</v>
          </cell>
          <cell r="AE24">
            <v>53</v>
          </cell>
        </row>
        <row r="25">
          <cell r="E25" t="str">
            <v>NUEVO CONTROL</v>
          </cell>
          <cell r="F25" t="str">
            <v>PICOTA</v>
          </cell>
          <cell r="G25" t="str">
            <v>PICOTA</v>
          </cell>
          <cell r="H25" t="str">
            <v>III</v>
          </cell>
          <cell r="I25" t="str">
            <v>Caserío</v>
          </cell>
          <cell r="J25" t="str">
            <v>IV</v>
          </cell>
          <cell r="K25">
            <v>27</v>
          </cell>
          <cell r="L25">
            <v>110</v>
          </cell>
          <cell r="M25">
            <v>38</v>
          </cell>
          <cell r="N25">
            <v>175</v>
          </cell>
          <cell r="O25">
            <v>3.9450422952227449E-2</v>
          </cell>
          <cell r="P25">
            <v>1.5895367691256324E-2</v>
          </cell>
          <cell r="Q25">
            <v>1.5895367691256324E-2</v>
          </cell>
          <cell r="R25">
            <v>4.6052631578947372</v>
          </cell>
          <cell r="S25">
            <v>0</v>
          </cell>
          <cell r="T25">
            <v>45</v>
          </cell>
          <cell r="U25">
            <v>0</v>
          </cell>
          <cell r="V25">
            <v>205</v>
          </cell>
          <cell r="Y25" t="str">
            <v>x</v>
          </cell>
          <cell r="AB25">
            <v>132</v>
          </cell>
          <cell r="AD25">
            <v>2</v>
          </cell>
          <cell r="AE25">
            <v>132</v>
          </cell>
        </row>
        <row r="26">
          <cell r="E26" t="str">
            <v>ALMIRANTE GRAU</v>
          </cell>
          <cell r="F26" t="str">
            <v>PICOTA</v>
          </cell>
          <cell r="G26" t="str">
            <v>PICOTA</v>
          </cell>
          <cell r="H26" t="str">
            <v>III</v>
          </cell>
          <cell r="I26" t="str">
            <v>Caserío</v>
          </cell>
          <cell r="J26" t="str">
            <v>IV</v>
          </cell>
          <cell r="K26">
            <v>21</v>
          </cell>
          <cell r="L26">
            <v>120</v>
          </cell>
          <cell r="M26">
            <v>77</v>
          </cell>
          <cell r="N26">
            <v>332</v>
          </cell>
          <cell r="O26">
            <v>8.8503266033263417E-2</v>
          </cell>
          <cell r="P26">
            <v>1.5895367691256324E-2</v>
          </cell>
          <cell r="Q26">
            <v>1.5895367691256324E-2</v>
          </cell>
          <cell r="R26">
            <v>4.3116883116883118</v>
          </cell>
          <cell r="S26">
            <v>0</v>
          </cell>
          <cell r="T26">
            <v>90</v>
          </cell>
          <cell r="U26">
            <v>0</v>
          </cell>
          <cell r="V26">
            <v>389</v>
          </cell>
          <cell r="Y26" t="str">
            <v>x</v>
          </cell>
          <cell r="AB26">
            <v>61</v>
          </cell>
          <cell r="AD26">
            <v>6</v>
          </cell>
          <cell r="AE26">
            <v>61</v>
          </cell>
        </row>
        <row r="27">
          <cell r="E27" t="str">
            <v>NUEVA ESPERANZA</v>
          </cell>
          <cell r="F27" t="str">
            <v>PICOTA</v>
          </cell>
          <cell r="G27" t="str">
            <v>PICOTA</v>
          </cell>
          <cell r="H27" t="str">
            <v>III</v>
          </cell>
          <cell r="I27" t="str">
            <v>Caserío</v>
          </cell>
          <cell r="J27" t="str">
            <v>IV</v>
          </cell>
          <cell r="K27">
            <v>10</v>
          </cell>
          <cell r="L27">
            <v>50</v>
          </cell>
          <cell r="M27">
            <v>14</v>
          </cell>
          <cell r="N27">
            <v>69</v>
          </cell>
          <cell r="O27">
            <v>2.7203736594575867E-2</v>
          </cell>
          <cell r="P27">
            <v>1.5895367691256324E-2</v>
          </cell>
          <cell r="Q27">
            <v>1.5895367691256324E-2</v>
          </cell>
          <cell r="R27">
            <v>4.9285714285714288</v>
          </cell>
          <cell r="S27">
            <v>0</v>
          </cell>
          <cell r="T27">
            <v>16</v>
          </cell>
          <cell r="U27">
            <v>0</v>
          </cell>
          <cell r="V27">
            <v>81</v>
          </cell>
          <cell r="Y27" t="str">
            <v>x</v>
          </cell>
          <cell r="AB27">
            <v>40</v>
          </cell>
          <cell r="AD27">
            <v>0</v>
          </cell>
          <cell r="AE27">
            <v>40</v>
          </cell>
        </row>
        <row r="28">
          <cell r="E28" t="str">
            <v>BELLAVISTA</v>
          </cell>
          <cell r="F28" t="str">
            <v>BELLAVISTA</v>
          </cell>
          <cell r="G28" t="str">
            <v>BELLAVISTA</v>
          </cell>
          <cell r="H28" t="str">
            <v>I</v>
          </cell>
          <cell r="I28" t="str">
            <v>Ciudad</v>
          </cell>
          <cell r="J28" t="str">
            <v>I</v>
          </cell>
          <cell r="K28">
            <v>489</v>
          </cell>
          <cell r="L28">
            <v>2799</v>
          </cell>
          <cell r="M28">
            <v>1537</v>
          </cell>
          <cell r="N28">
            <v>8683</v>
          </cell>
          <cell r="O28">
            <v>9.8935598242108291E-2</v>
          </cell>
          <cell r="P28">
            <v>3.9527778807701308E-2</v>
          </cell>
          <cell r="Q28">
            <v>0.02</v>
          </cell>
          <cell r="R28">
            <v>5.6493168510084582</v>
          </cell>
          <cell r="S28">
            <v>2279</v>
          </cell>
          <cell r="T28">
            <v>2279</v>
          </cell>
          <cell r="U28">
            <v>12874</v>
          </cell>
          <cell r="V28">
            <v>12874</v>
          </cell>
          <cell r="AA28" t="str">
            <v>L.P. Y R.P. ejecutadas</v>
          </cell>
          <cell r="AB28">
            <v>58</v>
          </cell>
          <cell r="AD28">
            <v>95</v>
          </cell>
          <cell r="AE28" t="e">
            <v>#VALUE!</v>
          </cell>
        </row>
        <row r="29">
          <cell r="E29" t="str">
            <v>PICOTA</v>
          </cell>
          <cell r="F29" t="str">
            <v>PICOTA</v>
          </cell>
          <cell r="G29" t="str">
            <v>PICOTA</v>
          </cell>
          <cell r="H29" t="str">
            <v>I</v>
          </cell>
          <cell r="I29" t="str">
            <v>Ciudad</v>
          </cell>
          <cell r="J29" t="str">
            <v>I</v>
          </cell>
          <cell r="K29">
            <v>411</v>
          </cell>
          <cell r="L29">
            <v>2262</v>
          </cell>
          <cell r="M29">
            <v>771</v>
          </cell>
          <cell r="N29">
            <v>4198</v>
          </cell>
          <cell r="O29">
            <v>5.2880670788073347E-2</v>
          </cell>
          <cell r="P29">
            <v>1.5895367691256324E-2</v>
          </cell>
          <cell r="Q29">
            <v>1.5895367691256324E-2</v>
          </cell>
          <cell r="R29">
            <v>5.4448767833981844</v>
          </cell>
          <cell r="S29">
            <v>1311</v>
          </cell>
          <cell r="T29">
            <v>1311</v>
          </cell>
          <cell r="U29">
            <v>7138</v>
          </cell>
          <cell r="V29">
            <v>7138</v>
          </cell>
          <cell r="AA29" t="str">
            <v>L.P. Y R.P. ejecutadas</v>
          </cell>
          <cell r="AB29">
            <v>52</v>
          </cell>
          <cell r="AD29">
            <v>50</v>
          </cell>
          <cell r="AE29" t="e">
            <v>#VALUE!</v>
          </cell>
        </row>
        <row r="30">
          <cell r="E30" t="str">
            <v>SANTA CATALINA</v>
          </cell>
          <cell r="F30" t="str">
            <v>SAN RAFAEL</v>
          </cell>
          <cell r="G30" t="str">
            <v>BELLAVISTA</v>
          </cell>
          <cell r="H30" t="str">
            <v>I</v>
          </cell>
          <cell r="I30" t="str">
            <v>Caserío</v>
          </cell>
          <cell r="J30" t="str">
            <v>IV</v>
          </cell>
          <cell r="Q30">
            <v>0.01</v>
          </cell>
          <cell r="R30"/>
          <cell r="T30">
            <v>28</v>
          </cell>
          <cell r="V30">
            <v>126</v>
          </cell>
          <cell r="AA30" t="str">
            <v>L.P. Y R.P. ejecutadas (ampliaciones)</v>
          </cell>
        </row>
        <row r="31">
          <cell r="E31" t="str">
            <v>SAN JOSE</v>
          </cell>
          <cell r="F31" t="str">
            <v>SAN RAFAEL</v>
          </cell>
          <cell r="G31" t="str">
            <v>BELLAVISTA</v>
          </cell>
          <cell r="H31" t="str">
            <v>I</v>
          </cell>
          <cell r="I31" t="str">
            <v>Caserío</v>
          </cell>
          <cell r="J31" t="str">
            <v>IV</v>
          </cell>
          <cell r="Q31">
            <v>0.01</v>
          </cell>
          <cell r="R31"/>
          <cell r="T31">
            <v>30</v>
          </cell>
          <cell r="V31">
            <v>150</v>
          </cell>
          <cell r="AA31" t="str">
            <v>L.P. Y R.P. ejecutadas (ampliaciones)</v>
          </cell>
        </row>
        <row r="32">
          <cell r="E32" t="str">
            <v>PUENTE SISA</v>
          </cell>
          <cell r="F32" t="str">
            <v>SAN RAFAEL</v>
          </cell>
          <cell r="G32" t="str">
            <v>BELLAVISTA</v>
          </cell>
          <cell r="H32" t="str">
            <v>I</v>
          </cell>
          <cell r="I32" t="str">
            <v>Caserío</v>
          </cell>
          <cell r="J32" t="str">
            <v>IV</v>
          </cell>
          <cell r="Q32">
            <v>0.01</v>
          </cell>
          <cell r="R32"/>
          <cell r="T32">
            <v>18</v>
          </cell>
          <cell r="V32">
            <v>100</v>
          </cell>
          <cell r="AA32" t="str">
            <v>L.P. Y R.P. ejecutadas (ampliaciones)</v>
          </cell>
        </row>
        <row r="33">
          <cell r="E33" t="str">
            <v>RAMAL VALLE DEL PONAZA</v>
          </cell>
          <cell r="S33">
            <v>0</v>
          </cell>
        </row>
        <row r="34">
          <cell r="E34" t="str">
            <v>BARRANQUITA</v>
          </cell>
          <cell r="F34" t="str">
            <v>PICOTA</v>
          </cell>
          <cell r="G34" t="str">
            <v>PICOTA</v>
          </cell>
          <cell r="H34" t="str">
            <v>II</v>
          </cell>
          <cell r="I34" t="str">
            <v>Caserío</v>
          </cell>
          <cell r="J34" t="str">
            <v>IV</v>
          </cell>
          <cell r="K34">
            <v>87</v>
          </cell>
          <cell r="L34">
            <v>496</v>
          </cell>
          <cell r="M34">
            <v>108</v>
          </cell>
          <cell r="N34">
            <v>501</v>
          </cell>
          <cell r="O34">
            <v>8.3619728150008399E-4</v>
          </cell>
          <cell r="P34">
            <v>1.5895367691256324E-2</v>
          </cell>
          <cell r="Q34">
            <v>1.5895367691256324E-2</v>
          </cell>
          <cell r="R34">
            <v>4.6388888888888893</v>
          </cell>
          <cell r="S34">
            <v>0</v>
          </cell>
          <cell r="T34">
            <v>106</v>
          </cell>
          <cell r="V34">
            <v>555</v>
          </cell>
          <cell r="W34" t="str">
            <v>x</v>
          </cell>
          <cell r="AB34">
            <v>15</v>
          </cell>
          <cell r="AD34">
            <v>5</v>
          </cell>
          <cell r="AE34">
            <v>15</v>
          </cell>
        </row>
        <row r="35">
          <cell r="E35" t="str">
            <v>CEDRO PAMPA</v>
          </cell>
          <cell r="F35" t="str">
            <v>PUCACACA</v>
          </cell>
          <cell r="G35" t="str">
            <v>PICOTA</v>
          </cell>
          <cell r="H35" t="str">
            <v>II</v>
          </cell>
          <cell r="I35" t="str">
            <v>Caserío</v>
          </cell>
          <cell r="J35" t="str">
            <v>IV</v>
          </cell>
          <cell r="K35">
            <v>75</v>
          </cell>
          <cell r="L35">
            <v>477</v>
          </cell>
          <cell r="M35">
            <v>140</v>
          </cell>
          <cell r="N35">
            <v>724</v>
          </cell>
          <cell r="O35">
            <v>3.5384555024872366E-2</v>
          </cell>
          <cell r="P35">
            <v>7.4806959327198275E-3</v>
          </cell>
          <cell r="Q35">
            <v>0.01</v>
          </cell>
          <cell r="R35">
            <v>5.1714285714285717</v>
          </cell>
          <cell r="S35">
            <v>0</v>
          </cell>
          <cell r="T35">
            <v>92</v>
          </cell>
          <cell r="V35">
            <v>388</v>
          </cell>
          <cell r="W35" t="str">
            <v>x</v>
          </cell>
          <cell r="AB35">
            <v>33</v>
          </cell>
          <cell r="AD35">
            <v>5</v>
          </cell>
          <cell r="AE35">
            <v>33</v>
          </cell>
        </row>
        <row r="36">
          <cell r="E36" t="str">
            <v>MARISCAL CASTILLA</v>
          </cell>
          <cell r="F36" t="str">
            <v>TINGO DE PONAZA</v>
          </cell>
          <cell r="G36" t="str">
            <v>PICOTA</v>
          </cell>
          <cell r="H36" t="str">
            <v>II</v>
          </cell>
          <cell r="I36" t="str">
            <v>Caserío</v>
          </cell>
          <cell r="J36" t="str">
            <v>III</v>
          </cell>
          <cell r="K36">
            <v>61</v>
          </cell>
          <cell r="L36">
            <v>294</v>
          </cell>
          <cell r="M36">
            <v>103</v>
          </cell>
          <cell r="N36">
            <v>379</v>
          </cell>
          <cell r="O36">
            <v>2.1388561657977423E-2</v>
          </cell>
          <cell r="P36">
            <v>6.7859722816379087E-3</v>
          </cell>
          <cell r="Q36">
            <v>0.01</v>
          </cell>
          <cell r="R36">
            <v>3.679611650485437</v>
          </cell>
          <cell r="S36">
            <v>0</v>
          </cell>
          <cell r="T36">
            <v>152</v>
          </cell>
          <cell r="V36">
            <v>660</v>
          </cell>
          <cell r="W36" t="str">
            <v>x</v>
          </cell>
          <cell r="AB36">
            <v>117</v>
          </cell>
          <cell r="AD36">
            <v>12</v>
          </cell>
          <cell r="AE36">
            <v>117</v>
          </cell>
        </row>
        <row r="37">
          <cell r="E37" t="str">
            <v>TINGO DE PONAZA</v>
          </cell>
          <cell r="F37" t="str">
            <v>TINGO DE PONAZA</v>
          </cell>
          <cell r="G37" t="str">
            <v>PICOTA</v>
          </cell>
          <cell r="H37" t="str">
            <v>II</v>
          </cell>
          <cell r="I37" t="str">
            <v>Pueblo</v>
          </cell>
          <cell r="J37" t="str">
            <v>III</v>
          </cell>
          <cell r="K37">
            <v>51</v>
          </cell>
          <cell r="L37">
            <v>462</v>
          </cell>
          <cell r="M37">
            <v>86</v>
          </cell>
          <cell r="N37">
            <v>337</v>
          </cell>
          <cell r="O37">
            <v>-2.5947585754851898E-2</v>
          </cell>
          <cell r="P37">
            <v>6.7859722816379087E-3</v>
          </cell>
          <cell r="Q37">
            <v>0.01</v>
          </cell>
          <cell r="R37">
            <v>3.9186046511627906</v>
          </cell>
          <cell r="S37">
            <v>0</v>
          </cell>
          <cell r="T37">
            <v>104</v>
          </cell>
          <cell r="V37">
            <v>440</v>
          </cell>
          <cell r="W37" t="str">
            <v>x</v>
          </cell>
          <cell r="AB37">
            <v>157</v>
          </cell>
          <cell r="AD37">
            <v>4</v>
          </cell>
          <cell r="AE37" t="e">
            <v>#VALUE!</v>
          </cell>
        </row>
        <row r="38">
          <cell r="E38" t="str">
            <v>NUEVO AMERICA</v>
          </cell>
          <cell r="F38" t="str">
            <v>TINGO DE PONAZA</v>
          </cell>
          <cell r="G38" t="str">
            <v>PICOTA</v>
          </cell>
          <cell r="H38" t="str">
            <v>II</v>
          </cell>
          <cell r="I38" t="str">
            <v>Pueblo</v>
          </cell>
          <cell r="J38" t="str">
            <v>IV</v>
          </cell>
          <cell r="K38">
            <v>5</v>
          </cell>
          <cell r="L38">
            <v>23</v>
          </cell>
          <cell r="P38">
            <v>7.0000000000000001E-3</v>
          </cell>
          <cell r="Q38">
            <v>0.01</v>
          </cell>
          <cell r="R38">
            <v>4</v>
          </cell>
          <cell r="S38">
            <v>0</v>
          </cell>
          <cell r="T38">
            <v>13</v>
          </cell>
          <cell r="V38">
            <v>56</v>
          </cell>
          <cell r="W38" t="str">
            <v>x</v>
          </cell>
          <cell r="AB38">
            <v>194</v>
          </cell>
          <cell r="AD38">
            <v>1</v>
          </cell>
          <cell r="AE38">
            <v>194</v>
          </cell>
        </row>
        <row r="39">
          <cell r="E39" t="str">
            <v>LEONCIO PRADO</v>
          </cell>
          <cell r="F39" t="str">
            <v>TINGO DE PONAZA</v>
          </cell>
          <cell r="G39" t="str">
            <v>PICOTA</v>
          </cell>
          <cell r="H39" t="str">
            <v>II</v>
          </cell>
          <cell r="I39" t="str">
            <v>Pueblo</v>
          </cell>
          <cell r="J39" t="str">
            <v>III</v>
          </cell>
          <cell r="K39">
            <v>86</v>
          </cell>
          <cell r="L39">
            <v>494</v>
          </cell>
          <cell r="M39">
            <v>144</v>
          </cell>
          <cell r="N39">
            <v>630</v>
          </cell>
          <cell r="O39">
            <v>2.0472095062835871E-2</v>
          </cell>
          <cell r="P39">
            <v>6.7859722816379087E-3</v>
          </cell>
          <cell r="Q39">
            <v>0.01</v>
          </cell>
          <cell r="R39">
            <v>4.375</v>
          </cell>
          <cell r="S39">
            <v>0</v>
          </cell>
          <cell r="T39">
            <v>164</v>
          </cell>
          <cell r="V39">
            <v>870</v>
          </cell>
          <cell r="W39" t="str">
            <v>x</v>
          </cell>
          <cell r="AB39">
            <v>134</v>
          </cell>
          <cell r="AD39">
            <v>9</v>
          </cell>
          <cell r="AE39" t="e">
            <v>#VALUE!</v>
          </cell>
        </row>
        <row r="40">
          <cell r="E40" t="str">
            <v>SAN ANTONIO DE PONAZA</v>
          </cell>
          <cell r="F40" t="str">
            <v>TINGO DE PONAZA</v>
          </cell>
          <cell r="G40" t="str">
            <v>PICOTA</v>
          </cell>
          <cell r="H40" t="str">
            <v>II</v>
          </cell>
          <cell r="I40" t="str">
            <v>Caserío</v>
          </cell>
          <cell r="J40" t="str">
            <v>IV</v>
          </cell>
          <cell r="K40">
            <v>12</v>
          </cell>
          <cell r="L40">
            <v>56</v>
          </cell>
          <cell r="M40">
            <v>30</v>
          </cell>
          <cell r="N40">
            <v>165</v>
          </cell>
          <cell r="O40">
            <v>9.4228426900563544E-2</v>
          </cell>
          <cell r="P40">
            <v>6.7859722816379087E-3</v>
          </cell>
          <cell r="Q40">
            <v>0.01</v>
          </cell>
          <cell r="R40">
            <v>5.5</v>
          </cell>
          <cell r="S40">
            <v>0</v>
          </cell>
          <cell r="T40">
            <v>37</v>
          </cell>
          <cell r="V40">
            <v>156</v>
          </cell>
          <cell r="W40" t="str">
            <v>x</v>
          </cell>
          <cell r="AB40">
            <v>25</v>
          </cell>
          <cell r="AD40">
            <v>2</v>
          </cell>
          <cell r="AE40">
            <v>25</v>
          </cell>
        </row>
        <row r="41">
          <cell r="E41" t="str">
            <v>AYPENA</v>
          </cell>
          <cell r="F41" t="str">
            <v>TINGO DE PONAZA</v>
          </cell>
          <cell r="G41" t="str">
            <v>PICOTA</v>
          </cell>
          <cell r="H41" t="str">
            <v>II</v>
          </cell>
          <cell r="I41" t="str">
            <v>Caserío</v>
          </cell>
          <cell r="J41" t="str">
            <v>IV</v>
          </cell>
          <cell r="K41">
            <v>28</v>
          </cell>
          <cell r="L41">
            <v>162</v>
          </cell>
          <cell r="M41">
            <v>36</v>
          </cell>
          <cell r="N41">
            <v>168</v>
          </cell>
          <cell r="O41">
            <v>3.0352340373920317E-3</v>
          </cell>
          <cell r="P41">
            <v>6.7859722816379087E-3</v>
          </cell>
          <cell r="Q41">
            <v>0.01</v>
          </cell>
          <cell r="R41">
            <v>4.666666666666667</v>
          </cell>
          <cell r="S41">
            <v>0</v>
          </cell>
          <cell r="T41">
            <v>28</v>
          </cell>
          <cell r="V41">
            <v>150</v>
          </cell>
          <cell r="W41" t="str">
            <v>x</v>
          </cell>
          <cell r="AB41">
            <v>26</v>
          </cell>
          <cell r="AD41">
            <v>2</v>
          </cell>
          <cell r="AE41">
            <v>26</v>
          </cell>
        </row>
        <row r="42">
          <cell r="E42" t="str">
            <v>HUAÑIPO</v>
          </cell>
          <cell r="F42" t="str">
            <v>TINGO DE PONAZA</v>
          </cell>
          <cell r="G42" t="str">
            <v>PICOTA</v>
          </cell>
          <cell r="H42" t="str">
            <v>II</v>
          </cell>
          <cell r="I42" t="str">
            <v>Caserío</v>
          </cell>
          <cell r="J42" t="str">
            <v>III</v>
          </cell>
          <cell r="K42">
            <v>46</v>
          </cell>
          <cell r="L42">
            <v>268</v>
          </cell>
          <cell r="M42">
            <v>79</v>
          </cell>
          <cell r="N42">
            <v>415</v>
          </cell>
          <cell r="O42">
            <v>3.7113072758764076E-2</v>
          </cell>
          <cell r="P42">
            <v>6.7859722816379087E-3</v>
          </cell>
          <cell r="Q42">
            <v>0.01</v>
          </cell>
          <cell r="R42">
            <v>5.2531645569620249</v>
          </cell>
          <cell r="S42">
            <v>0</v>
          </cell>
          <cell r="T42">
            <v>147</v>
          </cell>
          <cell r="V42">
            <v>785</v>
          </cell>
          <cell r="W42" t="str">
            <v>x</v>
          </cell>
          <cell r="AB42">
            <v>26</v>
          </cell>
          <cell r="AD42">
            <v>10</v>
          </cell>
          <cell r="AE42">
            <v>26</v>
          </cell>
        </row>
        <row r="43">
          <cell r="E43" t="str">
            <v>PAUCAR</v>
          </cell>
          <cell r="F43" t="str">
            <v>SHAMBOYACU</v>
          </cell>
          <cell r="G43" t="str">
            <v>PICOTA</v>
          </cell>
          <cell r="H43" t="str">
            <v>II</v>
          </cell>
          <cell r="I43" t="str">
            <v>Caserío</v>
          </cell>
          <cell r="J43" t="str">
            <v>IV</v>
          </cell>
          <cell r="K43">
            <v>9</v>
          </cell>
          <cell r="L43">
            <v>45</v>
          </cell>
          <cell r="M43">
            <v>17</v>
          </cell>
          <cell r="N43">
            <v>109</v>
          </cell>
          <cell r="O43">
            <v>7.6509413907303481E-2</v>
          </cell>
          <cell r="P43">
            <v>2.3700737830619989E-2</v>
          </cell>
          <cell r="Q43">
            <v>0.02</v>
          </cell>
          <cell r="R43">
            <v>6.4117647058823533</v>
          </cell>
          <cell r="S43">
            <v>0</v>
          </cell>
          <cell r="T43">
            <v>24</v>
          </cell>
          <cell r="V43">
            <v>150</v>
          </cell>
          <cell r="W43" t="str">
            <v>x</v>
          </cell>
          <cell r="AB43">
            <v>78</v>
          </cell>
          <cell r="AD43">
            <v>1</v>
          </cell>
          <cell r="AE43">
            <v>78</v>
          </cell>
          <cell r="AF43" t="str">
            <v>DATOS 99</v>
          </cell>
        </row>
        <row r="44">
          <cell r="E44" t="str">
            <v>ALFONSO UGARTE</v>
          </cell>
          <cell r="F44" t="str">
            <v>SHAMBOYACU</v>
          </cell>
          <cell r="G44" t="str">
            <v>PICOTA</v>
          </cell>
          <cell r="H44" t="str">
            <v>II</v>
          </cell>
          <cell r="I44" t="str">
            <v>Caserío</v>
          </cell>
          <cell r="J44" t="str">
            <v>III</v>
          </cell>
          <cell r="K44">
            <v>71</v>
          </cell>
          <cell r="L44">
            <v>342</v>
          </cell>
          <cell r="M44">
            <v>81</v>
          </cell>
          <cell r="N44">
            <v>424</v>
          </cell>
          <cell r="O44">
            <v>1.8071576452908689E-2</v>
          </cell>
          <cell r="P44">
            <v>2.3700737830619989E-2</v>
          </cell>
          <cell r="Q44">
            <v>0.02</v>
          </cell>
          <cell r="R44">
            <v>5.2345679012345681</v>
          </cell>
          <cell r="S44">
            <v>0</v>
          </cell>
          <cell r="T44">
            <v>163</v>
          </cell>
          <cell r="V44">
            <v>1000</v>
          </cell>
          <cell r="W44" t="str">
            <v>x</v>
          </cell>
          <cell r="AB44">
            <v>46</v>
          </cell>
          <cell r="AD44">
            <v>4</v>
          </cell>
          <cell r="AE44">
            <v>46</v>
          </cell>
          <cell r="AF44" t="str">
            <v>VIVIENDAS</v>
          </cell>
        </row>
        <row r="45">
          <cell r="E45" t="str">
            <v>SHAMBOYACU</v>
          </cell>
          <cell r="F45" t="str">
            <v>SHAMBOYACU</v>
          </cell>
          <cell r="G45" t="str">
            <v>PICOTA</v>
          </cell>
          <cell r="H45" t="str">
            <v>II</v>
          </cell>
          <cell r="I45" t="str">
            <v>Pueblo</v>
          </cell>
          <cell r="J45" t="str">
            <v>III</v>
          </cell>
          <cell r="K45">
            <v>61</v>
          </cell>
          <cell r="L45">
            <v>415</v>
          </cell>
          <cell r="M45">
            <v>182</v>
          </cell>
          <cell r="N45">
            <v>1143</v>
          </cell>
          <cell r="O45">
            <v>8.8094239601711921E-2</v>
          </cell>
          <cell r="P45">
            <v>2.3700737830619989E-2</v>
          </cell>
          <cell r="Q45">
            <v>0.02</v>
          </cell>
          <cell r="R45">
            <v>6.2802197802197801</v>
          </cell>
          <cell r="S45">
            <v>0</v>
          </cell>
          <cell r="T45">
            <v>187</v>
          </cell>
          <cell r="V45">
            <v>1045</v>
          </cell>
          <cell r="W45" t="str">
            <v>x</v>
          </cell>
          <cell r="AB45">
            <v>99</v>
          </cell>
          <cell r="AD45">
            <v>16</v>
          </cell>
          <cell r="AE45" t="e">
            <v>#VALUE!</v>
          </cell>
          <cell r="AF45">
            <v>95</v>
          </cell>
          <cell r="AG45">
            <v>90</v>
          </cell>
          <cell r="AH45">
            <v>5</v>
          </cell>
        </row>
        <row r="46">
          <cell r="E46" t="str">
            <v>SIMON BOLIVAR</v>
          </cell>
          <cell r="F46" t="str">
            <v>SHAMBOYACU</v>
          </cell>
          <cell r="G46" t="str">
            <v>PICOTA</v>
          </cell>
          <cell r="H46" t="str">
            <v>II</v>
          </cell>
          <cell r="I46" t="str">
            <v>Caserío</v>
          </cell>
          <cell r="J46" t="str">
            <v>IV</v>
          </cell>
          <cell r="M46">
            <v>58</v>
          </cell>
          <cell r="N46">
            <v>309</v>
          </cell>
          <cell r="O46"/>
          <cell r="P46">
            <v>2.3700737830619989E-2</v>
          </cell>
          <cell r="Q46">
            <v>0.02</v>
          </cell>
          <cell r="R46">
            <v>5.3275862068965516</v>
          </cell>
          <cell r="S46">
            <v>0</v>
          </cell>
          <cell r="T46">
            <v>68</v>
          </cell>
          <cell r="V46">
            <v>432</v>
          </cell>
          <cell r="W46" t="str">
            <v>x</v>
          </cell>
          <cell r="AB46">
            <v>83</v>
          </cell>
          <cell r="AD46">
            <v>4</v>
          </cell>
          <cell r="AE46">
            <v>83</v>
          </cell>
          <cell r="AF46">
            <v>76</v>
          </cell>
          <cell r="AG46">
            <v>66</v>
          </cell>
          <cell r="AH46">
            <v>10</v>
          </cell>
        </row>
        <row r="47">
          <cell r="E47" t="str">
            <v>CHAMBIRA</v>
          </cell>
          <cell r="F47" t="str">
            <v>SHAMBOYACU</v>
          </cell>
          <cell r="G47" t="str">
            <v>PICOTA</v>
          </cell>
          <cell r="H47" t="str">
            <v>II</v>
          </cell>
          <cell r="I47" t="str">
            <v>Caserío</v>
          </cell>
          <cell r="J47" t="str">
            <v>IV</v>
          </cell>
          <cell r="M47">
            <v>15</v>
          </cell>
          <cell r="N47">
            <v>66</v>
          </cell>
          <cell r="O47"/>
          <cell r="P47">
            <v>2.3700737830619989E-2</v>
          </cell>
          <cell r="Q47">
            <v>0.02</v>
          </cell>
          <cell r="R47">
            <v>4.4000000000000004</v>
          </cell>
          <cell r="S47">
            <v>0</v>
          </cell>
          <cell r="T47">
            <v>28</v>
          </cell>
          <cell r="V47">
            <v>120</v>
          </cell>
          <cell r="W47" t="str">
            <v>x</v>
          </cell>
          <cell r="AB47">
            <v>46</v>
          </cell>
          <cell r="AD47">
            <v>2</v>
          </cell>
          <cell r="AE47">
            <v>46</v>
          </cell>
          <cell r="AF47">
            <v>56</v>
          </cell>
          <cell r="AG47">
            <v>48</v>
          </cell>
          <cell r="AH47">
            <v>8</v>
          </cell>
        </row>
        <row r="48">
          <cell r="E48" t="str">
            <v>VISTA ALEGRE</v>
          </cell>
          <cell r="F48" t="str">
            <v>SHAMBOYACU</v>
          </cell>
          <cell r="G48" t="str">
            <v>PICOTA</v>
          </cell>
          <cell r="H48" t="str">
            <v>II</v>
          </cell>
          <cell r="I48" t="str">
            <v>Caserío</v>
          </cell>
          <cell r="J48" t="str">
            <v>IV</v>
          </cell>
          <cell r="K48">
            <v>15</v>
          </cell>
          <cell r="L48">
            <v>34</v>
          </cell>
          <cell r="M48">
            <v>41</v>
          </cell>
          <cell r="N48">
            <v>185</v>
          </cell>
          <cell r="O48">
            <v>0.15161611708025791</v>
          </cell>
          <cell r="P48">
            <v>2.3700737830619989E-2</v>
          </cell>
          <cell r="Q48">
            <v>0.02</v>
          </cell>
          <cell r="R48">
            <v>4.5121951219512191</v>
          </cell>
          <cell r="S48">
            <v>0</v>
          </cell>
          <cell r="T48">
            <v>44</v>
          </cell>
          <cell r="V48">
            <v>200</v>
          </cell>
          <cell r="W48" t="str">
            <v>x</v>
          </cell>
          <cell r="AB48">
            <v>60</v>
          </cell>
          <cell r="AD48">
            <v>6</v>
          </cell>
          <cell r="AE48">
            <v>60</v>
          </cell>
          <cell r="AF48">
            <v>58</v>
          </cell>
          <cell r="AG48">
            <v>50</v>
          </cell>
          <cell r="AH48">
            <v>8</v>
          </cell>
        </row>
        <row r="49">
          <cell r="E49" t="str">
            <v>WINGE</v>
          </cell>
          <cell r="F49" t="str">
            <v>PICOTA</v>
          </cell>
          <cell r="G49" t="str">
            <v>PICOTA</v>
          </cell>
          <cell r="H49" t="str">
            <v>III</v>
          </cell>
          <cell r="I49" t="str">
            <v>Caserío</v>
          </cell>
          <cell r="J49" t="str">
            <v>IV</v>
          </cell>
          <cell r="K49">
            <v>20</v>
          </cell>
          <cell r="L49">
            <v>110</v>
          </cell>
          <cell r="M49">
            <v>69</v>
          </cell>
          <cell r="N49">
            <v>345</v>
          </cell>
          <cell r="O49">
            <v>9.993967523299907E-2</v>
          </cell>
          <cell r="P49">
            <v>1.5895367691256324E-2</v>
          </cell>
          <cell r="Q49">
            <v>1.5895367691256324E-2</v>
          </cell>
          <cell r="R49">
            <v>5</v>
          </cell>
          <cell r="S49">
            <v>0</v>
          </cell>
          <cell r="T49">
            <v>81</v>
          </cell>
          <cell r="V49">
            <v>415</v>
          </cell>
          <cell r="X49" t="str">
            <v>x</v>
          </cell>
          <cell r="AB49">
            <v>53</v>
          </cell>
          <cell r="AD49">
            <v>2</v>
          </cell>
          <cell r="AE49">
            <v>53</v>
          </cell>
        </row>
        <row r="50">
          <cell r="E50" t="str">
            <v>SANTO TOMAS</v>
          </cell>
          <cell r="F50" t="str">
            <v>PUCACACA</v>
          </cell>
          <cell r="G50" t="str">
            <v>PICOTA</v>
          </cell>
          <cell r="H50" t="str">
            <v>III</v>
          </cell>
          <cell r="I50" t="str">
            <v>Caserío</v>
          </cell>
          <cell r="J50" t="str">
            <v>IV</v>
          </cell>
          <cell r="M50">
            <v>30</v>
          </cell>
          <cell r="N50">
            <v>125</v>
          </cell>
          <cell r="P50">
            <v>7.4806959327198275E-3</v>
          </cell>
          <cell r="Q50">
            <v>0.01</v>
          </cell>
          <cell r="R50">
            <v>4.166666666666667</v>
          </cell>
          <cell r="S50">
            <v>0</v>
          </cell>
          <cell r="T50">
            <v>13</v>
          </cell>
          <cell r="V50">
            <v>70</v>
          </cell>
          <cell r="X50" t="str">
            <v>x</v>
          </cell>
        </row>
        <row r="51">
          <cell r="E51" t="str">
            <v>LOS ANGELES</v>
          </cell>
          <cell r="F51" t="str">
            <v>TINGO DE PONAZA</v>
          </cell>
          <cell r="G51" t="str">
            <v>PICOTA</v>
          </cell>
          <cell r="H51" t="str">
            <v>III</v>
          </cell>
          <cell r="I51" t="str">
            <v>Caserío</v>
          </cell>
          <cell r="J51" t="str">
            <v>IV</v>
          </cell>
          <cell r="M51">
            <v>4</v>
          </cell>
          <cell r="N51">
            <v>20</v>
          </cell>
          <cell r="P51">
            <v>6.7859722816379087E-3</v>
          </cell>
          <cell r="Q51">
            <v>0.01</v>
          </cell>
          <cell r="R51">
            <v>5</v>
          </cell>
          <cell r="S51">
            <v>0</v>
          </cell>
          <cell r="T51">
            <v>16</v>
          </cell>
          <cell r="V51">
            <v>68</v>
          </cell>
          <cell r="X51" t="str">
            <v>x</v>
          </cell>
        </row>
        <row r="52">
          <cell r="E52" t="str">
            <v>NUEVA ESPERANZA DE PONAZA</v>
          </cell>
          <cell r="F52" t="str">
            <v>TINGO DE PONAZA</v>
          </cell>
          <cell r="G52" t="str">
            <v>PICOTA</v>
          </cell>
          <cell r="H52" t="str">
            <v>III</v>
          </cell>
          <cell r="I52" t="str">
            <v>Caserío</v>
          </cell>
          <cell r="J52" t="str">
            <v>IV</v>
          </cell>
          <cell r="M52">
            <v>8</v>
          </cell>
          <cell r="N52">
            <v>54</v>
          </cell>
          <cell r="P52">
            <v>6.7859722816379087E-3</v>
          </cell>
          <cell r="Q52">
            <v>0.01</v>
          </cell>
          <cell r="R52">
            <v>6.75</v>
          </cell>
          <cell r="S52">
            <v>0</v>
          </cell>
          <cell r="T52">
            <v>24</v>
          </cell>
          <cell r="V52">
            <v>96</v>
          </cell>
          <cell r="X52" t="str">
            <v>x</v>
          </cell>
        </row>
        <row r="53">
          <cell r="E53" t="str">
            <v>PUCUSHCAYACU</v>
          </cell>
          <cell r="F53" t="str">
            <v>TINGO DE PONAZA</v>
          </cell>
          <cell r="G53" t="str">
            <v>PICOTA</v>
          </cell>
          <cell r="H53" t="str">
            <v>III</v>
          </cell>
          <cell r="I53" t="str">
            <v>Caserío</v>
          </cell>
          <cell r="J53" t="str">
            <v>IV</v>
          </cell>
          <cell r="M53">
            <v>10</v>
          </cell>
          <cell r="N53">
            <v>65</v>
          </cell>
          <cell r="P53">
            <v>6.7859722816379087E-3</v>
          </cell>
          <cell r="Q53">
            <v>0.01</v>
          </cell>
          <cell r="R53">
            <v>6.5</v>
          </cell>
          <cell r="S53">
            <v>0</v>
          </cell>
          <cell r="T53">
            <v>15</v>
          </cell>
          <cell r="V53">
            <v>90</v>
          </cell>
          <cell r="X53" t="str">
            <v>x</v>
          </cell>
        </row>
        <row r="54">
          <cell r="E54" t="str">
            <v>EL PORVENIR</v>
          </cell>
          <cell r="F54" t="str">
            <v>TINGO DE PONAZA</v>
          </cell>
          <cell r="G54" t="str">
            <v>PICOTA</v>
          </cell>
          <cell r="H54" t="str">
            <v>III</v>
          </cell>
          <cell r="I54" t="str">
            <v>Caserío</v>
          </cell>
          <cell r="J54" t="str">
            <v>IV</v>
          </cell>
          <cell r="K54">
            <v>9</v>
          </cell>
          <cell r="L54">
            <v>37</v>
          </cell>
          <cell r="M54">
            <v>4</v>
          </cell>
          <cell r="N54">
            <v>16</v>
          </cell>
          <cell r="P54">
            <v>6.7859722816379087E-3</v>
          </cell>
          <cell r="Q54">
            <v>0.01</v>
          </cell>
          <cell r="R54">
            <v>4</v>
          </cell>
          <cell r="S54">
            <v>0</v>
          </cell>
          <cell r="T54">
            <v>11</v>
          </cell>
          <cell r="V54">
            <v>60</v>
          </cell>
          <cell r="X54" t="str">
            <v>x</v>
          </cell>
        </row>
        <row r="55">
          <cell r="E55" t="str">
            <v>PARAISO DE PONAZA</v>
          </cell>
          <cell r="F55" t="str">
            <v>SHAMBOYACU</v>
          </cell>
          <cell r="G55" t="str">
            <v>PICOTA</v>
          </cell>
          <cell r="H55" t="str">
            <v>III</v>
          </cell>
          <cell r="I55" t="str">
            <v>Caserío</v>
          </cell>
          <cell r="J55" t="str">
            <v>IV</v>
          </cell>
          <cell r="M55">
            <v>10</v>
          </cell>
          <cell r="N55">
            <v>39</v>
          </cell>
          <cell r="P55">
            <v>2.3700737830619989E-2</v>
          </cell>
          <cell r="Q55">
            <v>0.02</v>
          </cell>
          <cell r="R55">
            <v>3.9</v>
          </cell>
          <cell r="S55">
            <v>0</v>
          </cell>
          <cell r="T55">
            <v>15</v>
          </cell>
          <cell r="V55">
            <v>80</v>
          </cell>
          <cell r="X55" t="str">
            <v>x</v>
          </cell>
        </row>
        <row r="56">
          <cell r="E56" t="str">
            <v>NUEVO LORETO</v>
          </cell>
          <cell r="F56" t="str">
            <v>SHAMBOYACU</v>
          </cell>
          <cell r="G56" t="str">
            <v>PICOTA</v>
          </cell>
          <cell r="H56" t="str">
            <v>III</v>
          </cell>
          <cell r="I56" t="str">
            <v>Caserío</v>
          </cell>
          <cell r="J56" t="str">
            <v>IV</v>
          </cell>
          <cell r="K56">
            <v>9</v>
          </cell>
          <cell r="L56">
            <v>37</v>
          </cell>
          <cell r="P56">
            <v>2.3700737830619989E-2</v>
          </cell>
          <cell r="Q56">
            <v>0.02</v>
          </cell>
          <cell r="R56"/>
          <cell r="S56">
            <v>0</v>
          </cell>
          <cell r="T56">
            <v>55</v>
          </cell>
          <cell r="V56">
            <v>240</v>
          </cell>
          <cell r="X56" t="str">
            <v>x</v>
          </cell>
        </row>
        <row r="57">
          <cell r="E57" t="str">
            <v>ALTO PONAZA</v>
          </cell>
          <cell r="F57" t="str">
            <v>SHAMBOYACU</v>
          </cell>
          <cell r="G57" t="str">
            <v>PICOTA</v>
          </cell>
          <cell r="H57" t="str">
            <v>III</v>
          </cell>
          <cell r="I57" t="str">
            <v>Caserío</v>
          </cell>
          <cell r="J57" t="str">
            <v>IV</v>
          </cell>
          <cell r="P57">
            <v>2.3700737830619989E-2</v>
          </cell>
          <cell r="Q57">
            <v>0.02</v>
          </cell>
          <cell r="R57"/>
          <cell r="S57">
            <v>0</v>
          </cell>
          <cell r="T57">
            <v>12</v>
          </cell>
          <cell r="V57">
            <v>52</v>
          </cell>
          <cell r="X57" t="str">
            <v>x</v>
          </cell>
        </row>
        <row r="58">
          <cell r="E58" t="str">
            <v>VALLE LA UNION</v>
          </cell>
          <cell r="F58" t="str">
            <v>SHAMBOYACU</v>
          </cell>
          <cell r="G58" t="str">
            <v>PICOTA</v>
          </cell>
          <cell r="H58" t="str">
            <v>III</v>
          </cell>
          <cell r="I58" t="str">
            <v>Caserío</v>
          </cell>
          <cell r="J58" t="str">
            <v>IV</v>
          </cell>
          <cell r="P58">
            <v>2.3700737830619989E-2</v>
          </cell>
          <cell r="Q58">
            <v>0.02</v>
          </cell>
          <cell r="R58"/>
          <cell r="S58">
            <v>0</v>
          </cell>
          <cell r="T58">
            <v>10</v>
          </cell>
          <cell r="V58">
            <v>66</v>
          </cell>
          <cell r="X58" t="str">
            <v>x</v>
          </cell>
        </row>
        <row r="59">
          <cell r="E59" t="str">
            <v>LIBANO</v>
          </cell>
          <cell r="F59" t="str">
            <v>SHAMBOYACU</v>
          </cell>
          <cell r="G59" t="str">
            <v>PICOTA</v>
          </cell>
          <cell r="H59" t="str">
            <v>III</v>
          </cell>
          <cell r="I59" t="str">
            <v>Caserío</v>
          </cell>
          <cell r="J59" t="str">
            <v>IV</v>
          </cell>
          <cell r="P59">
            <v>2.3700737830619989E-2</v>
          </cell>
          <cell r="Q59">
            <v>0.02</v>
          </cell>
          <cell r="R59"/>
          <cell r="S59">
            <v>0</v>
          </cell>
          <cell r="T59">
            <v>14</v>
          </cell>
          <cell r="V59">
            <v>90</v>
          </cell>
          <cell r="X59" t="str">
            <v>x</v>
          </cell>
        </row>
        <row r="60">
          <cell r="E60" t="str">
            <v>CHOBAYCO</v>
          </cell>
          <cell r="F60" t="str">
            <v>SHAMBOYACU</v>
          </cell>
          <cell r="G60" t="str">
            <v>PICOTA</v>
          </cell>
          <cell r="H60" t="str">
            <v>III</v>
          </cell>
          <cell r="I60" t="str">
            <v>Caserío</v>
          </cell>
          <cell r="J60" t="str">
            <v>IV</v>
          </cell>
          <cell r="P60">
            <v>2.3700737830619989E-2</v>
          </cell>
          <cell r="Q60">
            <v>0.02</v>
          </cell>
          <cell r="R60"/>
          <cell r="S60">
            <v>0</v>
          </cell>
          <cell r="T60">
            <v>11</v>
          </cell>
          <cell r="V60">
            <v>66</v>
          </cell>
          <cell r="X60" t="str">
            <v>x</v>
          </cell>
        </row>
        <row r="61">
          <cell r="E61" t="str">
            <v>NUEVO AMAZONAS</v>
          </cell>
          <cell r="F61" t="str">
            <v>SHAMBOYACU</v>
          </cell>
          <cell r="G61" t="str">
            <v>PICOTA</v>
          </cell>
          <cell r="H61" t="str">
            <v>III</v>
          </cell>
          <cell r="I61" t="str">
            <v>Caserío</v>
          </cell>
          <cell r="J61" t="str">
            <v>IV</v>
          </cell>
          <cell r="P61">
            <v>2.3700737830619989E-2</v>
          </cell>
          <cell r="Q61">
            <v>0.02</v>
          </cell>
          <cell r="R61"/>
          <cell r="S61">
            <v>0</v>
          </cell>
          <cell r="T61">
            <v>18</v>
          </cell>
          <cell r="V61">
            <v>114</v>
          </cell>
          <cell r="X61" t="str">
            <v>x</v>
          </cell>
        </row>
        <row r="62">
          <cell r="E62" t="str">
            <v>SANTA ROSA DE PONAZA</v>
          </cell>
          <cell r="F62" t="str">
            <v>SHAMBOYACU</v>
          </cell>
          <cell r="G62" t="str">
            <v>PICOTA</v>
          </cell>
          <cell r="H62" t="str">
            <v>III</v>
          </cell>
          <cell r="I62" t="str">
            <v>Caserío</v>
          </cell>
          <cell r="J62" t="str">
            <v>IV</v>
          </cell>
          <cell r="K62">
            <v>5</v>
          </cell>
          <cell r="L62">
            <v>26</v>
          </cell>
          <cell r="M62">
            <v>3</v>
          </cell>
          <cell r="N62">
            <v>16</v>
          </cell>
          <cell r="P62">
            <v>2.3700737830619989E-2</v>
          </cell>
          <cell r="Q62">
            <v>0.02</v>
          </cell>
          <cell r="R62">
            <v>5.333333333333333</v>
          </cell>
          <cell r="S62">
            <v>0</v>
          </cell>
          <cell r="T62">
            <v>30</v>
          </cell>
          <cell r="V62">
            <v>155</v>
          </cell>
          <cell r="X62" t="str">
            <v>x</v>
          </cell>
        </row>
        <row r="63">
          <cell r="E63" t="str">
            <v>NUEVO ALIANZA</v>
          </cell>
          <cell r="F63" t="str">
            <v>SHAMBOYACU</v>
          </cell>
          <cell r="G63" t="str">
            <v>PICOTA</v>
          </cell>
          <cell r="H63" t="str">
            <v>III</v>
          </cell>
          <cell r="I63" t="str">
            <v>Caserío</v>
          </cell>
          <cell r="J63" t="str">
            <v>IV</v>
          </cell>
          <cell r="P63">
            <v>2.3700737830619989E-2</v>
          </cell>
          <cell r="Q63">
            <v>0.02</v>
          </cell>
          <cell r="R63"/>
          <cell r="S63">
            <v>0</v>
          </cell>
          <cell r="T63">
            <v>5</v>
          </cell>
          <cell r="V63">
            <v>30</v>
          </cell>
          <cell r="X63" t="str">
            <v>x</v>
          </cell>
        </row>
        <row r="64">
          <cell r="E64" t="str">
            <v>EJE BELLAVISTA-SAPOSOA</v>
          </cell>
          <cell r="S64">
            <v>0</v>
          </cell>
        </row>
        <row r="65">
          <cell r="E65" t="str">
            <v>SAPOSOA</v>
          </cell>
          <cell r="F65" t="str">
            <v>SAPOSOA</v>
          </cell>
          <cell r="G65" t="str">
            <v>HUALLAGA</v>
          </cell>
          <cell r="H65" t="str">
            <v>I</v>
          </cell>
          <cell r="I65" t="str">
            <v>Ciudad</v>
          </cell>
          <cell r="J65" t="str">
            <v>I</v>
          </cell>
          <cell r="K65">
            <v>859</v>
          </cell>
          <cell r="L65">
            <v>4509</v>
          </cell>
          <cell r="M65">
            <v>1564</v>
          </cell>
          <cell r="N65">
            <v>9337</v>
          </cell>
          <cell r="O65">
            <v>6.2536669302108328E-2</v>
          </cell>
          <cell r="P65">
            <v>1.9477409475915586E-2</v>
          </cell>
          <cell r="Q65">
            <v>1.9477409475915586E-2</v>
          </cell>
          <cell r="R65">
            <v>5.9699488491048589</v>
          </cell>
          <cell r="S65">
            <v>1773</v>
          </cell>
          <cell r="T65">
            <v>1773</v>
          </cell>
          <cell r="U65">
            <v>10584</v>
          </cell>
          <cell r="V65">
            <v>10584</v>
          </cell>
          <cell r="AA65" t="str">
            <v>L.P. Y R.P. ejecutadas</v>
          </cell>
          <cell r="AB65">
            <v>66</v>
          </cell>
          <cell r="AD65">
            <v>39</v>
          </cell>
          <cell r="AE65">
            <v>66</v>
          </cell>
          <cell r="AF65">
            <v>78</v>
          </cell>
          <cell r="AG65">
            <v>64</v>
          </cell>
          <cell r="AH65">
            <v>14</v>
          </cell>
        </row>
        <row r="66">
          <cell r="E66" t="str">
            <v>PISCOYACU</v>
          </cell>
          <cell r="F66" t="str">
            <v>PISCOYACU</v>
          </cell>
          <cell r="G66" t="str">
            <v>HUALLAGA</v>
          </cell>
          <cell r="H66" t="str">
            <v>I</v>
          </cell>
          <cell r="I66" t="str">
            <v>Pueblo</v>
          </cell>
          <cell r="J66" t="str">
            <v>II</v>
          </cell>
          <cell r="K66">
            <v>196</v>
          </cell>
          <cell r="L66">
            <v>1075</v>
          </cell>
          <cell r="M66">
            <v>336</v>
          </cell>
          <cell r="N66">
            <v>1946</v>
          </cell>
          <cell r="O66">
            <v>5.0697900146021047E-2</v>
          </cell>
          <cell r="P66">
            <v>3.481787284978588E-2</v>
          </cell>
          <cell r="Q66">
            <v>0.02</v>
          </cell>
          <cell r="R66">
            <v>5.791666666666667</v>
          </cell>
          <cell r="S66">
            <v>285</v>
          </cell>
          <cell r="T66">
            <v>285</v>
          </cell>
          <cell r="U66">
            <v>1650</v>
          </cell>
          <cell r="V66">
            <v>1650</v>
          </cell>
          <cell r="AA66" t="str">
            <v>L.P. Y R.P. ejecutadas</v>
          </cell>
          <cell r="AB66">
            <v>118</v>
          </cell>
          <cell r="AD66">
            <v>21</v>
          </cell>
          <cell r="AE66">
            <v>118</v>
          </cell>
          <cell r="AF66">
            <v>67</v>
          </cell>
          <cell r="AG66">
            <v>59</v>
          </cell>
          <cell r="AH66">
            <v>8</v>
          </cell>
        </row>
        <row r="67">
          <cell r="E67" t="str">
            <v>EL ESLABON</v>
          </cell>
          <cell r="F67" t="str">
            <v>EL ESLABON</v>
          </cell>
          <cell r="G67" t="str">
            <v>HUALLAGA</v>
          </cell>
          <cell r="H67" t="str">
            <v>I</v>
          </cell>
          <cell r="I67" t="str">
            <v>Pueblo</v>
          </cell>
          <cell r="J67" t="str">
            <v>II</v>
          </cell>
          <cell r="K67">
            <v>212</v>
          </cell>
          <cell r="L67">
            <v>1077</v>
          </cell>
          <cell r="M67">
            <v>397</v>
          </cell>
          <cell r="N67">
            <v>1281</v>
          </cell>
          <cell r="O67">
            <v>1.4560116091485442E-2</v>
          </cell>
          <cell r="P67">
            <v>9.2676169816334752E-3</v>
          </cell>
          <cell r="Q67">
            <v>0.01</v>
          </cell>
          <cell r="R67">
            <v>3.2267002518891688</v>
          </cell>
          <cell r="S67">
            <v>305</v>
          </cell>
          <cell r="T67">
            <v>305</v>
          </cell>
          <cell r="U67">
            <v>984</v>
          </cell>
          <cell r="V67">
            <v>984</v>
          </cell>
          <cell r="AA67" t="str">
            <v>L.P. Y R.P. ejecutadas</v>
          </cell>
          <cell r="AB67">
            <v>68</v>
          </cell>
          <cell r="AD67">
            <v>15</v>
          </cell>
          <cell r="AE67" t="e">
            <v>#VALUE!</v>
          </cell>
          <cell r="AF67">
            <v>67</v>
          </cell>
          <cell r="AG67">
            <v>51</v>
          </cell>
          <cell r="AH67">
            <v>16</v>
          </cell>
        </row>
        <row r="68">
          <cell r="E68" t="str">
            <v>SACANCHE</v>
          </cell>
          <cell r="F68" t="str">
            <v>SACANCHE</v>
          </cell>
          <cell r="G68" t="str">
            <v>HUALLAGA</v>
          </cell>
          <cell r="H68" t="str">
            <v>I</v>
          </cell>
          <cell r="I68" t="str">
            <v>Pueblo</v>
          </cell>
          <cell r="J68" t="str">
            <v>II</v>
          </cell>
          <cell r="K68">
            <v>235</v>
          </cell>
          <cell r="L68">
            <v>1202</v>
          </cell>
          <cell r="M68">
            <v>287</v>
          </cell>
          <cell r="N68">
            <v>1318</v>
          </cell>
          <cell r="O68">
            <v>7.7069300033205668E-3</v>
          </cell>
          <cell r="P68">
            <v>1.5824514508401943E-2</v>
          </cell>
          <cell r="Q68">
            <v>1.5824514508401943E-2</v>
          </cell>
          <cell r="R68">
            <v>4.5923344947735192</v>
          </cell>
          <cell r="S68">
            <v>357</v>
          </cell>
          <cell r="T68">
            <v>357</v>
          </cell>
          <cell r="U68">
            <v>1639</v>
          </cell>
          <cell r="V68">
            <v>1639</v>
          </cell>
          <cell r="AA68" t="str">
            <v>L.P. Y R.P. ejecutadas</v>
          </cell>
          <cell r="AB68">
            <v>46</v>
          </cell>
          <cell r="AD68">
            <v>10</v>
          </cell>
          <cell r="AE68">
            <v>46</v>
          </cell>
          <cell r="AF68">
            <v>45</v>
          </cell>
          <cell r="AG68">
            <v>41</v>
          </cell>
          <cell r="AH68">
            <v>4</v>
          </cell>
        </row>
        <row r="69">
          <cell r="E69" t="str">
            <v>TINGO DE SAPOSOA</v>
          </cell>
          <cell r="F69" t="str">
            <v>TINGO DE SAPOSOA</v>
          </cell>
          <cell r="G69" t="str">
            <v>HUALLAGA</v>
          </cell>
          <cell r="H69" t="str">
            <v>I</v>
          </cell>
          <cell r="I69" t="str">
            <v>Pueblo</v>
          </cell>
          <cell r="J69" t="str">
            <v>III</v>
          </cell>
          <cell r="K69">
            <v>145</v>
          </cell>
          <cell r="L69">
            <v>809</v>
          </cell>
          <cell r="M69">
            <v>195</v>
          </cell>
          <cell r="N69">
            <v>864</v>
          </cell>
          <cell r="O69">
            <v>5.4962033211771733E-3</v>
          </cell>
          <cell r="P69">
            <v>4.5372043178173449E-3</v>
          </cell>
          <cell r="Q69">
            <v>0.01</v>
          </cell>
          <cell r="R69">
            <v>4.430769230769231</v>
          </cell>
          <cell r="S69">
            <v>242</v>
          </cell>
          <cell r="T69">
            <v>242</v>
          </cell>
          <cell r="U69">
            <v>1072</v>
          </cell>
          <cell r="V69">
            <v>1072</v>
          </cell>
          <cell r="AA69" t="str">
            <v>L.P. Y R.P. ejecutadas</v>
          </cell>
          <cell r="AB69">
            <v>107</v>
          </cell>
          <cell r="AD69">
            <v>4</v>
          </cell>
          <cell r="AE69">
            <v>107</v>
          </cell>
          <cell r="AF69">
            <v>109</v>
          </cell>
          <cell r="AG69">
            <v>106</v>
          </cell>
          <cell r="AH69">
            <v>3</v>
          </cell>
        </row>
        <row r="70">
          <cell r="E70" t="str">
            <v>SAN REGIS</v>
          </cell>
          <cell r="F70" t="str">
            <v>SAPOSOA</v>
          </cell>
          <cell r="G70" t="str">
            <v>HUALLAGA</v>
          </cell>
          <cell r="H70" t="str">
            <v>II</v>
          </cell>
          <cell r="I70" t="str">
            <v>Pueblo</v>
          </cell>
          <cell r="J70" t="str">
            <v>III</v>
          </cell>
          <cell r="K70">
            <v>62</v>
          </cell>
          <cell r="L70">
            <v>400</v>
          </cell>
          <cell r="M70">
            <v>119</v>
          </cell>
          <cell r="N70">
            <v>531</v>
          </cell>
          <cell r="O70">
            <v>2.3889000553120709E-2</v>
          </cell>
          <cell r="P70">
            <v>1.9477409475915586E-2</v>
          </cell>
          <cell r="Q70">
            <v>1.9477409475915586E-2</v>
          </cell>
          <cell r="R70">
            <v>4.46218487394958</v>
          </cell>
          <cell r="S70">
            <v>0</v>
          </cell>
          <cell r="T70">
            <v>144</v>
          </cell>
          <cell r="U70">
            <v>0</v>
          </cell>
          <cell r="V70">
            <v>644</v>
          </cell>
          <cell r="X70" t="str">
            <v>x</v>
          </cell>
          <cell r="AB70">
            <v>92</v>
          </cell>
          <cell r="AE70">
            <v>92</v>
          </cell>
          <cell r="AF70">
            <v>110</v>
          </cell>
          <cell r="AG70">
            <v>106</v>
          </cell>
          <cell r="AH70">
            <v>4</v>
          </cell>
        </row>
        <row r="71">
          <cell r="E71" t="str">
            <v>PASARRAYA</v>
          </cell>
          <cell r="F71" t="str">
            <v>ALTO SAPOSOA</v>
          </cell>
          <cell r="G71" t="str">
            <v>HUALLAGA</v>
          </cell>
          <cell r="H71" t="str">
            <v>II</v>
          </cell>
          <cell r="I71" t="str">
            <v>Pueblo</v>
          </cell>
          <cell r="J71" t="str">
            <v>III</v>
          </cell>
          <cell r="K71">
            <v>102</v>
          </cell>
          <cell r="L71">
            <v>561</v>
          </cell>
          <cell r="M71">
            <v>161</v>
          </cell>
          <cell r="N71">
            <v>936</v>
          </cell>
          <cell r="O71">
            <v>4.3580804858179611E-2</v>
          </cell>
          <cell r="P71">
            <v>1.8581135953827932E-2</v>
          </cell>
          <cell r="Q71">
            <v>1.8581135953827932E-2</v>
          </cell>
          <cell r="R71">
            <v>5.8136645962732922</v>
          </cell>
          <cell r="S71">
            <v>0</v>
          </cell>
          <cell r="T71">
            <v>194</v>
          </cell>
          <cell r="U71">
            <v>0</v>
          </cell>
          <cell r="V71">
            <v>1125</v>
          </cell>
          <cell r="X71" t="str">
            <v>x</v>
          </cell>
          <cell r="AB71">
            <v>36</v>
          </cell>
          <cell r="AD71">
            <v>20</v>
          </cell>
          <cell r="AE71">
            <v>36</v>
          </cell>
          <cell r="AF71">
            <v>30</v>
          </cell>
          <cell r="AG71">
            <v>27</v>
          </cell>
          <cell r="AH71">
            <v>3</v>
          </cell>
        </row>
        <row r="72">
          <cell r="E72" t="str">
            <v>SHIMA</v>
          </cell>
          <cell r="F72" t="str">
            <v>SAPOSOA</v>
          </cell>
          <cell r="G72" t="str">
            <v>HUALLAGA</v>
          </cell>
          <cell r="H72" t="str">
            <v>III</v>
          </cell>
          <cell r="I72" t="str">
            <v>Caserío</v>
          </cell>
          <cell r="J72" t="str">
            <v>IV</v>
          </cell>
          <cell r="K72">
            <v>25</v>
          </cell>
          <cell r="L72">
            <v>137</v>
          </cell>
          <cell r="M72">
            <v>50</v>
          </cell>
          <cell r="N72">
            <v>232</v>
          </cell>
          <cell r="O72">
            <v>4.4874069486285473E-2</v>
          </cell>
          <cell r="P72">
            <v>1.9477409475915586E-2</v>
          </cell>
          <cell r="Q72">
            <v>1.9477409475915586E-2</v>
          </cell>
          <cell r="R72">
            <v>4.6399999999999997</v>
          </cell>
          <cell r="S72">
            <v>0</v>
          </cell>
          <cell r="T72">
            <v>61</v>
          </cell>
          <cell r="U72">
            <v>0</v>
          </cell>
          <cell r="V72">
            <v>281</v>
          </cell>
          <cell r="Y72" t="str">
            <v>x</v>
          </cell>
          <cell r="AB72">
            <v>48</v>
          </cell>
          <cell r="AD72">
            <v>1</v>
          </cell>
          <cell r="AE72">
            <v>48</v>
          </cell>
          <cell r="AF72">
            <v>53</v>
          </cell>
          <cell r="AG72">
            <v>47</v>
          </cell>
          <cell r="AH72">
            <v>6</v>
          </cell>
        </row>
        <row r="73">
          <cell r="E73" t="str">
            <v>TANGER</v>
          </cell>
          <cell r="F73" t="str">
            <v>SAPOSOA</v>
          </cell>
          <cell r="G73" t="str">
            <v>HUALLAGA</v>
          </cell>
          <cell r="H73" t="str">
            <v>III</v>
          </cell>
          <cell r="I73" t="str">
            <v>Caserío</v>
          </cell>
          <cell r="J73" t="str">
            <v>IV</v>
          </cell>
          <cell r="K73">
            <v>18</v>
          </cell>
          <cell r="L73">
            <v>65</v>
          </cell>
          <cell r="M73">
            <v>34</v>
          </cell>
          <cell r="N73">
            <v>197</v>
          </cell>
          <cell r="O73">
            <v>9.6804960074493129E-2</v>
          </cell>
          <cell r="P73">
            <v>1.9477409475915586E-2</v>
          </cell>
          <cell r="Q73">
            <v>1.9477409475915586E-2</v>
          </cell>
          <cell r="R73">
            <v>5.7941176470588234</v>
          </cell>
          <cell r="S73">
            <v>0</v>
          </cell>
          <cell r="T73">
            <v>41</v>
          </cell>
          <cell r="U73">
            <v>0</v>
          </cell>
          <cell r="V73">
            <v>239</v>
          </cell>
          <cell r="Y73" t="str">
            <v>x</v>
          </cell>
          <cell r="AB73">
            <v>44</v>
          </cell>
          <cell r="AD73">
            <v>1</v>
          </cell>
          <cell r="AE73">
            <v>44</v>
          </cell>
          <cell r="AF73">
            <v>54</v>
          </cell>
          <cell r="AG73">
            <v>42</v>
          </cell>
          <cell r="AH73">
            <v>12</v>
          </cell>
        </row>
        <row r="74">
          <cell r="E74" t="str">
            <v>YACUSISA</v>
          </cell>
          <cell r="F74" t="str">
            <v>ALTO SAPOSOA</v>
          </cell>
          <cell r="G74" t="str">
            <v>HUALLAGA</v>
          </cell>
          <cell r="H74" t="str">
            <v>III</v>
          </cell>
          <cell r="I74" t="str">
            <v>Pueblo</v>
          </cell>
          <cell r="J74" t="str">
            <v>IV</v>
          </cell>
          <cell r="K74">
            <v>23</v>
          </cell>
          <cell r="L74">
            <v>105</v>
          </cell>
          <cell r="M74">
            <v>67</v>
          </cell>
          <cell r="N74">
            <v>332</v>
          </cell>
          <cell r="O74">
            <v>0.1006833544408674</v>
          </cell>
          <cell r="P74">
            <v>1.8581135953827932E-2</v>
          </cell>
          <cell r="Q74">
            <v>1.8581135953827932E-2</v>
          </cell>
          <cell r="R74">
            <v>4.955223880597015</v>
          </cell>
          <cell r="S74">
            <v>0</v>
          </cell>
          <cell r="T74">
            <v>81</v>
          </cell>
          <cell r="U74">
            <v>0</v>
          </cell>
          <cell r="V74">
            <v>399</v>
          </cell>
          <cell r="Y74" t="str">
            <v>x</v>
          </cell>
          <cell r="AB74">
            <v>63</v>
          </cell>
          <cell r="AD74">
            <v>3</v>
          </cell>
          <cell r="AE74">
            <v>63</v>
          </cell>
          <cell r="AF74">
            <v>74</v>
          </cell>
          <cell r="AG74">
            <v>64</v>
          </cell>
          <cell r="AH74">
            <v>10</v>
          </cell>
        </row>
        <row r="75">
          <cell r="E75" t="str">
            <v>JUANJUI</v>
          </cell>
          <cell r="F75" t="str">
            <v>JUANJUI</v>
          </cell>
          <cell r="G75" t="str">
            <v>M. CACERES</v>
          </cell>
          <cell r="H75" t="str">
            <v>I</v>
          </cell>
          <cell r="I75" t="str">
            <v>Ciudad</v>
          </cell>
          <cell r="J75" t="str">
            <v>I</v>
          </cell>
          <cell r="K75">
            <v>2633</v>
          </cell>
          <cell r="L75">
            <v>15969</v>
          </cell>
          <cell r="M75">
            <v>3906</v>
          </cell>
          <cell r="N75">
            <v>23643</v>
          </cell>
          <cell r="O75">
            <v>3.3242048505781607E-2</v>
          </cell>
          <cell r="P75">
            <v>5.6026311435872556E-2</v>
          </cell>
          <cell r="Q75">
            <v>0.02</v>
          </cell>
          <cell r="R75">
            <v>6.0529953917050694</v>
          </cell>
          <cell r="S75">
            <v>5616</v>
          </cell>
          <cell r="T75">
            <v>5616</v>
          </cell>
          <cell r="U75">
            <v>33993</v>
          </cell>
          <cell r="V75">
            <v>33993</v>
          </cell>
          <cell r="AA75" t="str">
            <v>L.P. Y R.P. ejecutadas</v>
          </cell>
          <cell r="AB75">
            <v>40</v>
          </cell>
          <cell r="AD75">
            <v>158</v>
          </cell>
          <cell r="AE75" t="e">
            <v>#VALUE!</v>
          </cell>
          <cell r="AF75">
            <v>55</v>
          </cell>
          <cell r="AG75">
            <v>45</v>
          </cell>
          <cell r="AH75">
            <v>10</v>
          </cell>
        </row>
        <row r="76">
          <cell r="E76" t="str">
            <v>HUAYABAMBA</v>
          </cell>
          <cell r="F76" t="str">
            <v>JUANJUI</v>
          </cell>
          <cell r="G76" t="str">
            <v>M. CACERES</v>
          </cell>
          <cell r="H76" t="str">
            <v>III</v>
          </cell>
          <cell r="I76" t="str">
            <v>Caserío</v>
          </cell>
          <cell r="J76" t="str">
            <v>IV</v>
          </cell>
          <cell r="K76">
            <v>56</v>
          </cell>
          <cell r="L76">
            <v>261</v>
          </cell>
          <cell r="M76">
            <v>58</v>
          </cell>
          <cell r="N76">
            <v>329</v>
          </cell>
          <cell r="O76">
            <v>1.9482125862502198E-2</v>
          </cell>
          <cell r="P76">
            <v>5.6026311435872556E-2</v>
          </cell>
          <cell r="Q76">
            <v>0.02</v>
          </cell>
          <cell r="R76">
            <v>5.6724137931034484</v>
          </cell>
          <cell r="S76">
            <v>0</v>
          </cell>
          <cell r="T76">
            <v>71</v>
          </cell>
          <cell r="U76">
            <v>0</v>
          </cell>
          <cell r="V76">
            <v>401</v>
          </cell>
          <cell r="Y76" t="str">
            <v>x</v>
          </cell>
          <cell r="AB76">
            <v>113</v>
          </cell>
          <cell r="AD76">
            <v>5</v>
          </cell>
          <cell r="AE76">
            <v>113</v>
          </cell>
          <cell r="AF76">
            <v>152</v>
          </cell>
          <cell r="AG76">
            <v>132</v>
          </cell>
          <cell r="AH76">
            <v>20</v>
          </cell>
        </row>
        <row r="77">
          <cell r="E77" t="str">
            <v>PACHIZA</v>
          </cell>
          <cell r="F77" t="str">
            <v>PACHIZA</v>
          </cell>
          <cell r="G77" t="str">
            <v>M. CACERES</v>
          </cell>
          <cell r="H77" t="str">
            <v>III</v>
          </cell>
          <cell r="I77" t="str">
            <v>Pueblo</v>
          </cell>
          <cell r="J77" t="str">
            <v>III</v>
          </cell>
          <cell r="K77">
            <v>179</v>
          </cell>
          <cell r="L77">
            <v>884</v>
          </cell>
          <cell r="M77">
            <v>331</v>
          </cell>
          <cell r="N77">
            <v>1332</v>
          </cell>
          <cell r="O77">
            <v>3.4755309031506032E-2</v>
          </cell>
          <cell r="P77">
            <v>3.3244618505706924E-2</v>
          </cell>
          <cell r="Q77">
            <v>0.02</v>
          </cell>
          <cell r="R77">
            <v>4.02416918429003</v>
          </cell>
          <cell r="S77">
            <v>0</v>
          </cell>
          <cell r="T77">
            <v>404</v>
          </cell>
          <cell r="U77">
            <v>0</v>
          </cell>
          <cell r="V77">
            <v>1624</v>
          </cell>
          <cell r="Y77" t="str">
            <v>x</v>
          </cell>
          <cell r="AB77">
            <v>65</v>
          </cell>
          <cell r="AD77">
            <v>12</v>
          </cell>
          <cell r="AE77">
            <v>65</v>
          </cell>
          <cell r="AF77">
            <v>80</v>
          </cell>
          <cell r="AG77">
            <v>74</v>
          </cell>
          <cell r="AH77">
            <v>6</v>
          </cell>
        </row>
        <row r="78">
          <cell r="E78" t="str">
            <v>HUICUNGO</v>
          </cell>
          <cell r="F78" t="str">
            <v>HUICUNGO</v>
          </cell>
          <cell r="G78" t="str">
            <v>M. CACERES</v>
          </cell>
          <cell r="H78" t="str">
            <v>III</v>
          </cell>
          <cell r="I78" t="str">
            <v>Pueblo</v>
          </cell>
          <cell r="J78" t="str">
            <v>II</v>
          </cell>
          <cell r="K78">
            <v>315</v>
          </cell>
          <cell r="L78">
            <v>1627</v>
          </cell>
          <cell r="M78">
            <v>409</v>
          </cell>
          <cell r="N78">
            <v>1798</v>
          </cell>
          <cell r="O78">
            <v>8.3628673480569127E-3</v>
          </cell>
          <cell r="P78">
            <v>2.1386587947590741E-2</v>
          </cell>
          <cell r="Q78">
            <v>0.02</v>
          </cell>
          <cell r="R78">
            <v>4.3960880195599019</v>
          </cell>
          <cell r="S78">
            <v>0</v>
          </cell>
          <cell r="T78">
            <v>499</v>
          </cell>
          <cell r="U78">
            <v>0</v>
          </cell>
          <cell r="V78">
            <v>2192</v>
          </cell>
          <cell r="Y78" t="str">
            <v>x</v>
          </cell>
          <cell r="AB78">
            <v>53</v>
          </cell>
          <cell r="AD78">
            <v>11</v>
          </cell>
          <cell r="AE78">
            <v>53</v>
          </cell>
          <cell r="AF78">
            <v>60</v>
          </cell>
          <cell r="AG78">
            <v>53</v>
          </cell>
          <cell r="AH78">
            <v>7</v>
          </cell>
        </row>
        <row r="79">
          <cell r="E79" t="str">
            <v>CAYENA</v>
          </cell>
          <cell r="F79" t="str">
            <v>JUANJUI</v>
          </cell>
          <cell r="G79" t="str">
            <v>M. CACERES</v>
          </cell>
          <cell r="H79" t="str">
            <v>III</v>
          </cell>
          <cell r="I79" t="str">
            <v>Caserío</v>
          </cell>
          <cell r="J79" t="str">
            <v>IV</v>
          </cell>
          <cell r="K79">
            <v>40</v>
          </cell>
          <cell r="L79">
            <v>247</v>
          </cell>
          <cell r="M79">
            <v>64</v>
          </cell>
          <cell r="N79">
            <v>371</v>
          </cell>
          <cell r="O79">
            <v>3.4482336713127504E-2</v>
          </cell>
          <cell r="P79">
            <v>5.6026311435872556E-2</v>
          </cell>
          <cell r="Q79">
            <v>0.02</v>
          </cell>
          <cell r="R79">
            <v>5.796875</v>
          </cell>
          <cell r="S79">
            <v>0</v>
          </cell>
          <cell r="T79">
            <v>78</v>
          </cell>
          <cell r="U79">
            <v>0</v>
          </cell>
          <cell r="V79">
            <v>452</v>
          </cell>
          <cell r="Y79" t="str">
            <v>x</v>
          </cell>
          <cell r="AB79">
            <v>50</v>
          </cell>
          <cell r="AD79">
            <v>2</v>
          </cell>
          <cell r="AE79">
            <v>50</v>
          </cell>
          <cell r="AF79">
            <v>67</v>
          </cell>
          <cell r="AG79">
            <v>57</v>
          </cell>
          <cell r="AH79">
            <v>10</v>
          </cell>
        </row>
        <row r="80">
          <cell r="E80" t="str">
            <v>QUINILLA</v>
          </cell>
          <cell r="F80" t="str">
            <v>JUANJUI</v>
          </cell>
          <cell r="G80" t="str">
            <v>M. CACERES</v>
          </cell>
          <cell r="H80" t="str">
            <v>III</v>
          </cell>
          <cell r="I80" t="str">
            <v>Caserío</v>
          </cell>
          <cell r="J80" t="str">
            <v>IV</v>
          </cell>
          <cell r="K80">
            <v>48</v>
          </cell>
          <cell r="L80">
            <v>280</v>
          </cell>
          <cell r="M80">
            <v>65</v>
          </cell>
          <cell r="N80">
            <v>267</v>
          </cell>
          <cell r="O80">
            <v>-3.9539080374106916E-3</v>
          </cell>
          <cell r="P80">
            <v>5.6026311435872556E-2</v>
          </cell>
          <cell r="Q80">
            <v>0.02</v>
          </cell>
          <cell r="R80">
            <v>4.1076923076923073</v>
          </cell>
          <cell r="S80">
            <v>0</v>
          </cell>
          <cell r="T80">
            <v>79</v>
          </cell>
          <cell r="U80">
            <v>0</v>
          </cell>
          <cell r="V80">
            <v>325</v>
          </cell>
          <cell r="Y80" t="str">
            <v>x</v>
          </cell>
          <cell r="AB80">
            <v>41</v>
          </cell>
          <cell r="AD80">
            <v>2</v>
          </cell>
          <cell r="AE80">
            <v>41</v>
          </cell>
          <cell r="AF80">
            <v>66</v>
          </cell>
          <cell r="AG80">
            <v>47</v>
          </cell>
          <cell r="AH80">
            <v>19</v>
          </cell>
        </row>
        <row r="81">
          <cell r="E81" t="str">
            <v>HUINGUILLO</v>
          </cell>
          <cell r="F81" t="str">
            <v>JUANJUI</v>
          </cell>
          <cell r="G81" t="str">
            <v>M. CACERES</v>
          </cell>
          <cell r="H81" t="str">
            <v>III</v>
          </cell>
          <cell r="I81" t="str">
            <v>Caserío</v>
          </cell>
          <cell r="J81" t="str">
            <v>IV</v>
          </cell>
          <cell r="K81">
            <v>42</v>
          </cell>
          <cell r="L81">
            <v>228</v>
          </cell>
          <cell r="M81">
            <v>62</v>
          </cell>
          <cell r="N81">
            <v>256</v>
          </cell>
          <cell r="O81">
            <v>9.6993883901836941E-3</v>
          </cell>
          <cell r="P81">
            <v>5.6026311435872556E-2</v>
          </cell>
          <cell r="Q81">
            <v>0.02</v>
          </cell>
          <cell r="R81">
            <v>4.129032258064516</v>
          </cell>
          <cell r="S81">
            <v>0</v>
          </cell>
          <cell r="T81">
            <v>76</v>
          </cell>
          <cell r="U81">
            <v>0</v>
          </cell>
          <cell r="V81">
            <v>312</v>
          </cell>
          <cell r="Y81" t="str">
            <v>x</v>
          </cell>
          <cell r="AB81">
            <v>72</v>
          </cell>
          <cell r="AD81">
            <v>2</v>
          </cell>
          <cell r="AE81">
            <v>72</v>
          </cell>
          <cell r="AF81">
            <v>80</v>
          </cell>
          <cell r="AG81">
            <v>74</v>
          </cell>
          <cell r="AH81">
            <v>6</v>
          </cell>
        </row>
        <row r="82">
          <cell r="E82" t="str">
            <v>BALZAYACU</v>
          </cell>
          <cell r="F82" t="str">
            <v>CAMPANILLA</v>
          </cell>
          <cell r="G82" t="str">
            <v>M. CACERES</v>
          </cell>
          <cell r="H82" t="str">
            <v>III</v>
          </cell>
          <cell r="I82" t="str">
            <v>Pueblo</v>
          </cell>
          <cell r="J82" t="str">
            <v>III</v>
          </cell>
          <cell r="K82">
            <v>62</v>
          </cell>
          <cell r="L82">
            <v>362</v>
          </cell>
          <cell r="M82">
            <v>106</v>
          </cell>
          <cell r="N82">
            <v>637</v>
          </cell>
          <cell r="O82">
            <v>4.8220313886153443E-2</v>
          </cell>
          <cell r="P82">
            <v>5.8270467224534883E-2</v>
          </cell>
          <cell r="Q82">
            <v>0.02</v>
          </cell>
          <cell r="R82">
            <v>6.0094339622641506</v>
          </cell>
          <cell r="S82">
            <v>0</v>
          </cell>
          <cell r="T82">
            <v>129</v>
          </cell>
          <cell r="U82">
            <v>0</v>
          </cell>
          <cell r="V82">
            <v>776</v>
          </cell>
          <cell r="Y82" t="str">
            <v>x</v>
          </cell>
          <cell r="AB82">
            <v>30</v>
          </cell>
          <cell r="AD82">
            <v>5</v>
          </cell>
          <cell r="AE82">
            <v>30</v>
          </cell>
          <cell r="AF82">
            <v>75</v>
          </cell>
          <cell r="AG82">
            <v>71</v>
          </cell>
          <cell r="AH82">
            <v>4</v>
          </cell>
        </row>
        <row r="83">
          <cell r="E83" t="str">
            <v>CAMPANILLA</v>
          </cell>
          <cell r="F83" t="str">
            <v>CAMPANILLA</v>
          </cell>
          <cell r="G83" t="str">
            <v>M. CACERES</v>
          </cell>
          <cell r="H83" t="str">
            <v>III</v>
          </cell>
          <cell r="I83" t="str">
            <v>Pueblo</v>
          </cell>
          <cell r="J83" t="str">
            <v>II</v>
          </cell>
          <cell r="K83">
            <v>153</v>
          </cell>
          <cell r="L83">
            <v>945</v>
          </cell>
          <cell r="M83">
            <v>571</v>
          </cell>
          <cell r="N83">
            <v>3305</v>
          </cell>
          <cell r="O83">
            <v>0.10997101466180714</v>
          </cell>
          <cell r="P83">
            <v>5.8270467224534883E-2</v>
          </cell>
          <cell r="Q83">
            <v>0.02</v>
          </cell>
          <cell r="R83">
            <v>5.7880910683012257</v>
          </cell>
          <cell r="S83">
            <v>0</v>
          </cell>
          <cell r="T83">
            <v>696</v>
          </cell>
          <cell r="U83">
            <v>0</v>
          </cell>
          <cell r="V83">
            <v>4029</v>
          </cell>
          <cell r="Y83" t="str">
            <v>x</v>
          </cell>
          <cell r="AB83">
            <v>34</v>
          </cell>
          <cell r="AD83">
            <v>15</v>
          </cell>
          <cell r="AE83">
            <v>34</v>
          </cell>
          <cell r="AF83">
            <v>58</v>
          </cell>
          <cell r="AG83">
            <v>52</v>
          </cell>
          <cell r="AH83">
            <v>6</v>
          </cell>
        </row>
        <row r="84">
          <cell r="E84" t="str">
            <v>VILLA PRADO</v>
          </cell>
          <cell r="F84" t="str">
            <v>JUANJUI</v>
          </cell>
          <cell r="G84" t="str">
            <v>M. CACERES</v>
          </cell>
          <cell r="H84" t="str">
            <v>I</v>
          </cell>
          <cell r="I84" t="str">
            <v>Caserío</v>
          </cell>
          <cell r="J84" t="str">
            <v>IV</v>
          </cell>
          <cell r="P84">
            <v>5.6026311435872556E-2</v>
          </cell>
          <cell r="Q84">
            <v>0.02</v>
          </cell>
          <cell r="R84"/>
          <cell r="T84">
            <v>82</v>
          </cell>
          <cell r="V84">
            <v>410</v>
          </cell>
          <cell r="AA84" t="str">
            <v>L.P. Y R.P. ejecutadas (ampliaciones)</v>
          </cell>
        </row>
        <row r="85">
          <cell r="E85" t="str">
            <v>EJE BELLAVISTA-BARRANCA</v>
          </cell>
          <cell r="S85">
            <v>0</v>
          </cell>
        </row>
        <row r="86">
          <cell r="E86" t="str">
            <v>LEDOY</v>
          </cell>
          <cell r="F86" t="str">
            <v>HUALLAGA</v>
          </cell>
          <cell r="G86" t="str">
            <v>BELLAVISTA</v>
          </cell>
          <cell r="H86" t="str">
            <v>I</v>
          </cell>
          <cell r="I86" t="str">
            <v>Pueblo</v>
          </cell>
          <cell r="J86" t="str">
            <v>III</v>
          </cell>
          <cell r="K86">
            <v>188</v>
          </cell>
          <cell r="L86">
            <v>759</v>
          </cell>
          <cell r="M86">
            <v>207</v>
          </cell>
          <cell r="N86">
            <v>1004</v>
          </cell>
          <cell r="O86">
            <v>2.3585978414998321E-2</v>
          </cell>
          <cell r="P86">
            <v>-8.9565750570808067E-4</v>
          </cell>
          <cell r="Q86">
            <v>0.01</v>
          </cell>
          <cell r="R86">
            <v>4.85024154589372</v>
          </cell>
          <cell r="S86">
            <v>0</v>
          </cell>
          <cell r="T86">
            <v>195</v>
          </cell>
          <cell r="U86">
            <v>0</v>
          </cell>
          <cell r="V86">
            <v>950</v>
          </cell>
          <cell r="AA86" t="str">
            <v>L.P. Y R.P. ejecutadas</v>
          </cell>
          <cell r="AB86">
            <v>41</v>
          </cell>
          <cell r="AD86" t="e">
            <v>#N/A</v>
          </cell>
          <cell r="AE86">
            <v>41</v>
          </cell>
          <cell r="AF86">
            <v>48</v>
          </cell>
          <cell r="AG86">
            <v>41</v>
          </cell>
          <cell r="AH86">
            <v>7</v>
          </cell>
        </row>
        <row r="87">
          <cell r="E87" t="str">
            <v>LA UNION</v>
          </cell>
          <cell r="F87" t="str">
            <v>BAJO BIAVO</v>
          </cell>
          <cell r="G87" t="str">
            <v>BELLAVISTA</v>
          </cell>
          <cell r="H87" t="str">
            <v>I</v>
          </cell>
          <cell r="I87" t="str">
            <v>Caserío</v>
          </cell>
          <cell r="J87" t="str">
            <v>IV</v>
          </cell>
          <cell r="K87">
            <v>41</v>
          </cell>
          <cell r="L87">
            <v>252</v>
          </cell>
          <cell r="M87">
            <v>36</v>
          </cell>
          <cell r="N87">
            <v>201</v>
          </cell>
          <cell r="O87">
            <v>-1.8667249401411179E-2</v>
          </cell>
          <cell r="P87">
            <v>1.477804663704485E-2</v>
          </cell>
          <cell r="Q87">
            <v>1.477804663704485E-2</v>
          </cell>
          <cell r="R87">
            <v>5.583333333333333</v>
          </cell>
          <cell r="S87">
            <v>0</v>
          </cell>
          <cell r="T87">
            <v>35</v>
          </cell>
          <cell r="U87">
            <v>0</v>
          </cell>
          <cell r="V87">
            <v>233</v>
          </cell>
          <cell r="AA87" t="str">
            <v>L.P. Y R.P. ejecutadas</v>
          </cell>
          <cell r="AB87">
            <v>56</v>
          </cell>
          <cell r="AD87" t="e">
            <v>#N/A</v>
          </cell>
          <cell r="AE87">
            <v>56</v>
          </cell>
          <cell r="AF87">
            <v>115</v>
          </cell>
          <cell r="AG87">
            <v>95</v>
          </cell>
          <cell r="AH87">
            <v>20</v>
          </cell>
        </row>
        <row r="88">
          <cell r="E88" t="str">
            <v>NUEVA UNION</v>
          </cell>
          <cell r="F88" t="str">
            <v>BAJO BIAVO</v>
          </cell>
          <cell r="G88" t="str">
            <v>BELLAVISTA</v>
          </cell>
          <cell r="H88" t="str">
            <v>I</v>
          </cell>
          <cell r="I88" t="str">
            <v>Caserío</v>
          </cell>
          <cell r="J88" t="str">
            <v>IV</v>
          </cell>
          <cell r="K88">
            <v>20</v>
          </cell>
          <cell r="L88">
            <v>100</v>
          </cell>
          <cell r="M88">
            <v>30</v>
          </cell>
          <cell r="N88">
            <v>112</v>
          </cell>
          <cell r="O88">
            <v>9.4887929345830457E-3</v>
          </cell>
          <cell r="P88">
            <v>1.477804663704485E-2</v>
          </cell>
          <cell r="Q88">
            <v>1.477804663704485E-2</v>
          </cell>
          <cell r="R88">
            <v>3.7333333333333334</v>
          </cell>
          <cell r="S88">
            <v>0</v>
          </cell>
          <cell r="T88">
            <v>68</v>
          </cell>
          <cell r="U88">
            <v>0</v>
          </cell>
          <cell r="V88">
            <v>278</v>
          </cell>
          <cell r="AA88" t="str">
            <v>L.P. Y R.P. ejecutadas (ampliaciones)</v>
          </cell>
          <cell r="AB88">
            <v>114</v>
          </cell>
          <cell r="AD88" t="e">
            <v>#N/A</v>
          </cell>
          <cell r="AE88">
            <v>114</v>
          </cell>
          <cell r="AF88">
            <v>95</v>
          </cell>
          <cell r="AG88">
            <v>86</v>
          </cell>
          <cell r="AH88">
            <v>9</v>
          </cell>
        </row>
        <row r="89">
          <cell r="E89" t="str">
            <v>DOS UNIDOS DEL BIAVO</v>
          </cell>
          <cell r="F89" t="str">
            <v>BAJO BIAVO</v>
          </cell>
          <cell r="G89" t="str">
            <v>BELLAVISTA</v>
          </cell>
          <cell r="H89" t="str">
            <v>I</v>
          </cell>
          <cell r="I89" t="str">
            <v>Caserío</v>
          </cell>
          <cell r="J89" t="str">
            <v>IV</v>
          </cell>
          <cell r="K89">
            <v>30</v>
          </cell>
          <cell r="L89">
            <v>125</v>
          </cell>
          <cell r="M89">
            <v>81</v>
          </cell>
          <cell r="N89">
            <v>348</v>
          </cell>
          <cell r="O89">
            <v>8.9069935562437141E-2</v>
          </cell>
          <cell r="P89">
            <v>1.477804663704485E-2</v>
          </cell>
          <cell r="Q89">
            <v>1.477804663704485E-2</v>
          </cell>
          <cell r="R89">
            <v>4.2962962962962967</v>
          </cell>
          <cell r="S89">
            <v>0</v>
          </cell>
          <cell r="T89">
            <v>80</v>
          </cell>
          <cell r="U89">
            <v>0</v>
          </cell>
          <cell r="V89">
            <v>344</v>
          </cell>
          <cell r="AA89" t="str">
            <v>L.P. Y R.P. ejecutadas (ampliaciones)</v>
          </cell>
          <cell r="AB89">
            <v>67</v>
          </cell>
          <cell r="AD89" t="e">
            <v>#N/A</v>
          </cell>
          <cell r="AE89">
            <v>67</v>
          </cell>
          <cell r="AF89">
            <v>73</v>
          </cell>
          <cell r="AG89">
            <v>63</v>
          </cell>
          <cell r="AH89">
            <v>10</v>
          </cell>
        </row>
        <row r="90">
          <cell r="E90" t="str">
            <v>NUEVA LIMA</v>
          </cell>
          <cell r="F90" t="str">
            <v>BAJO BIAVO</v>
          </cell>
          <cell r="G90" t="str">
            <v>BELLAVISTA</v>
          </cell>
          <cell r="H90" t="str">
            <v>I</v>
          </cell>
          <cell r="I90" t="str">
            <v>Pueblo</v>
          </cell>
          <cell r="J90" t="str">
            <v>II</v>
          </cell>
          <cell r="K90">
            <v>16</v>
          </cell>
          <cell r="L90">
            <v>95</v>
          </cell>
          <cell r="M90">
            <v>123</v>
          </cell>
          <cell r="N90">
            <v>730</v>
          </cell>
          <cell r="O90">
            <v>0.18522263772726721</v>
          </cell>
          <cell r="P90">
            <v>1.477804663704485E-2</v>
          </cell>
          <cell r="Q90">
            <v>1.477804663704485E-2</v>
          </cell>
          <cell r="R90">
            <v>5.9349593495934956</v>
          </cell>
          <cell r="S90">
            <v>209</v>
          </cell>
          <cell r="T90">
            <v>209</v>
          </cell>
          <cell r="U90">
            <v>1240</v>
          </cell>
          <cell r="V90">
            <v>1240</v>
          </cell>
          <cell r="AA90" t="str">
            <v>L.P. Y R.P. ejecutadas</v>
          </cell>
          <cell r="AB90">
            <v>54</v>
          </cell>
          <cell r="AD90" t="e">
            <v>#N/A</v>
          </cell>
          <cell r="AE90">
            <v>54</v>
          </cell>
          <cell r="AF90">
            <v>62</v>
          </cell>
          <cell r="AG90">
            <v>56</v>
          </cell>
          <cell r="AH90">
            <v>6</v>
          </cell>
        </row>
        <row r="91">
          <cell r="E91" t="str">
            <v>JOSE GALVEZ</v>
          </cell>
          <cell r="F91" t="str">
            <v>BAJO BIAVO</v>
          </cell>
          <cell r="G91" t="str">
            <v>BELLAVISTA</v>
          </cell>
          <cell r="H91" t="str">
            <v>III</v>
          </cell>
          <cell r="I91" t="str">
            <v>Anexo</v>
          </cell>
          <cell r="J91" t="str">
            <v>IV</v>
          </cell>
          <cell r="K91">
            <v>35</v>
          </cell>
          <cell r="L91">
            <v>199</v>
          </cell>
          <cell r="M91">
            <v>30</v>
          </cell>
          <cell r="N91">
            <v>121</v>
          </cell>
          <cell r="O91">
            <v>-4.0611832539638071E-2</v>
          </cell>
          <cell r="P91">
            <v>1.477804663704485E-2</v>
          </cell>
          <cell r="Q91">
            <v>1.477804663704485E-2</v>
          </cell>
          <cell r="R91">
            <v>4.0333333333333332</v>
          </cell>
          <cell r="S91">
            <v>0</v>
          </cell>
          <cell r="T91">
            <v>35</v>
          </cell>
          <cell r="U91">
            <v>0</v>
          </cell>
          <cell r="V91">
            <v>140</v>
          </cell>
          <cell r="Y91" t="str">
            <v>x</v>
          </cell>
          <cell r="AB91">
            <v>42</v>
          </cell>
          <cell r="AD91" t="e">
            <v>#N/A</v>
          </cell>
          <cell r="AE91">
            <v>42</v>
          </cell>
          <cell r="AF91">
            <v>60</v>
          </cell>
          <cell r="AG91">
            <v>55</v>
          </cell>
          <cell r="AH91">
            <v>5</v>
          </cell>
        </row>
        <row r="92">
          <cell r="E92" t="str">
            <v>NUEVO MUNDO</v>
          </cell>
          <cell r="F92" t="str">
            <v>BAJO BIAVO</v>
          </cell>
          <cell r="G92" t="str">
            <v>BELLAVISTA</v>
          </cell>
          <cell r="H92" t="str">
            <v>I</v>
          </cell>
          <cell r="I92" t="str">
            <v>Caserío</v>
          </cell>
          <cell r="J92" t="str">
            <v>IV</v>
          </cell>
          <cell r="K92">
            <v>13</v>
          </cell>
          <cell r="L92">
            <v>75</v>
          </cell>
          <cell r="M92">
            <v>41</v>
          </cell>
          <cell r="N92">
            <v>226</v>
          </cell>
          <cell r="O92">
            <v>9.6277745459736552E-2</v>
          </cell>
          <cell r="P92">
            <v>1.477804663704485E-2</v>
          </cell>
          <cell r="Q92">
            <v>1.477804663704485E-2</v>
          </cell>
          <cell r="R92">
            <v>5.5121951219512191</v>
          </cell>
          <cell r="S92">
            <v>0</v>
          </cell>
          <cell r="T92">
            <v>60</v>
          </cell>
          <cell r="U92">
            <v>0</v>
          </cell>
          <cell r="V92">
            <v>306</v>
          </cell>
          <cell r="AA92" t="str">
            <v>L.P. Y R.P. ejecutadas (ampliaciones)</v>
          </cell>
          <cell r="AB92">
            <v>67</v>
          </cell>
          <cell r="AD92" t="e">
            <v>#N/A</v>
          </cell>
          <cell r="AE92">
            <v>67</v>
          </cell>
          <cell r="AF92">
            <v>75</v>
          </cell>
          <cell r="AG92">
            <v>69</v>
          </cell>
          <cell r="AH92">
            <v>6</v>
          </cell>
        </row>
        <row r="93">
          <cell r="E93" t="str">
            <v>DOS DE MAYO</v>
          </cell>
          <cell r="F93" t="str">
            <v>BAJO BIAVO</v>
          </cell>
          <cell r="G93" t="str">
            <v>BELLAVISTA</v>
          </cell>
          <cell r="H93" t="str">
            <v>I</v>
          </cell>
          <cell r="I93" t="str">
            <v>Caserío</v>
          </cell>
          <cell r="J93" t="str">
            <v>IV</v>
          </cell>
          <cell r="K93">
            <v>28</v>
          </cell>
          <cell r="L93">
            <v>136</v>
          </cell>
          <cell r="M93">
            <v>19</v>
          </cell>
          <cell r="N93">
            <v>80</v>
          </cell>
          <cell r="O93">
            <v>-4.3255612513941055E-2</v>
          </cell>
          <cell r="P93">
            <v>1.477804663704485E-2</v>
          </cell>
          <cell r="Q93">
            <v>1.477804663704485E-2</v>
          </cell>
          <cell r="R93">
            <v>4.2105263157894735</v>
          </cell>
          <cell r="S93">
            <v>0</v>
          </cell>
          <cell r="T93">
            <v>48</v>
          </cell>
          <cell r="U93">
            <v>0</v>
          </cell>
          <cell r="V93">
            <v>202</v>
          </cell>
          <cell r="AA93" t="str">
            <v>L.P. Y R.P. ejecutadas</v>
          </cell>
          <cell r="AB93">
            <v>47</v>
          </cell>
          <cell r="AD93" t="e">
            <v>#N/A</v>
          </cell>
          <cell r="AE93">
            <v>47</v>
          </cell>
          <cell r="AF93">
            <v>80</v>
          </cell>
          <cell r="AG93">
            <v>77</v>
          </cell>
          <cell r="AH93">
            <v>3</v>
          </cell>
        </row>
        <row r="94">
          <cell r="E94" t="str">
            <v>SANTA ELENA</v>
          </cell>
          <cell r="F94" t="str">
            <v>BAJO BIAVO</v>
          </cell>
          <cell r="G94" t="str">
            <v>BELLAVISTA</v>
          </cell>
          <cell r="H94" t="str">
            <v>I</v>
          </cell>
          <cell r="I94" t="str">
            <v>Caserío</v>
          </cell>
          <cell r="J94" t="str">
            <v>III</v>
          </cell>
          <cell r="K94">
            <v>29</v>
          </cell>
          <cell r="L94">
            <v>177</v>
          </cell>
          <cell r="M94">
            <v>51</v>
          </cell>
          <cell r="N94">
            <v>258</v>
          </cell>
          <cell r="O94">
            <v>3.1899027836582272E-2</v>
          </cell>
          <cell r="P94">
            <v>1.477804663704485E-2</v>
          </cell>
          <cell r="Q94">
            <v>1.477804663704485E-2</v>
          </cell>
          <cell r="R94">
            <v>5.0588235294117645</v>
          </cell>
          <cell r="S94">
            <v>0</v>
          </cell>
          <cell r="T94">
            <v>54</v>
          </cell>
          <cell r="U94">
            <v>0</v>
          </cell>
          <cell r="V94">
            <v>273</v>
          </cell>
          <cell r="AA94" t="str">
            <v>L.P. Y R.P. ejecutadas</v>
          </cell>
          <cell r="AB94">
            <v>39</v>
          </cell>
          <cell r="AD94" t="e">
            <v>#N/A</v>
          </cell>
          <cell r="AE94">
            <v>39</v>
          </cell>
          <cell r="AF94">
            <v>50</v>
          </cell>
          <cell r="AG94">
            <v>41</v>
          </cell>
          <cell r="AH94">
            <v>9</v>
          </cell>
        </row>
        <row r="95">
          <cell r="E95" t="str">
            <v>ABANCAY</v>
          </cell>
          <cell r="F95" t="str">
            <v>ALTO BIAVO</v>
          </cell>
          <cell r="G95" t="str">
            <v>BELLAVISTA</v>
          </cell>
          <cell r="H95" t="str">
            <v>I</v>
          </cell>
          <cell r="I95" t="str">
            <v>Caserío</v>
          </cell>
          <cell r="J95" t="str">
            <v>IV</v>
          </cell>
          <cell r="K95">
            <v>16</v>
          </cell>
          <cell r="L95">
            <v>69</v>
          </cell>
          <cell r="M95">
            <v>35</v>
          </cell>
          <cell r="N95">
            <v>155</v>
          </cell>
          <cell r="O95">
            <v>6.9769513892854462E-2</v>
          </cell>
          <cell r="P95">
            <v>2.8149316751900022E-2</v>
          </cell>
          <cell r="Q95">
            <v>0.02</v>
          </cell>
          <cell r="R95">
            <v>4.4285714285714288</v>
          </cell>
          <cell r="S95">
            <v>35</v>
          </cell>
          <cell r="T95">
            <v>35</v>
          </cell>
          <cell r="U95">
            <v>155</v>
          </cell>
          <cell r="V95">
            <v>155</v>
          </cell>
          <cell r="AA95" t="str">
            <v>L.P. Y R.P. ejecutadas</v>
          </cell>
          <cell r="AB95">
            <v>50</v>
          </cell>
          <cell r="AD95" t="e">
            <v>#N/A</v>
          </cell>
          <cell r="AE95">
            <v>50</v>
          </cell>
          <cell r="AF95">
            <v>56</v>
          </cell>
          <cell r="AG95">
            <v>50</v>
          </cell>
          <cell r="AH95">
            <v>6</v>
          </cell>
        </row>
        <row r="96">
          <cell r="E96" t="str">
            <v>CUZCO</v>
          </cell>
          <cell r="F96" t="str">
            <v>ALTO BIAVO</v>
          </cell>
          <cell r="G96" t="str">
            <v>BELLAVISTA</v>
          </cell>
          <cell r="H96" t="str">
            <v>I</v>
          </cell>
          <cell r="I96" t="str">
            <v>Pueblo</v>
          </cell>
          <cell r="J96" t="str">
            <v>III</v>
          </cell>
          <cell r="K96">
            <v>50</v>
          </cell>
          <cell r="L96">
            <v>295</v>
          </cell>
          <cell r="M96">
            <v>105</v>
          </cell>
          <cell r="N96">
            <v>518</v>
          </cell>
          <cell r="O96">
            <v>4.8034659254764911E-2</v>
          </cell>
          <cell r="P96">
            <v>2.8149316751900022E-2</v>
          </cell>
          <cell r="Q96">
            <v>0.02</v>
          </cell>
          <cell r="R96">
            <v>4.9333333333333336</v>
          </cell>
          <cell r="S96">
            <v>117</v>
          </cell>
          <cell r="T96">
            <v>117</v>
          </cell>
          <cell r="U96">
            <v>577</v>
          </cell>
          <cell r="V96">
            <v>577</v>
          </cell>
          <cell r="AA96" t="str">
            <v>L.P. Y R.P. ejecutadas</v>
          </cell>
          <cell r="AB96">
            <v>50</v>
          </cell>
          <cell r="AD96" t="e">
            <v>#N/A</v>
          </cell>
          <cell r="AE96" t="e">
            <v>#VALUE!</v>
          </cell>
          <cell r="AF96">
            <v>50</v>
          </cell>
          <cell r="AG96">
            <v>45</v>
          </cell>
          <cell r="AH96">
            <v>5</v>
          </cell>
        </row>
        <row r="97">
          <cell r="E97" t="str">
            <v>BARRANCA</v>
          </cell>
          <cell r="F97" t="str">
            <v>ALTO BIAVO</v>
          </cell>
          <cell r="G97" t="str">
            <v>BELLAVISTA</v>
          </cell>
          <cell r="H97" t="str">
            <v>I</v>
          </cell>
          <cell r="I97" t="str">
            <v>Pueblo</v>
          </cell>
          <cell r="J97" t="str">
            <v>III</v>
          </cell>
          <cell r="K97">
            <v>99</v>
          </cell>
          <cell r="L97">
            <v>452</v>
          </cell>
          <cell r="M97">
            <v>177</v>
          </cell>
          <cell r="N97">
            <v>752</v>
          </cell>
          <cell r="O97">
            <v>4.333381618030252E-2</v>
          </cell>
          <cell r="P97">
            <v>2.8149316751900022E-2</v>
          </cell>
          <cell r="Q97">
            <v>0.02</v>
          </cell>
          <cell r="R97">
            <v>4.2485875706214689</v>
          </cell>
          <cell r="S97">
            <v>145</v>
          </cell>
          <cell r="T97">
            <v>145</v>
          </cell>
          <cell r="U97">
            <v>616</v>
          </cell>
          <cell r="V97">
            <v>616</v>
          </cell>
          <cell r="AA97" t="str">
            <v>L.P. Y R.P. ejecutadas</v>
          </cell>
        </row>
        <row r="98">
          <cell r="E98" t="str">
            <v>PAJARILLO</v>
          </cell>
          <cell r="F98" t="str">
            <v>PAJARILLO</v>
          </cell>
          <cell r="G98" t="str">
            <v>M. CACERES</v>
          </cell>
          <cell r="H98" t="str">
            <v>I</v>
          </cell>
          <cell r="I98" t="str">
            <v>Pueblo</v>
          </cell>
          <cell r="J98" t="str">
            <v>III</v>
          </cell>
          <cell r="K98">
            <v>108</v>
          </cell>
          <cell r="L98">
            <v>560</v>
          </cell>
          <cell r="M98">
            <v>172</v>
          </cell>
          <cell r="N98">
            <v>817</v>
          </cell>
          <cell r="O98">
            <v>3.197577463631851E-2</v>
          </cell>
          <cell r="P98">
            <v>3.4761789851846636E-2</v>
          </cell>
          <cell r="Q98">
            <v>0.02</v>
          </cell>
          <cell r="R98">
            <v>4.75</v>
          </cell>
          <cell r="S98">
            <v>0</v>
          </cell>
          <cell r="T98">
            <v>104</v>
          </cell>
          <cell r="U98">
            <v>0</v>
          </cell>
          <cell r="V98">
            <v>494</v>
          </cell>
          <cell r="AA98" t="str">
            <v>L.P. Y R.P. ejecutadas (ampliaciones)</v>
          </cell>
        </row>
        <row r="99">
          <cell r="E99" t="str">
            <v>PUERTO NUEVO</v>
          </cell>
          <cell r="F99" t="str">
            <v>ALTO BIAVO</v>
          </cell>
          <cell r="G99" t="str">
            <v>BELLAVISTA</v>
          </cell>
          <cell r="H99" t="str">
            <v>III</v>
          </cell>
          <cell r="I99" t="str">
            <v>Caserío</v>
          </cell>
          <cell r="J99" t="str">
            <v>IV</v>
          </cell>
          <cell r="K99">
            <v>8</v>
          </cell>
          <cell r="L99">
            <v>53</v>
          </cell>
          <cell r="M99">
            <v>10</v>
          </cell>
          <cell r="N99">
            <v>57</v>
          </cell>
          <cell r="O99">
            <v>6.0816984102951555E-3</v>
          </cell>
          <cell r="P99">
            <v>2.8149316751900022E-2</v>
          </cell>
          <cell r="Q99">
            <v>0.02</v>
          </cell>
          <cell r="R99">
            <v>5.7</v>
          </cell>
          <cell r="S99">
            <v>0</v>
          </cell>
          <cell r="T99">
            <v>12</v>
          </cell>
          <cell r="U99">
            <v>0</v>
          </cell>
          <cell r="V99">
            <v>69</v>
          </cell>
          <cell r="Y99" t="str">
            <v>x</v>
          </cell>
        </row>
        <row r="100">
          <cell r="E100" t="str">
            <v>SAN JOSE DE JUÑAO</v>
          </cell>
          <cell r="F100" t="str">
            <v>PAJARILLO</v>
          </cell>
          <cell r="G100" t="str">
            <v>M. CACERES</v>
          </cell>
          <cell r="H100" t="str">
            <v>III</v>
          </cell>
          <cell r="I100" t="str">
            <v>Caserío</v>
          </cell>
          <cell r="J100" t="str">
            <v>IV</v>
          </cell>
          <cell r="K100">
            <v>35</v>
          </cell>
          <cell r="L100">
            <v>175</v>
          </cell>
          <cell r="M100">
            <v>61</v>
          </cell>
          <cell r="N100">
            <v>291</v>
          </cell>
          <cell r="O100">
            <v>4.3288879815517323E-2</v>
          </cell>
          <cell r="P100">
            <v>3.4761789851846636E-2</v>
          </cell>
          <cell r="Q100">
            <v>0.02</v>
          </cell>
          <cell r="R100">
            <v>4.7704918032786887</v>
          </cell>
          <cell r="S100">
            <v>0</v>
          </cell>
          <cell r="T100">
            <v>74</v>
          </cell>
          <cell r="U100">
            <v>0</v>
          </cell>
          <cell r="V100">
            <v>355</v>
          </cell>
          <cell r="Y100" t="str">
            <v>x</v>
          </cell>
        </row>
        <row r="101">
          <cell r="E101" t="str">
            <v>PACASMAYO</v>
          </cell>
          <cell r="F101" t="str">
            <v>BAJO BIAVO</v>
          </cell>
          <cell r="G101" t="str">
            <v>BELLAVISTA</v>
          </cell>
          <cell r="H101" t="str">
            <v>III</v>
          </cell>
          <cell r="I101" t="str">
            <v>Caserío</v>
          </cell>
          <cell r="J101" t="str">
            <v>IV</v>
          </cell>
          <cell r="K101">
            <v>20</v>
          </cell>
          <cell r="L101">
            <v>90</v>
          </cell>
          <cell r="M101">
            <v>27</v>
          </cell>
          <cell r="N101">
            <v>140</v>
          </cell>
          <cell r="O101">
            <v>3.7505626274562331E-2</v>
          </cell>
          <cell r="P101">
            <v>1.477804663704485E-2</v>
          </cell>
          <cell r="Q101">
            <v>1.477804663704485E-2</v>
          </cell>
          <cell r="R101">
            <v>5.1851851851851851</v>
          </cell>
          <cell r="S101">
            <v>0</v>
          </cell>
          <cell r="T101">
            <v>31</v>
          </cell>
          <cell r="U101">
            <v>0</v>
          </cell>
          <cell r="V101">
            <v>162</v>
          </cell>
          <cell r="Y101" t="str">
            <v>x</v>
          </cell>
        </row>
        <row r="102">
          <cell r="E102" t="str">
            <v>NUEVO PROGRESO</v>
          </cell>
          <cell r="F102" t="str">
            <v>BAJO BIAVO</v>
          </cell>
          <cell r="G102" t="str">
            <v>BELLAVISTA</v>
          </cell>
          <cell r="H102" t="str">
            <v>III</v>
          </cell>
          <cell r="I102" t="str">
            <v>Caserío</v>
          </cell>
          <cell r="J102" t="str">
            <v>IV</v>
          </cell>
          <cell r="K102">
            <v>15</v>
          </cell>
          <cell r="L102">
            <v>65</v>
          </cell>
          <cell r="M102">
            <v>15</v>
          </cell>
          <cell r="N102">
            <v>70</v>
          </cell>
          <cell r="O102">
            <v>6.1947730773190823E-3</v>
          </cell>
          <cell r="P102">
            <v>1.477804663704485E-2</v>
          </cell>
          <cell r="Q102">
            <v>1.477804663704485E-2</v>
          </cell>
          <cell r="R102">
            <v>4.666666666666667</v>
          </cell>
          <cell r="S102">
            <v>0</v>
          </cell>
          <cell r="T102">
            <v>17</v>
          </cell>
          <cell r="U102">
            <v>0</v>
          </cell>
          <cell r="V102">
            <v>81</v>
          </cell>
          <cell r="Y102" t="str">
            <v>x</v>
          </cell>
        </row>
        <row r="103">
          <cell r="E103" t="str">
            <v>SAN RAMON</v>
          </cell>
          <cell r="F103" t="str">
            <v>BAJO BIAVO</v>
          </cell>
          <cell r="G103" t="str">
            <v>BELLAVISTA</v>
          </cell>
          <cell r="H103" t="str">
            <v>III</v>
          </cell>
          <cell r="I103" t="str">
            <v>Caserío</v>
          </cell>
          <cell r="J103" t="str">
            <v>IV</v>
          </cell>
          <cell r="K103">
            <v>20</v>
          </cell>
          <cell r="L103">
            <v>110</v>
          </cell>
          <cell r="M103">
            <v>21</v>
          </cell>
          <cell r="N103">
            <v>131</v>
          </cell>
          <cell r="O103">
            <v>1.4666255847899157E-2</v>
          </cell>
          <cell r="P103">
            <v>1.477804663704485E-2</v>
          </cell>
          <cell r="Q103">
            <v>1.477804663704485E-2</v>
          </cell>
          <cell r="R103">
            <v>6.2380952380952381</v>
          </cell>
          <cell r="S103">
            <v>0</v>
          </cell>
          <cell r="T103">
            <v>24</v>
          </cell>
          <cell r="U103">
            <v>0</v>
          </cell>
          <cell r="V103">
            <v>152</v>
          </cell>
          <cell r="Y103" t="str">
            <v>x</v>
          </cell>
        </row>
        <row r="104">
          <cell r="E104" t="str">
            <v>NUEVO TARAPOTO</v>
          </cell>
          <cell r="F104" t="str">
            <v>BAJO BIAVO</v>
          </cell>
          <cell r="G104" t="str">
            <v>BELLAVISTA</v>
          </cell>
          <cell r="H104" t="str">
            <v>III</v>
          </cell>
          <cell r="I104" t="str">
            <v>Caserío</v>
          </cell>
          <cell r="J104" t="str">
            <v>IV</v>
          </cell>
          <cell r="K104">
            <v>40</v>
          </cell>
          <cell r="L104">
            <v>160</v>
          </cell>
          <cell r="M104">
            <v>57</v>
          </cell>
          <cell r="N104">
            <v>246</v>
          </cell>
          <cell r="O104">
            <v>3.6496707906247039E-2</v>
          </cell>
          <cell r="P104">
            <v>1.477804663704485E-2</v>
          </cell>
          <cell r="Q104">
            <v>1.477804663704485E-2</v>
          </cell>
          <cell r="R104">
            <v>4.3157894736842106</v>
          </cell>
          <cell r="S104">
            <v>0</v>
          </cell>
          <cell r="T104">
            <v>66</v>
          </cell>
          <cell r="U104">
            <v>0</v>
          </cell>
          <cell r="V104">
            <v>285</v>
          </cell>
          <cell r="Y104" t="str">
            <v>x</v>
          </cell>
        </row>
        <row r="105">
          <cell r="E105" t="str">
            <v>NUEVO PAMPA HERMOZA</v>
          </cell>
          <cell r="F105" t="str">
            <v>BAJO BIAVO</v>
          </cell>
          <cell r="G105" t="str">
            <v>BELLAVISTA</v>
          </cell>
          <cell r="H105" t="str">
            <v>III</v>
          </cell>
          <cell r="I105" t="str">
            <v>Caserío</v>
          </cell>
          <cell r="J105" t="str">
            <v>IV</v>
          </cell>
          <cell r="K105">
            <v>12</v>
          </cell>
          <cell r="L105">
            <v>60</v>
          </cell>
          <cell r="M105">
            <v>30</v>
          </cell>
          <cell r="N105">
            <v>120</v>
          </cell>
          <cell r="O105">
            <v>5.946309435929531E-2</v>
          </cell>
          <cell r="P105">
            <v>1.477804663704485E-2</v>
          </cell>
          <cell r="Q105">
            <v>1.477804663704485E-2</v>
          </cell>
          <cell r="R105">
            <v>4</v>
          </cell>
          <cell r="S105">
            <v>0</v>
          </cell>
          <cell r="T105">
            <v>35</v>
          </cell>
          <cell r="U105">
            <v>0</v>
          </cell>
          <cell r="V105">
            <v>139</v>
          </cell>
          <cell r="Y105" t="str">
            <v>x</v>
          </cell>
        </row>
        <row r="106">
          <cell r="E106" t="str">
            <v>PAMPA HERMOZA</v>
          </cell>
          <cell r="F106" t="str">
            <v>BAJO BIAVO</v>
          </cell>
          <cell r="G106" t="str">
            <v>BELLAVISTA</v>
          </cell>
          <cell r="H106" t="str">
            <v>III</v>
          </cell>
          <cell r="I106" t="str">
            <v>Caserío</v>
          </cell>
          <cell r="J106" t="str">
            <v>IV</v>
          </cell>
          <cell r="K106">
            <v>8</v>
          </cell>
          <cell r="L106">
            <v>50</v>
          </cell>
          <cell r="M106">
            <v>36</v>
          </cell>
          <cell r="N106">
            <v>110</v>
          </cell>
          <cell r="O106">
            <v>6.7911401852957187E-2</v>
          </cell>
          <cell r="P106">
            <v>1.477804663704485E-2</v>
          </cell>
          <cell r="Q106">
            <v>1.477804663704485E-2</v>
          </cell>
          <cell r="R106">
            <v>3.0555555555555554</v>
          </cell>
          <cell r="S106">
            <v>0</v>
          </cell>
          <cell r="T106">
            <v>42</v>
          </cell>
          <cell r="U106">
            <v>0</v>
          </cell>
          <cell r="V106">
            <v>127</v>
          </cell>
          <cell r="Y106" t="str">
            <v>x</v>
          </cell>
        </row>
        <row r="107">
          <cell r="E107" t="str">
            <v>YANAYACU</v>
          </cell>
          <cell r="F107" t="str">
            <v>BAJO BIAVO</v>
          </cell>
          <cell r="G107" t="str">
            <v>BELLAVISTA</v>
          </cell>
          <cell r="H107" t="str">
            <v>III</v>
          </cell>
          <cell r="I107" t="str">
            <v>Caserío</v>
          </cell>
          <cell r="J107" t="str">
            <v>IV</v>
          </cell>
          <cell r="K107">
            <v>18</v>
          </cell>
          <cell r="L107">
            <v>90</v>
          </cell>
          <cell r="M107">
            <v>24</v>
          </cell>
          <cell r="N107">
            <v>107</v>
          </cell>
          <cell r="O107">
            <v>1.4522708207258317E-2</v>
          </cell>
          <cell r="P107">
            <v>1.477804663704485E-2</v>
          </cell>
          <cell r="Q107">
            <v>1.477804663704485E-2</v>
          </cell>
          <cell r="R107">
            <v>4.458333333333333</v>
          </cell>
          <cell r="S107">
            <v>0</v>
          </cell>
          <cell r="T107">
            <v>28</v>
          </cell>
          <cell r="U107">
            <v>0</v>
          </cell>
          <cell r="V107">
            <v>124</v>
          </cell>
          <cell r="Y107" t="str">
            <v>x</v>
          </cell>
        </row>
        <row r="108">
          <cell r="E108" t="str">
            <v>BAJO JUÑAO</v>
          </cell>
          <cell r="F108" t="str">
            <v>PAJARILLO</v>
          </cell>
          <cell r="G108" t="str">
            <v>M. CACERES</v>
          </cell>
          <cell r="H108" t="str">
            <v>III</v>
          </cell>
          <cell r="I108" t="str">
            <v>Caserío</v>
          </cell>
          <cell r="J108" t="str">
            <v>IV</v>
          </cell>
          <cell r="K108">
            <v>31</v>
          </cell>
          <cell r="L108">
            <v>161</v>
          </cell>
          <cell r="M108">
            <v>57</v>
          </cell>
          <cell r="N108">
            <v>292</v>
          </cell>
          <cell r="O108">
            <v>5.0863758465276021E-2</v>
          </cell>
          <cell r="P108">
            <v>3.4761789851846636E-2</v>
          </cell>
          <cell r="Q108">
            <v>0.02</v>
          </cell>
          <cell r="R108">
            <v>5.1228070175438596</v>
          </cell>
          <cell r="S108">
            <v>0</v>
          </cell>
          <cell r="T108">
            <v>69</v>
          </cell>
          <cell r="U108">
            <v>0</v>
          </cell>
          <cell r="V108">
            <v>356</v>
          </cell>
          <cell r="Y108" t="str">
            <v>x</v>
          </cell>
        </row>
        <row r="109">
          <cell r="E109" t="str">
            <v>DOS UNIDOS DE PAJARILLO</v>
          </cell>
          <cell r="F109" t="str">
            <v>PAJARILLO</v>
          </cell>
          <cell r="G109" t="str">
            <v>M. CACERES</v>
          </cell>
          <cell r="H109" t="str">
            <v>III</v>
          </cell>
          <cell r="I109" t="str">
            <v>Caserío</v>
          </cell>
          <cell r="J109" t="str">
            <v>IV</v>
          </cell>
          <cell r="K109">
            <v>51</v>
          </cell>
          <cell r="L109">
            <v>174</v>
          </cell>
          <cell r="M109">
            <v>67</v>
          </cell>
          <cell r="N109">
            <v>365</v>
          </cell>
          <cell r="O109">
            <v>6.3682386963525461E-2</v>
          </cell>
          <cell r="P109">
            <v>3.4761789851846636E-2</v>
          </cell>
          <cell r="Q109">
            <v>0.02</v>
          </cell>
          <cell r="R109">
            <v>5.4477611940298507</v>
          </cell>
          <cell r="S109">
            <v>0</v>
          </cell>
          <cell r="T109">
            <v>82</v>
          </cell>
          <cell r="U109">
            <v>0</v>
          </cell>
          <cell r="V109">
            <v>445</v>
          </cell>
          <cell r="Y109" t="str">
            <v>x</v>
          </cell>
        </row>
        <row r="110">
          <cell r="E110" t="str">
            <v>RETAMA</v>
          </cell>
          <cell r="F110" t="str">
            <v>PAJARILLO</v>
          </cell>
          <cell r="G110" t="str">
            <v>M. CACERES</v>
          </cell>
          <cell r="H110" t="str">
            <v>III</v>
          </cell>
          <cell r="I110" t="str">
            <v>Caserío</v>
          </cell>
          <cell r="J110" t="str">
            <v>IV</v>
          </cell>
          <cell r="K110">
            <v>14</v>
          </cell>
          <cell r="L110">
            <v>75</v>
          </cell>
          <cell r="M110">
            <v>19</v>
          </cell>
          <cell r="N110">
            <v>95</v>
          </cell>
          <cell r="O110">
            <v>1.9894371763010676E-2</v>
          </cell>
          <cell r="P110">
            <v>3.4761789851846636E-2</v>
          </cell>
          <cell r="Q110">
            <v>0.02</v>
          </cell>
          <cell r="R110">
            <v>5</v>
          </cell>
          <cell r="S110">
            <v>0</v>
          </cell>
          <cell r="T110">
            <v>23</v>
          </cell>
          <cell r="U110">
            <v>0</v>
          </cell>
          <cell r="V110">
            <v>116</v>
          </cell>
          <cell r="Y110" t="str">
            <v>x</v>
          </cell>
        </row>
        <row r="111">
          <cell r="E111" t="str">
            <v>NUEVA ESPERANZA</v>
          </cell>
          <cell r="F111" t="str">
            <v>PAJARILLO</v>
          </cell>
          <cell r="G111" t="str">
            <v>M. CACERES</v>
          </cell>
          <cell r="H111" t="str">
            <v>III</v>
          </cell>
          <cell r="I111" t="str">
            <v>Caserío</v>
          </cell>
          <cell r="J111" t="str">
            <v>IV</v>
          </cell>
          <cell r="O111"/>
          <cell r="P111">
            <v>3.4761789851846636E-2</v>
          </cell>
          <cell r="Q111">
            <v>0.02</v>
          </cell>
          <cell r="R111"/>
          <cell r="S111">
            <v>0</v>
          </cell>
          <cell r="T111" t="e">
            <v>#DIV/0!</v>
          </cell>
          <cell r="U111" t="e">
            <v>#DIV/0!</v>
          </cell>
          <cell r="V111" t="e">
            <v>#DIV/0!</v>
          </cell>
        </row>
        <row r="112">
          <cell r="E112" t="str">
            <v>COSTA RICA</v>
          </cell>
          <cell r="F112" t="str">
            <v>PAJARILLO</v>
          </cell>
          <cell r="G112" t="str">
            <v>M. CACERES</v>
          </cell>
          <cell r="H112" t="str">
            <v>III</v>
          </cell>
          <cell r="I112" t="str">
            <v>Caserío</v>
          </cell>
          <cell r="J112" t="str">
            <v>III</v>
          </cell>
          <cell r="K112">
            <v>57</v>
          </cell>
          <cell r="L112">
            <v>364</v>
          </cell>
          <cell r="M112">
            <v>178</v>
          </cell>
          <cell r="N112">
            <v>871</v>
          </cell>
          <cell r="O112">
            <v>7.5415762297627253E-2</v>
          </cell>
          <cell r="P112">
            <v>3.4761789851846636E-2</v>
          </cell>
          <cell r="Q112">
            <v>0.02</v>
          </cell>
          <cell r="R112">
            <v>4.893258426966292</v>
          </cell>
          <cell r="S112">
            <v>0</v>
          </cell>
          <cell r="T112">
            <v>217</v>
          </cell>
          <cell r="U112">
            <v>0</v>
          </cell>
          <cell r="V112">
            <v>1062</v>
          </cell>
          <cell r="Y112" t="str">
            <v>x</v>
          </cell>
        </row>
        <row r="113">
          <cell r="E113" t="str">
            <v>SOLEDAD</v>
          </cell>
          <cell r="F113" t="str">
            <v>PAJARILLO</v>
          </cell>
          <cell r="G113" t="str">
            <v>M. CACERES</v>
          </cell>
          <cell r="H113" t="str">
            <v>III</v>
          </cell>
          <cell r="I113" t="str">
            <v>Caserío</v>
          </cell>
          <cell r="J113" t="str">
            <v>IV</v>
          </cell>
          <cell r="K113">
            <v>12</v>
          </cell>
          <cell r="L113">
            <v>65</v>
          </cell>
          <cell r="M113">
            <v>22</v>
          </cell>
          <cell r="N113">
            <v>104</v>
          </cell>
          <cell r="O113">
            <v>3.9944107690504271E-2</v>
          </cell>
          <cell r="P113">
            <v>3.4761789851846636E-2</v>
          </cell>
          <cell r="Q113">
            <v>0.02</v>
          </cell>
          <cell r="R113">
            <v>4.7272727272727275</v>
          </cell>
          <cell r="S113">
            <v>0</v>
          </cell>
          <cell r="T113">
            <v>27</v>
          </cell>
          <cell r="U113">
            <v>0</v>
          </cell>
          <cell r="V113">
            <v>127</v>
          </cell>
          <cell r="Y113" t="str">
            <v>x</v>
          </cell>
        </row>
        <row r="114">
          <cell r="E114" t="str">
            <v>VIVERES</v>
          </cell>
          <cell r="F114" t="str">
            <v>HUALLAGA</v>
          </cell>
          <cell r="G114" t="str">
            <v>BELLAVISTA</v>
          </cell>
          <cell r="H114" t="str">
            <v>III</v>
          </cell>
          <cell r="I114" t="str">
            <v>Caserío</v>
          </cell>
          <cell r="J114" t="str">
            <v>IV</v>
          </cell>
          <cell r="K114">
            <v>30</v>
          </cell>
          <cell r="L114">
            <v>223</v>
          </cell>
          <cell r="M114">
            <v>50</v>
          </cell>
          <cell r="N114">
            <v>269</v>
          </cell>
          <cell r="O114">
            <v>1.575106124881831E-2</v>
          </cell>
          <cell r="P114">
            <v>-8.9565750570808067E-4</v>
          </cell>
          <cell r="Q114">
            <v>0.01</v>
          </cell>
          <cell r="R114">
            <v>5.38</v>
          </cell>
          <cell r="S114">
            <v>0</v>
          </cell>
          <cell r="T114">
            <v>55</v>
          </cell>
          <cell r="U114">
            <v>0</v>
          </cell>
          <cell r="V114">
            <v>297</v>
          </cell>
          <cell r="Y114" t="str">
            <v>x</v>
          </cell>
        </row>
        <row r="115">
          <cell r="E115" t="str">
            <v>VAINILLA</v>
          </cell>
          <cell r="F115" t="str">
            <v>HUALLAGA</v>
          </cell>
          <cell r="G115" t="str">
            <v>BELLAVISTA</v>
          </cell>
          <cell r="H115" t="str">
            <v>I</v>
          </cell>
          <cell r="I115" t="str">
            <v>Caserío</v>
          </cell>
          <cell r="J115" t="str">
            <v>IV</v>
          </cell>
          <cell r="M115">
            <v>31</v>
          </cell>
          <cell r="N115">
            <v>176</v>
          </cell>
          <cell r="O115"/>
          <cell r="P115">
            <v>-8.9565750570808067E-4</v>
          </cell>
          <cell r="Q115">
            <v>0.01</v>
          </cell>
          <cell r="R115">
            <v>5.67741935483871</v>
          </cell>
          <cell r="S115">
            <v>0</v>
          </cell>
          <cell r="T115">
            <v>34</v>
          </cell>
          <cell r="U115">
            <v>0</v>
          </cell>
          <cell r="V115">
            <v>194</v>
          </cell>
          <cell r="AA115" t="str">
            <v>L.P. Y R.P. ejecutadas (ampliaciones)</v>
          </cell>
        </row>
        <row r="116">
          <cell r="E116" t="str">
            <v>EJE BELLAVISTA-S.J.DE SISA</v>
          </cell>
          <cell r="S116">
            <v>0</v>
          </cell>
          <cell r="AB116" t="str">
            <v>VIV. PLNS 99</v>
          </cell>
          <cell r="AD116" t="str">
            <v>VIV./BOD.</v>
          </cell>
          <cell r="AE116" t="str">
            <v>VIV. + C.E. 99</v>
          </cell>
        </row>
        <row r="117">
          <cell r="E117" t="str">
            <v>PERUATE</v>
          </cell>
          <cell r="F117" t="str">
            <v>BELLAVISTA</v>
          </cell>
          <cell r="G117" t="str">
            <v>BELLAVISTA</v>
          </cell>
          <cell r="H117" t="str">
            <v>I</v>
          </cell>
          <cell r="I117" t="str">
            <v>Caserío</v>
          </cell>
          <cell r="J117" t="str">
            <v>III</v>
          </cell>
          <cell r="K117">
            <v>29</v>
          </cell>
          <cell r="L117">
            <v>139</v>
          </cell>
          <cell r="M117">
            <v>67</v>
          </cell>
          <cell r="N117">
            <v>331</v>
          </cell>
          <cell r="O117">
            <v>7.4981770241043799E-2</v>
          </cell>
          <cell r="P117">
            <v>3.9527778807701308E-2</v>
          </cell>
          <cell r="Q117">
            <v>0.02</v>
          </cell>
          <cell r="R117">
            <v>4.9402985074626864</v>
          </cell>
          <cell r="S117">
            <v>0</v>
          </cell>
          <cell r="T117">
            <v>104</v>
          </cell>
          <cell r="U117">
            <v>0</v>
          </cell>
          <cell r="V117">
            <v>513</v>
          </cell>
          <cell r="AA117" t="str">
            <v>L.P. Y R.P. ejecutadas</v>
          </cell>
          <cell r="AB117">
            <v>31</v>
          </cell>
          <cell r="AD117" t="e">
            <v>#N/A</v>
          </cell>
          <cell r="AE117" t="e">
            <v>#N/A</v>
          </cell>
        </row>
        <row r="118">
          <cell r="E118" t="str">
            <v>CENTRO AMERICA</v>
          </cell>
          <cell r="F118" t="str">
            <v>SAN PABLO</v>
          </cell>
          <cell r="G118" t="str">
            <v>BELLAVISTA</v>
          </cell>
          <cell r="H118" t="str">
            <v>I</v>
          </cell>
          <cell r="I118" t="str">
            <v>Caserío</v>
          </cell>
          <cell r="J118" t="str">
            <v>III</v>
          </cell>
          <cell r="K118">
            <v>36</v>
          </cell>
          <cell r="L118">
            <v>164</v>
          </cell>
          <cell r="M118">
            <v>71</v>
          </cell>
          <cell r="N118">
            <v>321</v>
          </cell>
          <cell r="O118">
            <v>5.7560200962561092E-2</v>
          </cell>
          <cell r="P118">
            <v>7.0743791911126452E-2</v>
          </cell>
          <cell r="Q118">
            <v>0.02</v>
          </cell>
          <cell r="R118">
            <v>4.52112676056338</v>
          </cell>
          <cell r="S118">
            <v>0</v>
          </cell>
          <cell r="T118">
            <v>87</v>
          </cell>
          <cell r="U118">
            <v>0</v>
          </cell>
          <cell r="V118">
            <v>393</v>
          </cell>
          <cell r="AA118" t="str">
            <v>L.P. Y R.P. ejecutadas</v>
          </cell>
          <cell r="AB118">
            <v>7</v>
          </cell>
          <cell r="AD118" t="e">
            <v>#N/A</v>
          </cell>
          <cell r="AE118" t="e">
            <v>#N/A</v>
          </cell>
        </row>
        <row r="119">
          <cell r="E119" t="str">
            <v>CONSUELO</v>
          </cell>
          <cell r="F119" t="str">
            <v>SAN PABLO</v>
          </cell>
          <cell r="G119" t="str">
            <v>BELLAVISTA</v>
          </cell>
          <cell r="H119" t="str">
            <v>I</v>
          </cell>
          <cell r="I119" t="str">
            <v>Pueblo</v>
          </cell>
          <cell r="J119" t="str">
            <v>II</v>
          </cell>
          <cell r="K119">
            <v>107</v>
          </cell>
          <cell r="L119">
            <v>679</v>
          </cell>
          <cell r="M119">
            <v>378</v>
          </cell>
          <cell r="N119">
            <v>1953</v>
          </cell>
          <cell r="O119">
            <v>9.2033695585391095E-2</v>
          </cell>
          <cell r="P119">
            <v>7.0743791911126452E-2</v>
          </cell>
          <cell r="Q119">
            <v>0.02</v>
          </cell>
          <cell r="R119">
            <v>5.166666666666667</v>
          </cell>
          <cell r="S119">
            <v>554</v>
          </cell>
          <cell r="T119">
            <v>554</v>
          </cell>
          <cell r="U119">
            <v>2862</v>
          </cell>
          <cell r="V119">
            <v>2862</v>
          </cell>
          <cell r="AA119" t="str">
            <v>L.P. Y R.P. ejecutadas</v>
          </cell>
          <cell r="AB119">
            <v>7</v>
          </cell>
          <cell r="AD119" t="e">
            <v>#N/A</v>
          </cell>
          <cell r="AE119" t="e">
            <v>#N/A</v>
          </cell>
        </row>
        <row r="120">
          <cell r="E120" t="str">
            <v>SAN PABLO</v>
          </cell>
          <cell r="F120" t="str">
            <v>SAN PABLO</v>
          </cell>
          <cell r="G120" t="str">
            <v>BELLAVISTA</v>
          </cell>
          <cell r="H120" t="str">
            <v>I</v>
          </cell>
          <cell r="I120" t="str">
            <v>Pueblo</v>
          </cell>
          <cell r="J120" t="str">
            <v>III</v>
          </cell>
          <cell r="K120">
            <v>59</v>
          </cell>
          <cell r="L120">
            <v>312</v>
          </cell>
          <cell r="M120">
            <v>147</v>
          </cell>
          <cell r="N120">
            <v>756</v>
          </cell>
          <cell r="O120">
            <v>7.6541063382511876E-2</v>
          </cell>
          <cell r="P120">
            <v>7.0743791911126452E-2</v>
          </cell>
          <cell r="Q120">
            <v>0.02</v>
          </cell>
          <cell r="R120">
            <v>5.1428571428571432</v>
          </cell>
          <cell r="S120">
            <v>158</v>
          </cell>
          <cell r="T120">
            <v>158</v>
          </cell>
          <cell r="U120">
            <v>812</v>
          </cell>
          <cell r="V120">
            <v>812</v>
          </cell>
          <cell r="AA120" t="str">
            <v>L.P. Y R.P. ejecutadas</v>
          </cell>
          <cell r="AB120">
            <v>32</v>
          </cell>
          <cell r="AD120" t="e">
            <v>#N/A</v>
          </cell>
          <cell r="AE120" t="e">
            <v>#N/A</v>
          </cell>
        </row>
        <row r="121">
          <cell r="E121" t="str">
            <v>SANTA ROSA</v>
          </cell>
          <cell r="F121" t="str">
            <v>SAN PABLO</v>
          </cell>
          <cell r="G121" t="str">
            <v>BELLAVISTA</v>
          </cell>
          <cell r="H121" t="str">
            <v>I</v>
          </cell>
          <cell r="I121" t="str">
            <v>Pueblo</v>
          </cell>
          <cell r="J121" t="str">
            <v>IV</v>
          </cell>
          <cell r="K121">
            <v>30</v>
          </cell>
          <cell r="L121">
            <v>150</v>
          </cell>
          <cell r="M121">
            <v>40</v>
          </cell>
          <cell r="N121">
            <v>180</v>
          </cell>
          <cell r="O121">
            <v>1.5309470499731193E-2</v>
          </cell>
          <cell r="P121">
            <v>7.0743791911126452E-2</v>
          </cell>
          <cell r="Q121">
            <v>0.02</v>
          </cell>
          <cell r="R121">
            <v>4.5</v>
          </cell>
          <cell r="S121">
            <v>43</v>
          </cell>
          <cell r="T121">
            <v>43</v>
          </cell>
          <cell r="U121">
            <v>193</v>
          </cell>
          <cell r="V121">
            <v>193</v>
          </cell>
          <cell r="AA121" t="str">
            <v>L.P. Y R.P. ejecutadas</v>
          </cell>
          <cell r="AB121">
            <v>92</v>
          </cell>
          <cell r="AD121" t="e">
            <v>#N/A</v>
          </cell>
          <cell r="AE121" t="e">
            <v>#N/A</v>
          </cell>
        </row>
        <row r="122">
          <cell r="E122" t="str">
            <v>NUEVO SANTA ROSA</v>
          </cell>
          <cell r="F122" t="str">
            <v>SAN PABLO</v>
          </cell>
          <cell r="G122" t="str">
            <v>BELLAVISTA</v>
          </cell>
          <cell r="H122" t="str">
            <v>I</v>
          </cell>
          <cell r="I122" t="str">
            <v>Pueblo</v>
          </cell>
          <cell r="J122" t="str">
            <v>III</v>
          </cell>
          <cell r="K122">
            <v>25</v>
          </cell>
          <cell r="L122">
            <v>120</v>
          </cell>
          <cell r="M122">
            <v>49</v>
          </cell>
          <cell r="N122">
            <v>269</v>
          </cell>
          <cell r="O122">
            <v>6.958241192321224E-2</v>
          </cell>
          <cell r="P122">
            <v>7.0743791911126452E-2</v>
          </cell>
          <cell r="Q122">
            <v>0.02</v>
          </cell>
          <cell r="R122">
            <v>5.4897959183673466</v>
          </cell>
          <cell r="S122">
            <v>0</v>
          </cell>
          <cell r="T122">
            <v>33</v>
          </cell>
          <cell r="U122">
            <v>0</v>
          </cell>
          <cell r="V122">
            <v>181</v>
          </cell>
          <cell r="AA122" t="str">
            <v>L.P. Y R.P. ejecutadas</v>
          </cell>
          <cell r="AB122">
            <v>21</v>
          </cell>
          <cell r="AD122" t="e">
            <v>#N/A</v>
          </cell>
          <cell r="AE122" t="e">
            <v>#N/A</v>
          </cell>
        </row>
        <row r="123">
          <cell r="E123" t="str">
            <v>CARHUAPOMA</v>
          </cell>
          <cell r="F123" t="str">
            <v>SAN RAFAEL</v>
          </cell>
          <cell r="G123" t="str">
            <v>BELLAVISTA</v>
          </cell>
          <cell r="H123" t="str">
            <v>I</v>
          </cell>
          <cell r="I123" t="str">
            <v>Pueblo</v>
          </cell>
          <cell r="J123" t="str">
            <v>III</v>
          </cell>
          <cell r="K123">
            <v>55</v>
          </cell>
          <cell r="L123">
            <v>280</v>
          </cell>
          <cell r="M123">
            <v>76</v>
          </cell>
          <cell r="N123">
            <v>383</v>
          </cell>
          <cell r="O123">
            <v>2.6447469889204323E-2</v>
          </cell>
          <cell r="P123">
            <v>1.6973716257500548E-2</v>
          </cell>
          <cell r="Q123">
            <v>1.6973716257500548E-2</v>
          </cell>
          <cell r="R123">
            <v>5.0394736842105265</v>
          </cell>
          <cell r="S123">
            <v>0</v>
          </cell>
          <cell r="T123">
            <v>273</v>
          </cell>
          <cell r="U123">
            <v>0</v>
          </cell>
          <cell r="V123">
            <v>1375</v>
          </cell>
          <cell r="AA123" t="str">
            <v>L.P. Y R.P. ejecutadas (ampliaciones)</v>
          </cell>
          <cell r="AB123">
            <v>20</v>
          </cell>
          <cell r="AD123" t="e">
            <v>#N/A</v>
          </cell>
          <cell r="AE123" t="e">
            <v>#N/A</v>
          </cell>
        </row>
        <row r="124">
          <cell r="E124" t="str">
            <v>PALESTINA</v>
          </cell>
          <cell r="F124" t="str">
            <v>SAN RAFAEL</v>
          </cell>
          <cell r="G124" t="str">
            <v>BELLAVISTA</v>
          </cell>
          <cell r="H124" t="str">
            <v>I</v>
          </cell>
          <cell r="I124" t="str">
            <v>Caserío</v>
          </cell>
          <cell r="J124" t="str">
            <v>IV</v>
          </cell>
          <cell r="K124">
            <v>37</v>
          </cell>
          <cell r="L124">
            <v>231</v>
          </cell>
          <cell r="M124">
            <v>68</v>
          </cell>
          <cell r="N124">
            <v>340</v>
          </cell>
          <cell r="O124">
            <v>3.2735037243550424E-2</v>
          </cell>
          <cell r="P124">
            <v>1.6973716257500548E-2</v>
          </cell>
          <cell r="Q124">
            <v>1.6973716257500548E-2</v>
          </cell>
          <cell r="R124">
            <v>5</v>
          </cell>
          <cell r="S124">
            <v>0</v>
          </cell>
          <cell r="T124">
            <v>38</v>
          </cell>
          <cell r="U124">
            <v>0</v>
          </cell>
          <cell r="V124">
            <v>190</v>
          </cell>
          <cell r="AA124" t="str">
            <v>L.P. Y R.P. ejecutadas (ampliaciones)</v>
          </cell>
          <cell r="AB124">
            <v>34</v>
          </cell>
          <cell r="AD124" t="e">
            <v>#N/A</v>
          </cell>
          <cell r="AE124" t="e">
            <v>#N/A</v>
          </cell>
        </row>
        <row r="125">
          <cell r="E125" t="str">
            <v>PRIALE</v>
          </cell>
          <cell r="F125" t="str">
            <v>BELLAVISTA</v>
          </cell>
          <cell r="G125" t="str">
            <v>BELLAVISTA</v>
          </cell>
          <cell r="H125" t="str">
            <v>III</v>
          </cell>
          <cell r="I125" t="str">
            <v>Caserío</v>
          </cell>
          <cell r="J125" t="str">
            <v>IV</v>
          </cell>
          <cell r="K125">
            <v>18</v>
          </cell>
          <cell r="L125">
            <v>100</v>
          </cell>
          <cell r="M125">
            <v>20</v>
          </cell>
          <cell r="N125">
            <v>127</v>
          </cell>
          <cell r="O125">
            <v>2.0117763495523189E-2</v>
          </cell>
          <cell r="P125">
            <v>3.9527778807701308E-2</v>
          </cell>
          <cell r="Q125">
            <v>0.02</v>
          </cell>
          <cell r="R125">
            <v>6.35</v>
          </cell>
          <cell r="S125">
            <v>0</v>
          </cell>
          <cell r="T125">
            <v>24</v>
          </cell>
          <cell r="U125">
            <v>0</v>
          </cell>
          <cell r="V125">
            <v>155</v>
          </cell>
          <cell r="Y125" t="str">
            <v>x</v>
          </cell>
          <cell r="AB125">
            <v>7</v>
          </cell>
          <cell r="AD125" t="e">
            <v>#N/A</v>
          </cell>
          <cell r="AE125" t="e">
            <v>#N/A</v>
          </cell>
        </row>
        <row r="126">
          <cell r="E126" t="str">
            <v>ÑEJAZAPA</v>
          </cell>
          <cell r="F126" t="str">
            <v>BELLAVISTA</v>
          </cell>
          <cell r="G126" t="str">
            <v>BELLAVISTA</v>
          </cell>
          <cell r="H126" t="str">
            <v>III</v>
          </cell>
          <cell r="I126" t="str">
            <v>Caserío</v>
          </cell>
          <cell r="J126" t="str">
            <v>IV</v>
          </cell>
          <cell r="K126">
            <v>20</v>
          </cell>
          <cell r="L126">
            <v>63</v>
          </cell>
          <cell r="M126">
            <v>17</v>
          </cell>
          <cell r="N126">
            <v>96</v>
          </cell>
          <cell r="O126">
            <v>3.5724438123837965E-2</v>
          </cell>
          <cell r="P126">
            <v>3.9527778807701308E-2</v>
          </cell>
          <cell r="Q126">
            <v>0.02</v>
          </cell>
          <cell r="R126">
            <v>5.6470588235294121</v>
          </cell>
          <cell r="S126">
            <v>0</v>
          </cell>
          <cell r="T126">
            <v>21</v>
          </cell>
          <cell r="U126">
            <v>0</v>
          </cell>
          <cell r="V126">
            <v>117</v>
          </cell>
          <cell r="Y126" t="str">
            <v>x</v>
          </cell>
          <cell r="AB126">
            <v>24</v>
          </cell>
          <cell r="AD126" t="e">
            <v>#N/A</v>
          </cell>
          <cell r="AE126" t="e">
            <v>#N/A</v>
          </cell>
        </row>
        <row r="127">
          <cell r="E127" t="str">
            <v>NUEVA ÑEJAZAPA</v>
          </cell>
          <cell r="F127" t="str">
            <v>BELLAVISTA</v>
          </cell>
          <cell r="G127" t="str">
            <v>BELLAVISTA</v>
          </cell>
          <cell r="H127" t="str">
            <v>III</v>
          </cell>
          <cell r="I127" t="str">
            <v>Caserío</v>
          </cell>
          <cell r="J127" t="str">
            <v>IV</v>
          </cell>
          <cell r="K127">
            <v>10</v>
          </cell>
          <cell r="L127">
            <v>55</v>
          </cell>
          <cell r="M127">
            <v>25</v>
          </cell>
          <cell r="N127">
            <v>125</v>
          </cell>
          <cell r="O127">
            <v>7.0809651529851525E-2</v>
          </cell>
          <cell r="P127">
            <v>3.9527778807701308E-2</v>
          </cell>
          <cell r="Q127">
            <v>0.02</v>
          </cell>
          <cell r="R127">
            <v>5</v>
          </cell>
          <cell r="S127">
            <v>0</v>
          </cell>
          <cell r="T127">
            <v>30</v>
          </cell>
          <cell r="U127">
            <v>0</v>
          </cell>
          <cell r="V127">
            <v>152</v>
          </cell>
          <cell r="Y127" t="str">
            <v>x</v>
          </cell>
          <cell r="AB127">
            <v>97</v>
          </cell>
          <cell r="AD127" t="e">
            <v>#N/A</v>
          </cell>
          <cell r="AE127" t="e">
            <v>#N/A</v>
          </cell>
        </row>
        <row r="128">
          <cell r="E128" t="str">
            <v>MISQUIYACU</v>
          </cell>
          <cell r="F128" t="str">
            <v>BELLAVISTA</v>
          </cell>
          <cell r="G128" t="str">
            <v>BELLAVISTA</v>
          </cell>
          <cell r="H128" t="str">
            <v>III</v>
          </cell>
          <cell r="I128" t="str">
            <v>Caserío</v>
          </cell>
          <cell r="J128" t="str">
            <v>IV</v>
          </cell>
          <cell r="K128">
            <v>18</v>
          </cell>
          <cell r="L128">
            <v>120</v>
          </cell>
          <cell r="M128">
            <v>65</v>
          </cell>
          <cell r="N128">
            <v>337</v>
          </cell>
          <cell r="O128">
            <v>8.9860019623964948E-2</v>
          </cell>
          <cell r="P128">
            <v>3.9527778807701308E-2</v>
          </cell>
          <cell r="Q128">
            <v>0.02</v>
          </cell>
          <cell r="R128">
            <v>5.1846153846153848</v>
          </cell>
          <cell r="S128">
            <v>0</v>
          </cell>
          <cell r="T128">
            <v>79</v>
          </cell>
          <cell r="U128">
            <v>0</v>
          </cell>
          <cell r="V128">
            <v>411</v>
          </cell>
          <cell r="Y128" t="str">
            <v>x</v>
          </cell>
          <cell r="AB128">
            <v>23</v>
          </cell>
          <cell r="AD128" t="e">
            <v>#N/A</v>
          </cell>
          <cell r="AE128" t="e">
            <v>#N/A</v>
          </cell>
        </row>
        <row r="129">
          <cell r="E129" t="str">
            <v>BUENOS AIRES DE BELLAVISTA</v>
          </cell>
          <cell r="F129" t="str">
            <v>BELLAVISTA</v>
          </cell>
          <cell r="G129" t="str">
            <v>BELLAVISTA</v>
          </cell>
          <cell r="H129" t="str">
            <v>III</v>
          </cell>
          <cell r="I129" t="str">
            <v>Caserío</v>
          </cell>
          <cell r="J129" t="str">
            <v>IV</v>
          </cell>
          <cell r="K129">
            <v>15</v>
          </cell>
          <cell r="L129">
            <v>100</v>
          </cell>
          <cell r="M129">
            <v>65</v>
          </cell>
          <cell r="N129">
            <v>387</v>
          </cell>
          <cell r="O129">
            <v>0.1193758004511345</v>
          </cell>
          <cell r="P129">
            <v>3.9527778807701308E-2</v>
          </cell>
          <cell r="Q129">
            <v>0.02</v>
          </cell>
          <cell r="R129">
            <v>5.953846153846154</v>
          </cell>
          <cell r="S129">
            <v>0</v>
          </cell>
          <cell r="T129">
            <v>79</v>
          </cell>
          <cell r="U129">
            <v>0</v>
          </cell>
          <cell r="V129">
            <v>472</v>
          </cell>
          <cell r="Y129" t="str">
            <v>x</v>
          </cell>
          <cell r="AB129">
            <v>25</v>
          </cell>
          <cell r="AD129" t="e">
            <v>#N/A</v>
          </cell>
          <cell r="AE129" t="e">
            <v>#N/A</v>
          </cell>
        </row>
        <row r="130">
          <cell r="E130" t="str">
            <v>N.FLORIDA DE BELLAVISTA</v>
          </cell>
          <cell r="F130" t="str">
            <v>BELLAVISTA</v>
          </cell>
          <cell r="G130" t="str">
            <v>BELLAVISTA</v>
          </cell>
          <cell r="H130" t="str">
            <v>II</v>
          </cell>
          <cell r="I130" t="str">
            <v>Caserío</v>
          </cell>
          <cell r="J130" t="str">
            <v>III</v>
          </cell>
          <cell r="K130">
            <v>60</v>
          </cell>
          <cell r="L130">
            <v>265</v>
          </cell>
          <cell r="M130">
            <v>105</v>
          </cell>
          <cell r="N130">
            <v>630</v>
          </cell>
          <cell r="O130">
            <v>7.4833571928188958E-2</v>
          </cell>
          <cell r="P130">
            <v>3.9527778807701308E-2</v>
          </cell>
          <cell r="Q130">
            <v>0.02</v>
          </cell>
          <cell r="R130">
            <v>6</v>
          </cell>
          <cell r="S130">
            <v>0</v>
          </cell>
          <cell r="T130">
            <v>128</v>
          </cell>
          <cell r="U130">
            <v>0</v>
          </cell>
          <cell r="V130">
            <v>768</v>
          </cell>
          <cell r="X130" t="str">
            <v>x</v>
          </cell>
          <cell r="AB130">
            <v>23</v>
          </cell>
          <cell r="AD130" t="e">
            <v>#N/A</v>
          </cell>
          <cell r="AE130" t="e">
            <v>#N/A</v>
          </cell>
        </row>
        <row r="131">
          <cell r="E131" t="str">
            <v>LAS MERCEDES</v>
          </cell>
          <cell r="F131" t="str">
            <v>BELLAVISTA</v>
          </cell>
          <cell r="G131" t="str">
            <v>BELLAVISTA</v>
          </cell>
          <cell r="H131" t="str">
            <v>II</v>
          </cell>
          <cell r="I131" t="str">
            <v>Pueblo</v>
          </cell>
          <cell r="J131" t="str">
            <v>III</v>
          </cell>
          <cell r="K131">
            <v>54</v>
          </cell>
          <cell r="L131">
            <v>325</v>
          </cell>
          <cell r="M131">
            <v>141</v>
          </cell>
          <cell r="N131">
            <v>755</v>
          </cell>
          <cell r="O131">
            <v>7.2766737555586491E-2</v>
          </cell>
          <cell r="P131">
            <v>3.9527778807701308E-2</v>
          </cell>
          <cell r="Q131">
            <v>0.02</v>
          </cell>
          <cell r="R131">
            <v>5.3546099290780145</v>
          </cell>
          <cell r="S131">
            <v>0</v>
          </cell>
          <cell r="T131">
            <v>172</v>
          </cell>
          <cell r="U131">
            <v>0</v>
          </cell>
          <cell r="V131">
            <v>920</v>
          </cell>
          <cell r="X131" t="str">
            <v>x</v>
          </cell>
        </row>
        <row r="132">
          <cell r="E132" t="str">
            <v>HUACHO</v>
          </cell>
          <cell r="F132" t="str">
            <v>BELLAVISTA</v>
          </cell>
          <cell r="G132" t="str">
            <v>BELLAVISTA</v>
          </cell>
          <cell r="H132" t="str">
            <v>II</v>
          </cell>
          <cell r="I132" t="str">
            <v>Caserío</v>
          </cell>
          <cell r="J132" t="str">
            <v>III</v>
          </cell>
          <cell r="K132">
            <v>40</v>
          </cell>
          <cell r="L132">
            <v>200</v>
          </cell>
          <cell r="M132">
            <v>94</v>
          </cell>
          <cell r="N132">
            <v>481</v>
          </cell>
          <cell r="O132">
            <v>7.586948576992536E-2</v>
          </cell>
          <cell r="P132">
            <v>3.9527778807701308E-2</v>
          </cell>
          <cell r="Q132">
            <v>0.02</v>
          </cell>
          <cell r="R132">
            <v>5.1170212765957448</v>
          </cell>
          <cell r="S132">
            <v>0</v>
          </cell>
          <cell r="T132">
            <v>115</v>
          </cell>
          <cell r="U132">
            <v>0</v>
          </cell>
          <cell r="V132">
            <v>586</v>
          </cell>
          <cell r="X132" t="str">
            <v>x</v>
          </cell>
        </row>
        <row r="133">
          <cell r="E133" t="str">
            <v>HUINGOYACU</v>
          </cell>
          <cell r="F133" t="str">
            <v>SAN PABLO</v>
          </cell>
          <cell r="G133" t="str">
            <v>BELLAVISTA</v>
          </cell>
          <cell r="H133" t="str">
            <v>II</v>
          </cell>
          <cell r="I133" t="str">
            <v>Pueblo</v>
          </cell>
          <cell r="J133" t="str">
            <v>III</v>
          </cell>
          <cell r="K133">
            <v>110</v>
          </cell>
          <cell r="L133">
            <v>500</v>
          </cell>
          <cell r="M133">
            <v>177</v>
          </cell>
          <cell r="N133">
            <v>968</v>
          </cell>
          <cell r="O133">
            <v>5.6595555234557837E-2</v>
          </cell>
          <cell r="P133">
            <v>7.0743791911126452E-2</v>
          </cell>
          <cell r="Q133">
            <v>0.02</v>
          </cell>
          <cell r="R133">
            <v>5.4689265536723166</v>
          </cell>
          <cell r="S133">
            <v>0</v>
          </cell>
          <cell r="T133">
            <v>216</v>
          </cell>
          <cell r="U133">
            <v>0</v>
          </cell>
          <cell r="V133">
            <v>1180</v>
          </cell>
          <cell r="X133" t="str">
            <v>x</v>
          </cell>
        </row>
        <row r="134">
          <cell r="E134" t="str">
            <v>SHAMBOYACU DE S. PABLO</v>
          </cell>
          <cell r="F134" t="str">
            <v>SAN PABLO</v>
          </cell>
          <cell r="G134" t="str">
            <v>BELLAVISTA</v>
          </cell>
          <cell r="H134" t="str">
            <v>II</v>
          </cell>
          <cell r="I134" t="str">
            <v>Caserío</v>
          </cell>
          <cell r="J134" t="str">
            <v>IV</v>
          </cell>
          <cell r="K134">
            <v>30</v>
          </cell>
          <cell r="L134">
            <v>160</v>
          </cell>
          <cell r="M134">
            <v>46</v>
          </cell>
          <cell r="N134">
            <v>245</v>
          </cell>
          <cell r="O134">
            <v>3.6144935250268739E-2</v>
          </cell>
          <cell r="P134">
            <v>7.0743791911126452E-2</v>
          </cell>
          <cell r="Q134">
            <v>0.02</v>
          </cell>
          <cell r="R134">
            <v>5.3260869565217392</v>
          </cell>
          <cell r="S134">
            <v>0</v>
          </cell>
          <cell r="T134">
            <v>56</v>
          </cell>
          <cell r="U134">
            <v>0</v>
          </cell>
          <cell r="V134">
            <v>299</v>
          </cell>
          <cell r="X134" t="str">
            <v>x</v>
          </cell>
        </row>
        <row r="135">
          <cell r="E135" t="str">
            <v>CARIBE</v>
          </cell>
          <cell r="F135" t="str">
            <v>SAN PABLO</v>
          </cell>
          <cell r="G135" t="str">
            <v>BELLAVISTA</v>
          </cell>
          <cell r="H135" t="str">
            <v>III</v>
          </cell>
          <cell r="I135" t="str">
            <v>Caserío</v>
          </cell>
          <cell r="J135" t="str">
            <v>IV</v>
          </cell>
          <cell r="K135">
            <v>30</v>
          </cell>
          <cell r="L135">
            <v>156</v>
          </cell>
          <cell r="M135">
            <v>40</v>
          </cell>
          <cell r="N135">
            <v>250</v>
          </cell>
          <cell r="O135">
            <v>4.0082887209870632E-2</v>
          </cell>
          <cell r="P135">
            <v>7.0743791911126452E-2</v>
          </cell>
          <cell r="Q135">
            <v>0.02</v>
          </cell>
          <cell r="R135">
            <v>6.25</v>
          </cell>
          <cell r="S135">
            <v>0</v>
          </cell>
          <cell r="T135">
            <v>49</v>
          </cell>
          <cell r="U135">
            <v>0</v>
          </cell>
          <cell r="V135">
            <v>305</v>
          </cell>
          <cell r="Y135" t="str">
            <v>x</v>
          </cell>
        </row>
        <row r="136">
          <cell r="E136" t="str">
            <v>JOSE PARDO</v>
          </cell>
          <cell r="F136" t="str">
            <v>SAN PABLO</v>
          </cell>
          <cell r="G136" t="str">
            <v>BELLAVISTA</v>
          </cell>
          <cell r="H136" t="str">
            <v>III</v>
          </cell>
          <cell r="I136" t="str">
            <v>Caserío</v>
          </cell>
          <cell r="J136" t="str">
            <v>IV</v>
          </cell>
          <cell r="K136">
            <v>17</v>
          </cell>
          <cell r="L136">
            <v>75</v>
          </cell>
          <cell r="M136">
            <v>42</v>
          </cell>
          <cell r="N136">
            <v>243</v>
          </cell>
          <cell r="O136">
            <v>0.10292356902673916</v>
          </cell>
          <cell r="P136">
            <v>7.0743791911126452E-2</v>
          </cell>
          <cell r="Q136">
            <v>0.02</v>
          </cell>
          <cell r="R136">
            <v>5.7857142857142856</v>
          </cell>
          <cell r="S136">
            <v>0</v>
          </cell>
          <cell r="T136">
            <v>51</v>
          </cell>
          <cell r="U136">
            <v>0</v>
          </cell>
          <cell r="V136">
            <v>296</v>
          </cell>
          <cell r="Y136" t="str">
            <v>x</v>
          </cell>
        </row>
        <row r="137">
          <cell r="E137" t="str">
            <v>UNION CAMPESINA</v>
          </cell>
          <cell r="F137" t="str">
            <v>SAN PABLO</v>
          </cell>
          <cell r="G137" t="str">
            <v>BELLAVISTA</v>
          </cell>
          <cell r="H137" t="str">
            <v>III</v>
          </cell>
          <cell r="I137" t="str">
            <v>Caserío</v>
          </cell>
          <cell r="J137" t="str">
            <v>IV</v>
          </cell>
          <cell r="K137">
            <v>16</v>
          </cell>
          <cell r="L137">
            <v>70</v>
          </cell>
          <cell r="M137">
            <v>22</v>
          </cell>
          <cell r="N137">
            <v>86</v>
          </cell>
          <cell r="O137">
            <v>1.7302318462689259E-2</v>
          </cell>
          <cell r="P137">
            <v>7.0743791911126452E-2</v>
          </cell>
          <cell r="Q137">
            <v>0.02</v>
          </cell>
          <cell r="R137">
            <v>3.9090909090909092</v>
          </cell>
          <cell r="S137">
            <v>0</v>
          </cell>
          <cell r="T137">
            <v>27</v>
          </cell>
          <cell r="U137">
            <v>0</v>
          </cell>
          <cell r="V137">
            <v>105</v>
          </cell>
          <cell r="Y137" t="str">
            <v>x</v>
          </cell>
        </row>
        <row r="138">
          <cell r="E138" t="str">
            <v>CHIMBOTE</v>
          </cell>
          <cell r="F138" t="str">
            <v>SAN PABLO</v>
          </cell>
          <cell r="G138" t="str">
            <v>BELLAVISTA</v>
          </cell>
          <cell r="H138" t="str">
            <v>III</v>
          </cell>
          <cell r="I138" t="str">
            <v>Caserío</v>
          </cell>
          <cell r="J138" t="str">
            <v>IV</v>
          </cell>
          <cell r="K138">
            <v>30</v>
          </cell>
          <cell r="L138">
            <v>180</v>
          </cell>
          <cell r="M138">
            <v>52</v>
          </cell>
          <cell r="N138">
            <v>260</v>
          </cell>
          <cell r="O138">
            <v>3.1118083729935186E-2</v>
          </cell>
          <cell r="P138">
            <v>7.0743791911126452E-2</v>
          </cell>
          <cell r="Q138">
            <v>0.02</v>
          </cell>
          <cell r="R138">
            <v>5</v>
          </cell>
          <cell r="S138">
            <v>0</v>
          </cell>
          <cell r="T138">
            <v>63</v>
          </cell>
          <cell r="U138">
            <v>0</v>
          </cell>
          <cell r="V138">
            <v>317</v>
          </cell>
          <cell r="Y138" t="str">
            <v>x</v>
          </cell>
        </row>
        <row r="139">
          <cell r="E139" t="str">
            <v>DOS UNIDOS DE SAN PABLO</v>
          </cell>
          <cell r="F139" t="str">
            <v>SAN PABLO</v>
          </cell>
          <cell r="G139" t="str">
            <v>BELLAVISTA</v>
          </cell>
          <cell r="H139" t="str">
            <v>III</v>
          </cell>
          <cell r="I139" t="str">
            <v>Caserío</v>
          </cell>
          <cell r="J139" t="str">
            <v>IV</v>
          </cell>
          <cell r="K139">
            <v>7</v>
          </cell>
          <cell r="L139">
            <v>30</v>
          </cell>
          <cell r="M139">
            <v>15</v>
          </cell>
          <cell r="N139">
            <v>60</v>
          </cell>
          <cell r="O139">
            <v>5.946309435929531E-2</v>
          </cell>
          <cell r="P139">
            <v>7.0743791911126452E-2</v>
          </cell>
          <cell r="Q139">
            <v>0.02</v>
          </cell>
          <cell r="R139">
            <v>4</v>
          </cell>
          <cell r="S139">
            <v>0</v>
          </cell>
          <cell r="T139">
            <v>43</v>
          </cell>
          <cell r="U139">
            <v>0</v>
          </cell>
          <cell r="V139">
            <v>172</v>
          </cell>
          <cell r="Y139" t="str">
            <v>x</v>
          </cell>
        </row>
        <row r="140">
          <cell r="E140" t="str">
            <v>SAN ANDRES</v>
          </cell>
          <cell r="F140" t="str">
            <v>SAN PABLO</v>
          </cell>
          <cell r="G140" t="str">
            <v>BELLAVISTA</v>
          </cell>
          <cell r="H140" t="str">
            <v>III</v>
          </cell>
          <cell r="I140" t="str">
            <v>Caserío</v>
          </cell>
          <cell r="J140" t="str">
            <v>IV</v>
          </cell>
          <cell r="K140">
            <v>31</v>
          </cell>
          <cell r="L140">
            <v>160</v>
          </cell>
          <cell r="M140">
            <v>42</v>
          </cell>
          <cell r="N140">
            <v>227</v>
          </cell>
          <cell r="O140">
            <v>2.9576977942381344E-2</v>
          </cell>
          <cell r="P140">
            <v>7.0743791911126452E-2</v>
          </cell>
          <cell r="Q140">
            <v>0.02</v>
          </cell>
          <cell r="R140">
            <v>5.4047619047619051</v>
          </cell>
          <cell r="S140">
            <v>0</v>
          </cell>
          <cell r="T140">
            <v>51</v>
          </cell>
          <cell r="U140">
            <v>0</v>
          </cell>
          <cell r="V140">
            <v>277</v>
          </cell>
          <cell r="Y140" t="str">
            <v>x</v>
          </cell>
        </row>
        <row r="141">
          <cell r="E141" t="str">
            <v>SAN IGNACIO</v>
          </cell>
          <cell r="F141" t="str">
            <v>SAN PABLO</v>
          </cell>
          <cell r="G141" t="str">
            <v>BELLAVISTA</v>
          </cell>
          <cell r="H141" t="str">
            <v>III</v>
          </cell>
          <cell r="I141" t="str">
            <v>Caserío</v>
          </cell>
          <cell r="J141" t="str">
            <v>IV</v>
          </cell>
          <cell r="K141">
            <v>11</v>
          </cell>
          <cell r="L141">
            <v>76</v>
          </cell>
          <cell r="M141">
            <v>36</v>
          </cell>
          <cell r="N141">
            <v>195</v>
          </cell>
          <cell r="O141">
            <v>8.1687351974721656E-2</v>
          </cell>
          <cell r="P141">
            <v>7.0743791911126452E-2</v>
          </cell>
          <cell r="Q141">
            <v>0.02</v>
          </cell>
          <cell r="R141">
            <v>5.416666666666667</v>
          </cell>
          <cell r="S141">
            <v>0</v>
          </cell>
          <cell r="T141">
            <v>44</v>
          </cell>
          <cell r="U141">
            <v>0</v>
          </cell>
          <cell r="V141">
            <v>238</v>
          </cell>
          <cell r="Y141" t="str">
            <v>x</v>
          </cell>
        </row>
        <row r="142">
          <cell r="E142" t="str">
            <v>DOS DE MAYO DE SAN PABLO</v>
          </cell>
          <cell r="F142" t="str">
            <v>SAN PABLO</v>
          </cell>
          <cell r="G142" t="str">
            <v>BELLAVISTA</v>
          </cell>
          <cell r="H142" t="str">
            <v>III</v>
          </cell>
          <cell r="I142" t="str">
            <v>Caserío</v>
          </cell>
          <cell r="J142" t="str">
            <v>III</v>
          </cell>
          <cell r="K142">
            <v>25</v>
          </cell>
          <cell r="L142">
            <v>107</v>
          </cell>
          <cell r="M142">
            <v>68</v>
          </cell>
          <cell r="N142">
            <v>360</v>
          </cell>
          <cell r="O142">
            <v>0.10639420806346656</v>
          </cell>
          <cell r="P142">
            <v>7.0743791911126452E-2</v>
          </cell>
          <cell r="Q142">
            <v>0.02</v>
          </cell>
          <cell r="R142">
            <v>5.2941176470588234</v>
          </cell>
          <cell r="S142">
            <v>0</v>
          </cell>
          <cell r="T142">
            <v>83</v>
          </cell>
          <cell r="U142">
            <v>0</v>
          </cell>
          <cell r="V142">
            <v>439</v>
          </cell>
          <cell r="Y142" t="str">
            <v>x</v>
          </cell>
        </row>
        <row r="143">
          <cell r="E143" t="str">
            <v>NUEVA FLORES</v>
          </cell>
          <cell r="F143" t="str">
            <v>SAN PABLO</v>
          </cell>
          <cell r="G143" t="str">
            <v>BELLAVISTA</v>
          </cell>
          <cell r="H143" t="str">
            <v>III</v>
          </cell>
          <cell r="I143" t="str">
            <v>Caserío</v>
          </cell>
          <cell r="J143" t="str">
            <v>IV</v>
          </cell>
          <cell r="K143">
            <v>10</v>
          </cell>
          <cell r="L143">
            <v>60</v>
          </cell>
          <cell r="M143">
            <v>22</v>
          </cell>
          <cell r="N143">
            <v>118</v>
          </cell>
          <cell r="O143">
            <v>5.79802562299645E-2</v>
          </cell>
          <cell r="P143">
            <v>7.0743791911126452E-2</v>
          </cell>
          <cell r="Q143">
            <v>0.02</v>
          </cell>
          <cell r="R143">
            <v>5.3636363636363633</v>
          </cell>
          <cell r="S143">
            <v>0</v>
          </cell>
          <cell r="T143">
            <v>27</v>
          </cell>
          <cell r="U143">
            <v>0</v>
          </cell>
          <cell r="V143">
            <v>144</v>
          </cell>
          <cell r="Y143" t="str">
            <v>x</v>
          </cell>
        </row>
        <row r="144">
          <cell r="E144" t="str">
            <v>YACUSISA DE SAN PABLO</v>
          </cell>
          <cell r="F144" t="str">
            <v>SAN PABLO</v>
          </cell>
          <cell r="G144" t="str">
            <v>BELLAVISTA</v>
          </cell>
          <cell r="H144" t="str">
            <v>III</v>
          </cell>
          <cell r="I144" t="str">
            <v>Caserío</v>
          </cell>
          <cell r="J144" t="str">
            <v>IV</v>
          </cell>
          <cell r="K144">
            <v>12</v>
          </cell>
          <cell r="L144">
            <v>23</v>
          </cell>
          <cell r="M144">
            <v>8</v>
          </cell>
          <cell r="N144">
            <v>61</v>
          </cell>
          <cell r="O144">
            <v>8.4676338926447103E-2</v>
          </cell>
          <cell r="P144">
            <v>7.0743791911126452E-2</v>
          </cell>
          <cell r="Q144">
            <v>0.02</v>
          </cell>
          <cell r="R144">
            <v>7.625</v>
          </cell>
          <cell r="S144">
            <v>0</v>
          </cell>
          <cell r="T144">
            <v>10</v>
          </cell>
          <cell r="U144">
            <v>0</v>
          </cell>
          <cell r="V144">
            <v>74</v>
          </cell>
          <cell r="Y144" t="str">
            <v>x</v>
          </cell>
        </row>
        <row r="145">
          <cell r="E145" t="str">
            <v>SANTA VICTORIA</v>
          </cell>
          <cell r="F145" t="str">
            <v>SAN PABLO</v>
          </cell>
          <cell r="G145" t="str">
            <v>BELLAVISTA</v>
          </cell>
          <cell r="H145" t="str">
            <v>III</v>
          </cell>
          <cell r="I145" t="str">
            <v>Caserío</v>
          </cell>
          <cell r="J145" t="str">
            <v>IV</v>
          </cell>
          <cell r="K145">
            <v>20</v>
          </cell>
          <cell r="L145">
            <v>95</v>
          </cell>
          <cell r="M145">
            <v>33</v>
          </cell>
          <cell r="N145">
            <v>143</v>
          </cell>
          <cell r="O145">
            <v>3.4668044052495794E-2</v>
          </cell>
          <cell r="P145">
            <v>7.0743791911126452E-2</v>
          </cell>
          <cell r="Q145">
            <v>0.02</v>
          </cell>
          <cell r="R145">
            <v>4.333333333333333</v>
          </cell>
          <cell r="S145">
            <v>0</v>
          </cell>
          <cell r="T145">
            <v>40</v>
          </cell>
          <cell r="U145">
            <v>0</v>
          </cell>
          <cell r="V145">
            <v>174</v>
          </cell>
          <cell r="Y145" t="str">
            <v>x</v>
          </cell>
        </row>
        <row r="146">
          <cell r="E146" t="str">
            <v>FAUSA LAMISTA</v>
          </cell>
          <cell r="F146" t="str">
            <v>SAN PABLO</v>
          </cell>
          <cell r="G146" t="str">
            <v>BELLAVISTA</v>
          </cell>
          <cell r="H146" t="str">
            <v>II</v>
          </cell>
          <cell r="I146" t="str">
            <v>Pueblo</v>
          </cell>
          <cell r="J146" t="str">
            <v>III</v>
          </cell>
          <cell r="K146">
            <v>170</v>
          </cell>
          <cell r="L146">
            <v>700</v>
          </cell>
          <cell r="M146">
            <v>217</v>
          </cell>
          <cell r="N146">
            <v>1193</v>
          </cell>
          <cell r="O146">
            <v>4.5430581837919259E-2</v>
          </cell>
          <cell r="P146">
            <v>7.0743791911126452E-2</v>
          </cell>
          <cell r="Q146">
            <v>0.02</v>
          </cell>
          <cell r="R146">
            <v>5.4976958525345623</v>
          </cell>
          <cell r="S146">
            <v>0</v>
          </cell>
          <cell r="T146">
            <v>264</v>
          </cell>
          <cell r="U146">
            <v>0</v>
          </cell>
          <cell r="V146">
            <v>1454</v>
          </cell>
          <cell r="X146" t="str">
            <v>x</v>
          </cell>
        </row>
        <row r="147">
          <cell r="E147" t="str">
            <v>FAUSA SAPINA</v>
          </cell>
          <cell r="F147" t="str">
            <v>SAN PABLO</v>
          </cell>
          <cell r="G147" t="str">
            <v>BELLAVISTA</v>
          </cell>
          <cell r="H147" t="str">
            <v>II</v>
          </cell>
          <cell r="I147" t="str">
            <v>Caserío</v>
          </cell>
          <cell r="J147" t="str">
            <v>IV</v>
          </cell>
          <cell r="K147">
            <v>40</v>
          </cell>
          <cell r="L147">
            <v>200</v>
          </cell>
          <cell r="M147">
            <v>68</v>
          </cell>
          <cell r="N147">
            <v>325</v>
          </cell>
          <cell r="O147">
            <v>4.1288600008678733E-2</v>
          </cell>
          <cell r="P147">
            <v>7.0743791911126452E-2</v>
          </cell>
          <cell r="Q147">
            <v>0.02</v>
          </cell>
          <cell r="R147">
            <v>4.7794117647058822</v>
          </cell>
          <cell r="S147">
            <v>0</v>
          </cell>
          <cell r="T147">
            <v>83</v>
          </cell>
          <cell r="U147">
            <v>0</v>
          </cell>
          <cell r="V147">
            <v>396</v>
          </cell>
          <cell r="X147" t="str">
            <v>x</v>
          </cell>
        </row>
        <row r="148">
          <cell r="E148" t="str">
            <v>PACASMAYO(ASAGIHUA)</v>
          </cell>
          <cell r="F148" t="str">
            <v>AGUA BLANCA</v>
          </cell>
          <cell r="G148" t="str">
            <v>EL DORADO</v>
          </cell>
          <cell r="H148" t="str">
            <v>II</v>
          </cell>
          <cell r="I148" t="str">
            <v>Caserío</v>
          </cell>
          <cell r="J148" t="str">
            <v>IV</v>
          </cell>
          <cell r="K148">
            <v>60</v>
          </cell>
          <cell r="L148">
            <v>208</v>
          </cell>
          <cell r="M148">
            <v>90</v>
          </cell>
          <cell r="N148">
            <v>422</v>
          </cell>
          <cell r="O148">
            <v>6.0728146400020888E-2</v>
          </cell>
          <cell r="P148">
            <v>6.6322678215777753E-3</v>
          </cell>
          <cell r="Q148">
            <v>0.01</v>
          </cell>
          <cell r="R148">
            <v>4.6888888888888891</v>
          </cell>
          <cell r="S148">
            <v>0</v>
          </cell>
          <cell r="T148">
            <v>99</v>
          </cell>
          <cell r="U148">
            <v>0</v>
          </cell>
          <cell r="V148">
            <v>466</v>
          </cell>
          <cell r="X148" t="str">
            <v>x</v>
          </cell>
        </row>
        <row r="149">
          <cell r="E149" t="str">
            <v>NUEVA ZELANDIA</v>
          </cell>
          <cell r="F149" t="str">
            <v>SAN JOSE DE SISA</v>
          </cell>
          <cell r="G149" t="str">
            <v>EL DORADO</v>
          </cell>
          <cell r="H149" t="str">
            <v>III</v>
          </cell>
          <cell r="I149" t="str">
            <v>Caserío</v>
          </cell>
          <cell r="J149" t="str">
            <v>IV</v>
          </cell>
          <cell r="K149">
            <v>8</v>
          </cell>
          <cell r="L149">
            <v>56</v>
          </cell>
          <cell r="M149">
            <v>73</v>
          </cell>
          <cell r="N149">
            <v>216</v>
          </cell>
          <cell r="O149">
            <v>0.11906542284787669</v>
          </cell>
          <cell r="P149">
            <v>1.8634358285857466E-2</v>
          </cell>
          <cell r="Q149">
            <v>1.8634358285857466E-2</v>
          </cell>
          <cell r="R149">
            <v>2.9589041095890409</v>
          </cell>
          <cell r="S149">
            <v>0</v>
          </cell>
          <cell r="T149">
            <v>88</v>
          </cell>
          <cell r="U149">
            <v>0</v>
          </cell>
          <cell r="V149">
            <v>260</v>
          </cell>
          <cell r="Y149" t="str">
            <v>x</v>
          </cell>
        </row>
        <row r="150">
          <cell r="E150" t="str">
            <v>ELADIO TAPULLIMA</v>
          </cell>
          <cell r="F150" t="str">
            <v>SAN JOSE DE SISA</v>
          </cell>
          <cell r="G150" t="str">
            <v>EL DORADO</v>
          </cell>
          <cell r="H150" t="str">
            <v>II</v>
          </cell>
          <cell r="I150" t="str">
            <v>Caserío</v>
          </cell>
          <cell r="J150" t="str">
            <v>IV</v>
          </cell>
          <cell r="K150">
            <v>15</v>
          </cell>
          <cell r="L150">
            <v>77</v>
          </cell>
          <cell r="M150">
            <v>32</v>
          </cell>
          <cell r="N150">
            <v>115</v>
          </cell>
          <cell r="O150">
            <v>3.3992192767212659E-2</v>
          </cell>
          <cell r="P150">
            <v>1.8634358285857466E-2</v>
          </cell>
          <cell r="Q150">
            <v>1.8634358285857466E-2</v>
          </cell>
          <cell r="R150">
            <v>3.59375</v>
          </cell>
          <cell r="S150">
            <v>0</v>
          </cell>
          <cell r="T150">
            <v>38</v>
          </cell>
          <cell r="U150">
            <v>0</v>
          </cell>
          <cell r="V150">
            <v>138</v>
          </cell>
          <cell r="X150" t="str">
            <v>x</v>
          </cell>
          <cell r="AB150">
            <v>115</v>
          </cell>
          <cell r="AD150" t="e">
            <v>#N/A</v>
          </cell>
          <cell r="AE150" t="e">
            <v>#N/A</v>
          </cell>
        </row>
        <row r="151">
          <cell r="E151" t="str">
            <v>MARAY</v>
          </cell>
          <cell r="F151" t="str">
            <v>SAN JOSE DE SISA</v>
          </cell>
          <cell r="G151" t="str">
            <v>EL DORADO</v>
          </cell>
          <cell r="H151" t="str">
            <v>III</v>
          </cell>
          <cell r="I151" t="str">
            <v>Caserío</v>
          </cell>
          <cell r="J151" t="str">
            <v>IV</v>
          </cell>
          <cell r="K151">
            <v>25</v>
          </cell>
          <cell r="L151">
            <v>105</v>
          </cell>
          <cell r="M151">
            <v>21</v>
          </cell>
          <cell r="N151">
            <v>110</v>
          </cell>
          <cell r="O151">
            <v>3.8841919663850089E-3</v>
          </cell>
          <cell r="P151">
            <v>1.8634358285857466E-2</v>
          </cell>
          <cell r="Q151">
            <v>1.8634358285857466E-2</v>
          </cell>
          <cell r="R151">
            <v>5.2380952380952381</v>
          </cell>
          <cell r="S151">
            <v>0</v>
          </cell>
          <cell r="T151">
            <v>25</v>
          </cell>
          <cell r="U151">
            <v>0</v>
          </cell>
          <cell r="V151">
            <v>132</v>
          </cell>
          <cell r="Y151" t="str">
            <v>x</v>
          </cell>
          <cell r="AB151">
            <v>29</v>
          </cell>
          <cell r="AD151" t="e">
            <v>#N/A</v>
          </cell>
          <cell r="AE151" t="e">
            <v>#N/A</v>
          </cell>
        </row>
        <row r="152">
          <cell r="E152" t="str">
            <v>SANTA MARTHA</v>
          </cell>
          <cell r="F152" t="str">
            <v>SAN JOSE DE SISA</v>
          </cell>
          <cell r="G152" t="str">
            <v>EL DORADO</v>
          </cell>
          <cell r="H152" t="str">
            <v>II</v>
          </cell>
          <cell r="I152" t="str">
            <v>Pueblo</v>
          </cell>
          <cell r="J152" t="str">
            <v>III</v>
          </cell>
          <cell r="K152">
            <v>128</v>
          </cell>
          <cell r="L152">
            <v>760</v>
          </cell>
          <cell r="M152">
            <v>180</v>
          </cell>
          <cell r="N152">
            <v>896</v>
          </cell>
          <cell r="O152">
            <v>1.3813028682759132E-2</v>
          </cell>
          <cell r="P152">
            <v>1.8634358285857466E-2</v>
          </cell>
          <cell r="Q152">
            <v>1.8634358285857466E-2</v>
          </cell>
          <cell r="R152">
            <v>4.9777777777777779</v>
          </cell>
          <cell r="S152">
            <v>0</v>
          </cell>
          <cell r="T152">
            <v>217</v>
          </cell>
          <cell r="U152">
            <v>0</v>
          </cell>
          <cell r="V152">
            <v>1078</v>
          </cell>
          <cell r="X152" t="str">
            <v>x</v>
          </cell>
          <cell r="AB152">
            <v>30</v>
          </cell>
          <cell r="AD152" t="e">
            <v>#N/A</v>
          </cell>
          <cell r="AE152" t="e">
            <v>#N/A</v>
          </cell>
        </row>
        <row r="153">
          <cell r="E153" t="str">
            <v>MIRAFLORES</v>
          </cell>
          <cell r="F153" t="str">
            <v>SAN JOSE DE SISA</v>
          </cell>
          <cell r="G153" t="str">
            <v>EL DORADO</v>
          </cell>
          <cell r="H153" t="str">
            <v>III</v>
          </cell>
          <cell r="I153" t="str">
            <v>Caserío</v>
          </cell>
          <cell r="J153" t="str">
            <v>IV</v>
          </cell>
          <cell r="K153">
            <v>18</v>
          </cell>
          <cell r="L153">
            <v>136</v>
          </cell>
          <cell r="M153">
            <v>32</v>
          </cell>
          <cell r="N153">
            <v>161</v>
          </cell>
          <cell r="O153">
            <v>1.4161798062346742E-2</v>
          </cell>
          <cell r="P153">
            <v>1.8634358285857466E-2</v>
          </cell>
          <cell r="Q153">
            <v>1.8634358285857466E-2</v>
          </cell>
          <cell r="R153">
            <v>5.03125</v>
          </cell>
          <cell r="S153">
            <v>0</v>
          </cell>
          <cell r="T153">
            <v>39</v>
          </cell>
          <cell r="U153">
            <v>0</v>
          </cell>
          <cell r="V153">
            <v>194</v>
          </cell>
          <cell r="Y153" t="str">
            <v>x</v>
          </cell>
          <cell r="AB153">
            <v>15</v>
          </cell>
          <cell r="AD153" t="e">
            <v>#N/A</v>
          </cell>
          <cell r="AE153" t="e">
            <v>#N/A</v>
          </cell>
        </row>
        <row r="154">
          <cell r="E154" t="str">
            <v>CESAR VALLEJO</v>
          </cell>
          <cell r="F154" t="str">
            <v>SAN JOSE DE SISA</v>
          </cell>
          <cell r="G154" t="str">
            <v>EL DORADO</v>
          </cell>
          <cell r="H154" t="str">
            <v>II</v>
          </cell>
          <cell r="I154" t="str">
            <v>Caserío</v>
          </cell>
          <cell r="J154" t="str">
            <v>IV</v>
          </cell>
          <cell r="K154">
            <v>20</v>
          </cell>
          <cell r="L154">
            <v>100</v>
          </cell>
          <cell r="M154">
            <v>31</v>
          </cell>
          <cell r="N154">
            <v>169</v>
          </cell>
          <cell r="O154">
            <v>4.4697507923277202E-2</v>
          </cell>
          <cell r="P154">
            <v>1.8634358285857466E-2</v>
          </cell>
          <cell r="Q154">
            <v>1.8634358285857466E-2</v>
          </cell>
          <cell r="R154">
            <v>5.4516129032258061</v>
          </cell>
          <cell r="S154">
            <v>0</v>
          </cell>
          <cell r="T154">
            <v>37</v>
          </cell>
          <cell r="U154">
            <v>0</v>
          </cell>
          <cell r="V154">
            <v>203</v>
          </cell>
          <cell r="X154" t="str">
            <v>x</v>
          </cell>
          <cell r="AB154">
            <v>28</v>
          </cell>
          <cell r="AD154" t="e">
            <v>#N/A</v>
          </cell>
          <cell r="AE154" t="e">
            <v>#N/A</v>
          </cell>
        </row>
        <row r="155">
          <cell r="E155" t="str">
            <v>NAUTA</v>
          </cell>
          <cell r="F155" t="str">
            <v>SAN JOSE DE SISA</v>
          </cell>
          <cell r="G155" t="str">
            <v>EL DORADO</v>
          </cell>
          <cell r="H155" t="str">
            <v>II</v>
          </cell>
          <cell r="I155" t="str">
            <v>Caserío</v>
          </cell>
          <cell r="J155" t="str">
            <v>III</v>
          </cell>
          <cell r="K155">
            <v>55</v>
          </cell>
          <cell r="L155">
            <v>395</v>
          </cell>
          <cell r="M155">
            <v>123</v>
          </cell>
          <cell r="N155">
            <v>613</v>
          </cell>
          <cell r="O155">
            <v>3.7302158413262898E-2</v>
          </cell>
          <cell r="P155">
            <v>1.8634358285857466E-2</v>
          </cell>
          <cell r="Q155">
            <v>1.8634358285857466E-2</v>
          </cell>
          <cell r="R155">
            <v>4.9837398373983737</v>
          </cell>
          <cell r="S155">
            <v>0</v>
          </cell>
          <cell r="T155">
            <v>148</v>
          </cell>
          <cell r="U155">
            <v>0</v>
          </cell>
          <cell r="V155">
            <v>737</v>
          </cell>
          <cell r="X155" t="str">
            <v>x</v>
          </cell>
          <cell r="AB155">
            <v>13</v>
          </cell>
          <cell r="AD155" t="e">
            <v>#N/A</v>
          </cell>
          <cell r="AE155" t="e">
            <v>#N/A</v>
          </cell>
        </row>
        <row r="156">
          <cell r="E156" t="str">
            <v>SANTA CRUZ</v>
          </cell>
          <cell r="F156" t="str">
            <v>SAN JOSE DE SISA</v>
          </cell>
          <cell r="G156" t="str">
            <v>EL DORADO</v>
          </cell>
          <cell r="H156" t="str">
            <v>II</v>
          </cell>
          <cell r="I156" t="str">
            <v>Caserío</v>
          </cell>
          <cell r="J156" t="str">
            <v>III</v>
          </cell>
          <cell r="K156">
            <v>112</v>
          </cell>
          <cell r="L156">
            <v>654</v>
          </cell>
          <cell r="M156">
            <v>199</v>
          </cell>
          <cell r="N156">
            <v>1000</v>
          </cell>
          <cell r="O156">
            <v>3.6020910271906015E-2</v>
          </cell>
          <cell r="P156">
            <v>1.8634358285857466E-2</v>
          </cell>
          <cell r="Q156">
            <v>1.8634358285857466E-2</v>
          </cell>
          <cell r="R156">
            <v>5.025125628140704</v>
          </cell>
          <cell r="S156">
            <v>0</v>
          </cell>
          <cell r="T156">
            <v>239</v>
          </cell>
          <cell r="U156">
            <v>0</v>
          </cell>
          <cell r="V156">
            <v>1203</v>
          </cell>
          <cell r="X156" t="str">
            <v>x</v>
          </cell>
          <cell r="AB156">
            <v>126</v>
          </cell>
          <cell r="AD156" t="e">
            <v>#N/A</v>
          </cell>
          <cell r="AE156" t="e">
            <v>#N/A</v>
          </cell>
        </row>
        <row r="157">
          <cell r="E157" t="str">
            <v>SAN JUAN DE MIRAFLORES</v>
          </cell>
          <cell r="F157" t="str">
            <v>SAN JOSE DE SISA</v>
          </cell>
          <cell r="G157" t="str">
            <v>EL DORADO</v>
          </cell>
          <cell r="H157" t="str">
            <v>II</v>
          </cell>
          <cell r="I157" t="str">
            <v>Caserío</v>
          </cell>
          <cell r="J157" t="str">
            <v>IV</v>
          </cell>
          <cell r="K157">
            <v>19</v>
          </cell>
          <cell r="L157">
            <v>84</v>
          </cell>
          <cell r="M157">
            <v>56</v>
          </cell>
          <cell r="N157">
            <v>279</v>
          </cell>
          <cell r="O157">
            <v>0.10520729564937259</v>
          </cell>
          <cell r="P157">
            <v>1.8634358285857466E-2</v>
          </cell>
          <cell r="Q157">
            <v>1.8634358285857466E-2</v>
          </cell>
          <cell r="R157">
            <v>4.9821428571428568</v>
          </cell>
          <cell r="S157">
            <v>0</v>
          </cell>
          <cell r="T157">
            <v>67</v>
          </cell>
          <cell r="U157">
            <v>0</v>
          </cell>
          <cell r="V157">
            <v>336</v>
          </cell>
          <cell r="X157" t="str">
            <v>x</v>
          </cell>
        </row>
        <row r="158">
          <cell r="E158" t="str">
            <v>HUAJA</v>
          </cell>
          <cell r="F158" t="str">
            <v>SAN JOSE DE SISA</v>
          </cell>
          <cell r="G158" t="str">
            <v>EL DORADO</v>
          </cell>
          <cell r="H158" t="str">
            <v>II</v>
          </cell>
          <cell r="I158" t="str">
            <v>Caserío</v>
          </cell>
          <cell r="J158" t="str">
            <v>III</v>
          </cell>
          <cell r="K158">
            <v>60</v>
          </cell>
          <cell r="L158">
            <v>300</v>
          </cell>
          <cell r="M158">
            <v>155</v>
          </cell>
          <cell r="N158">
            <v>641</v>
          </cell>
          <cell r="O158">
            <v>6.5315055160727997E-2</v>
          </cell>
          <cell r="P158">
            <v>1.8634358285857466E-2</v>
          </cell>
          <cell r="Q158">
            <v>1.8634358285857466E-2</v>
          </cell>
          <cell r="R158">
            <v>4.1354838709677422</v>
          </cell>
          <cell r="S158">
            <v>0</v>
          </cell>
          <cell r="T158">
            <v>186</v>
          </cell>
          <cell r="U158">
            <v>0</v>
          </cell>
          <cell r="V158">
            <v>771</v>
          </cell>
          <cell r="X158" t="str">
            <v>x</v>
          </cell>
        </row>
        <row r="159">
          <cell r="E159" t="str">
            <v>ALTO HUAJA</v>
          </cell>
          <cell r="F159" t="str">
            <v>SAN JOSE DE SISA</v>
          </cell>
          <cell r="G159" t="str">
            <v>EL DORADO</v>
          </cell>
          <cell r="H159" t="str">
            <v>III</v>
          </cell>
          <cell r="I159" t="str">
            <v>Caserío</v>
          </cell>
          <cell r="J159" t="str">
            <v>IV</v>
          </cell>
          <cell r="K159">
            <v>20</v>
          </cell>
          <cell r="L159">
            <v>100</v>
          </cell>
          <cell r="M159">
            <v>40</v>
          </cell>
          <cell r="N159">
            <v>200</v>
          </cell>
          <cell r="O159">
            <v>5.946309435929531E-2</v>
          </cell>
          <cell r="P159">
            <v>1.8634358285857466E-2</v>
          </cell>
          <cell r="Q159">
            <v>1.8634358285857466E-2</v>
          </cell>
          <cell r="R159">
            <v>5</v>
          </cell>
          <cell r="S159">
            <v>0</v>
          </cell>
          <cell r="T159">
            <v>48</v>
          </cell>
          <cell r="U159">
            <v>0</v>
          </cell>
          <cell r="V159">
            <v>241</v>
          </cell>
          <cell r="Y159" t="str">
            <v>x</v>
          </cell>
        </row>
        <row r="160">
          <cell r="E160" t="str">
            <v>ISHICHIWI</v>
          </cell>
          <cell r="F160" t="str">
            <v>SAN JOSE DE SISA</v>
          </cell>
          <cell r="G160" t="str">
            <v>EL DORADO</v>
          </cell>
          <cell r="H160" t="str">
            <v>III</v>
          </cell>
          <cell r="I160" t="str">
            <v>Caserío</v>
          </cell>
          <cell r="J160" t="str">
            <v>IV</v>
          </cell>
          <cell r="K160">
            <v>56</v>
          </cell>
          <cell r="L160">
            <v>237</v>
          </cell>
          <cell r="M160">
            <v>85</v>
          </cell>
          <cell r="N160">
            <v>396</v>
          </cell>
          <cell r="O160">
            <v>4.3707738019869158E-2</v>
          </cell>
          <cell r="P160">
            <v>1.8634358285857466E-2</v>
          </cell>
          <cell r="Q160">
            <v>1.8634358285857466E-2</v>
          </cell>
          <cell r="R160">
            <v>4.658823529411765</v>
          </cell>
          <cell r="S160">
            <v>0</v>
          </cell>
          <cell r="T160">
            <v>102</v>
          </cell>
          <cell r="U160">
            <v>0</v>
          </cell>
          <cell r="V160">
            <v>476</v>
          </cell>
          <cell r="Y160" t="str">
            <v>x</v>
          </cell>
        </row>
        <row r="161">
          <cell r="E161" t="str">
            <v>SAN JUAN SALADO</v>
          </cell>
          <cell r="F161" t="str">
            <v>SAN JOSE DE SISA</v>
          </cell>
          <cell r="G161" t="str">
            <v>EL DORADO</v>
          </cell>
          <cell r="H161" t="str">
            <v>II</v>
          </cell>
          <cell r="I161" t="str">
            <v>Caserío</v>
          </cell>
          <cell r="J161" t="str">
            <v>IV</v>
          </cell>
          <cell r="K161">
            <v>38</v>
          </cell>
          <cell r="L161">
            <v>137</v>
          </cell>
          <cell r="M161">
            <v>65</v>
          </cell>
          <cell r="N161">
            <v>238</v>
          </cell>
          <cell r="O161">
            <v>4.7099693558201983E-2</v>
          </cell>
          <cell r="P161">
            <v>1.8634358285857466E-2</v>
          </cell>
          <cell r="Q161">
            <v>1.8634358285857466E-2</v>
          </cell>
          <cell r="R161">
            <v>3.6615384615384614</v>
          </cell>
          <cell r="S161">
            <v>0</v>
          </cell>
          <cell r="T161">
            <v>78</v>
          </cell>
          <cell r="U161">
            <v>0</v>
          </cell>
          <cell r="V161">
            <v>286</v>
          </cell>
          <cell r="X161" t="str">
            <v>x</v>
          </cell>
        </row>
        <row r="162">
          <cell r="E162" t="str">
            <v>CHAMBIRA DE S.J. DE SISA</v>
          </cell>
          <cell r="F162" t="str">
            <v>SAN JOSE DE SISA</v>
          </cell>
          <cell r="G162" t="str">
            <v>EL DORADO</v>
          </cell>
          <cell r="H162" t="str">
            <v>III</v>
          </cell>
          <cell r="I162" t="str">
            <v>Caserío</v>
          </cell>
          <cell r="J162" t="str">
            <v>IV</v>
          </cell>
          <cell r="K162">
            <v>15</v>
          </cell>
          <cell r="L162">
            <v>75</v>
          </cell>
          <cell r="M162">
            <v>20</v>
          </cell>
          <cell r="N162">
            <v>100</v>
          </cell>
          <cell r="O162">
            <v>2.426318074098921E-2</v>
          </cell>
          <cell r="P162">
            <v>1.8634358285857466E-2</v>
          </cell>
          <cell r="Q162">
            <v>1.8634358285857466E-2</v>
          </cell>
          <cell r="R162">
            <v>5</v>
          </cell>
          <cell r="S162">
            <v>0</v>
          </cell>
          <cell r="T162">
            <v>24</v>
          </cell>
          <cell r="U162">
            <v>0</v>
          </cell>
          <cell r="V162">
            <v>120</v>
          </cell>
          <cell r="Y162" t="str">
            <v>x</v>
          </cell>
        </row>
        <row r="163">
          <cell r="E163" t="str">
            <v>PINTUYACU</v>
          </cell>
          <cell r="F163" t="str">
            <v>SAN JOSE DE SISA</v>
          </cell>
          <cell r="G163" t="str">
            <v>EL DORADO</v>
          </cell>
          <cell r="H163" t="str">
            <v>III</v>
          </cell>
          <cell r="I163" t="str">
            <v>Caserío</v>
          </cell>
          <cell r="J163" t="str">
            <v>IV</v>
          </cell>
          <cell r="K163">
            <v>20</v>
          </cell>
          <cell r="L163">
            <v>85</v>
          </cell>
          <cell r="M163">
            <v>18</v>
          </cell>
          <cell r="N163">
            <v>95</v>
          </cell>
          <cell r="O163">
            <v>9.3118913026923877E-3</v>
          </cell>
          <cell r="P163">
            <v>1.8634358285857466E-2</v>
          </cell>
          <cell r="Q163">
            <v>1.8634358285857466E-2</v>
          </cell>
          <cell r="R163">
            <v>5.2777777777777777</v>
          </cell>
          <cell r="S163">
            <v>0</v>
          </cell>
          <cell r="T163">
            <v>22</v>
          </cell>
          <cell r="U163">
            <v>0</v>
          </cell>
          <cell r="V163">
            <v>114</v>
          </cell>
          <cell r="Y163" t="str">
            <v>x</v>
          </cell>
        </row>
        <row r="164">
          <cell r="E164" t="str">
            <v>AMIÑIO</v>
          </cell>
          <cell r="F164" t="str">
            <v>SAN JOSE DE SISA</v>
          </cell>
          <cell r="G164" t="str">
            <v>EL DORADO</v>
          </cell>
          <cell r="H164" t="str">
            <v>II</v>
          </cell>
          <cell r="I164" t="str">
            <v>Caserío</v>
          </cell>
          <cell r="J164" t="str">
            <v>IV</v>
          </cell>
          <cell r="K164">
            <v>26</v>
          </cell>
          <cell r="L164">
            <v>123</v>
          </cell>
          <cell r="M164">
            <v>68</v>
          </cell>
          <cell r="N164">
            <v>317</v>
          </cell>
          <cell r="O164">
            <v>8.2088660315038808E-2</v>
          </cell>
          <cell r="P164">
            <v>1.8634358285857466E-2</v>
          </cell>
          <cell r="Q164">
            <v>1.8634358285857466E-2</v>
          </cell>
          <cell r="R164">
            <v>4.6617647058823533</v>
          </cell>
          <cell r="S164">
            <v>0</v>
          </cell>
          <cell r="T164">
            <v>82</v>
          </cell>
          <cell r="U164">
            <v>0</v>
          </cell>
          <cell r="V164">
            <v>381</v>
          </cell>
          <cell r="X164" t="str">
            <v>x</v>
          </cell>
        </row>
        <row r="165">
          <cell r="E165" t="str">
            <v>NUEVA FLORIDA DE SISA</v>
          </cell>
          <cell r="F165" t="str">
            <v>SAN JOSE DE SISA</v>
          </cell>
          <cell r="G165" t="str">
            <v>EL DORADO</v>
          </cell>
          <cell r="H165" t="str">
            <v>III</v>
          </cell>
          <cell r="I165" t="str">
            <v>Caserío</v>
          </cell>
          <cell r="J165" t="str">
            <v>IV</v>
          </cell>
          <cell r="K165">
            <v>15</v>
          </cell>
          <cell r="L165">
            <v>80</v>
          </cell>
          <cell r="M165">
            <v>31</v>
          </cell>
          <cell r="N165">
            <v>193</v>
          </cell>
          <cell r="O165">
            <v>7.614867880198517E-2</v>
          </cell>
          <cell r="P165">
            <v>1.8634358285857466E-2</v>
          </cell>
          <cell r="Q165">
            <v>1.8634358285857466E-2</v>
          </cell>
          <cell r="R165">
            <v>6.225806451612903</v>
          </cell>
          <cell r="S165">
            <v>0</v>
          </cell>
          <cell r="T165">
            <v>37</v>
          </cell>
          <cell r="U165">
            <v>0</v>
          </cell>
          <cell r="V165">
            <v>232</v>
          </cell>
          <cell r="Y165" t="str">
            <v>x</v>
          </cell>
        </row>
        <row r="166">
          <cell r="E166" t="str">
            <v>HUANCABAMBA</v>
          </cell>
          <cell r="F166" t="str">
            <v>SAN JOSE DE SISA</v>
          </cell>
          <cell r="G166" t="str">
            <v>EL DORADO</v>
          </cell>
          <cell r="H166" t="str">
            <v>III</v>
          </cell>
          <cell r="I166" t="str">
            <v>Caserío</v>
          </cell>
          <cell r="J166" t="str">
            <v>III</v>
          </cell>
          <cell r="K166">
            <v>50</v>
          </cell>
          <cell r="L166">
            <v>200</v>
          </cell>
          <cell r="M166">
            <v>89</v>
          </cell>
          <cell r="N166">
            <v>234</v>
          </cell>
          <cell r="O166">
            <v>1.3169611131462311E-2</v>
          </cell>
          <cell r="P166">
            <v>1.8634358285857466E-2</v>
          </cell>
          <cell r="Q166">
            <v>1.8634358285857466E-2</v>
          </cell>
          <cell r="R166">
            <v>2.6292134831460676</v>
          </cell>
          <cell r="S166">
            <v>0</v>
          </cell>
          <cell r="T166">
            <v>107</v>
          </cell>
          <cell r="U166">
            <v>0</v>
          </cell>
          <cell r="V166">
            <v>281</v>
          </cell>
          <cell r="Y166" t="str">
            <v>x</v>
          </cell>
        </row>
        <row r="167">
          <cell r="E167" t="str">
            <v>TULLISHAMA</v>
          </cell>
          <cell r="F167" t="str">
            <v>SHATOJA</v>
          </cell>
          <cell r="G167" t="str">
            <v>EL DORADO</v>
          </cell>
          <cell r="H167" t="str">
            <v>III</v>
          </cell>
          <cell r="I167" t="str">
            <v>Caserío</v>
          </cell>
          <cell r="J167" t="str">
            <v>IV</v>
          </cell>
          <cell r="K167">
            <v>20</v>
          </cell>
          <cell r="L167">
            <v>110</v>
          </cell>
          <cell r="M167">
            <v>25</v>
          </cell>
          <cell r="N167">
            <v>125</v>
          </cell>
          <cell r="O167">
            <v>1.0709723850662378E-2</v>
          </cell>
          <cell r="P167">
            <v>1.3263927280408261E-2</v>
          </cell>
          <cell r="Q167">
            <v>1.3263927280408261E-2</v>
          </cell>
          <cell r="R167">
            <v>5</v>
          </cell>
          <cell r="S167">
            <v>0</v>
          </cell>
          <cell r="T167">
            <v>29</v>
          </cell>
          <cell r="U167">
            <v>0</v>
          </cell>
          <cell r="V167">
            <v>143</v>
          </cell>
          <cell r="Y167" t="str">
            <v>x</v>
          </cell>
        </row>
        <row r="168">
          <cell r="E168" t="str">
            <v>N. PROGRESO DE SHATOJA</v>
          </cell>
          <cell r="F168" t="str">
            <v>SHATOJA</v>
          </cell>
          <cell r="G168" t="str">
            <v>EL DORADO</v>
          </cell>
          <cell r="H168" t="str">
            <v>III</v>
          </cell>
          <cell r="I168" t="str">
            <v>Caserío</v>
          </cell>
          <cell r="J168" t="str">
            <v>IV</v>
          </cell>
          <cell r="K168">
            <v>22</v>
          </cell>
          <cell r="L168">
            <v>105</v>
          </cell>
          <cell r="M168">
            <v>25</v>
          </cell>
          <cell r="N168">
            <v>140</v>
          </cell>
          <cell r="O168">
            <v>2.426318074098921E-2</v>
          </cell>
          <cell r="P168">
            <v>1.3263927280408261E-2</v>
          </cell>
          <cell r="Q168">
            <v>1.3263927280408261E-2</v>
          </cell>
          <cell r="R168">
            <v>5.6</v>
          </cell>
          <cell r="S168">
            <v>0</v>
          </cell>
          <cell r="T168">
            <v>29</v>
          </cell>
          <cell r="U168">
            <v>0</v>
          </cell>
          <cell r="V168">
            <v>160</v>
          </cell>
          <cell r="Y168" t="str">
            <v>x</v>
          </cell>
        </row>
        <row r="169">
          <cell r="E169" t="str">
            <v>REQUENA</v>
          </cell>
          <cell r="F169" t="str">
            <v>SAN MARTIN</v>
          </cell>
          <cell r="G169" t="str">
            <v>EL DORADO</v>
          </cell>
          <cell r="H169" t="str">
            <v>III</v>
          </cell>
          <cell r="I169" t="str">
            <v>Caserío</v>
          </cell>
          <cell r="J169" t="str">
            <v>IV</v>
          </cell>
          <cell r="K169">
            <v>28</v>
          </cell>
          <cell r="L169">
            <v>143</v>
          </cell>
          <cell r="M169">
            <v>25</v>
          </cell>
          <cell r="N169">
            <v>180</v>
          </cell>
          <cell r="O169">
            <v>1.9361059115404311E-2</v>
          </cell>
          <cell r="P169">
            <v>3.3317090336717925E-2</v>
          </cell>
          <cell r="Q169">
            <v>0.02</v>
          </cell>
          <cell r="R169">
            <v>7.2</v>
          </cell>
          <cell r="S169">
            <v>0</v>
          </cell>
          <cell r="T169">
            <v>30</v>
          </cell>
          <cell r="U169">
            <v>0</v>
          </cell>
          <cell r="V169">
            <v>219</v>
          </cell>
          <cell r="Y169" t="str">
            <v>x</v>
          </cell>
        </row>
        <row r="170">
          <cell r="E170" t="str">
            <v>PUCACACA DE S. M.</v>
          </cell>
          <cell r="F170" t="str">
            <v>SAN MARTIN</v>
          </cell>
          <cell r="G170" t="str">
            <v>EL DORADO</v>
          </cell>
          <cell r="H170" t="str">
            <v>III</v>
          </cell>
          <cell r="I170" t="str">
            <v>Caserío</v>
          </cell>
          <cell r="J170" t="str">
            <v>IV</v>
          </cell>
          <cell r="K170">
            <v>25</v>
          </cell>
          <cell r="L170">
            <v>125</v>
          </cell>
          <cell r="M170">
            <v>26</v>
          </cell>
          <cell r="N170">
            <v>130</v>
          </cell>
          <cell r="O170">
            <v>3.2737397821989145E-3</v>
          </cell>
          <cell r="P170">
            <v>3.3317090336717925E-2</v>
          </cell>
          <cell r="Q170">
            <v>0.02</v>
          </cell>
          <cell r="R170">
            <v>5</v>
          </cell>
          <cell r="S170">
            <v>0</v>
          </cell>
          <cell r="T170">
            <v>32</v>
          </cell>
          <cell r="U170">
            <v>0</v>
          </cell>
          <cell r="V170">
            <v>158</v>
          </cell>
          <cell r="Y170" t="str">
            <v>x</v>
          </cell>
        </row>
        <row r="171">
          <cell r="E171" t="str">
            <v>CONSTANCIA</v>
          </cell>
          <cell r="F171" t="str">
            <v>SAN MARTIN</v>
          </cell>
          <cell r="G171" t="str">
            <v>EL DORADO</v>
          </cell>
          <cell r="H171" t="str">
            <v>III</v>
          </cell>
          <cell r="I171" t="str">
            <v>Caserío</v>
          </cell>
          <cell r="J171" t="str">
            <v>IV</v>
          </cell>
          <cell r="K171">
            <v>6</v>
          </cell>
          <cell r="L171">
            <v>42</v>
          </cell>
          <cell r="M171">
            <v>18</v>
          </cell>
          <cell r="N171">
            <v>91</v>
          </cell>
          <cell r="O171">
            <v>6.6553573514220643E-2</v>
          </cell>
          <cell r="P171">
            <v>3.3317090336717925E-2</v>
          </cell>
          <cell r="Q171">
            <v>0.02</v>
          </cell>
          <cell r="R171">
            <v>5.0555555555555554</v>
          </cell>
          <cell r="S171">
            <v>0</v>
          </cell>
          <cell r="T171">
            <v>22</v>
          </cell>
          <cell r="U171">
            <v>0</v>
          </cell>
          <cell r="V171">
            <v>111</v>
          </cell>
          <cell r="Y171" t="str">
            <v>x</v>
          </cell>
        </row>
        <row r="172">
          <cell r="E172" t="str">
            <v>SINAMI</v>
          </cell>
          <cell r="F172" t="str">
            <v>SAN MARTIN</v>
          </cell>
          <cell r="G172" t="str">
            <v>EL DORADO</v>
          </cell>
          <cell r="H172" t="str">
            <v>III</v>
          </cell>
          <cell r="I172" t="str">
            <v>Caserío</v>
          </cell>
          <cell r="J172" t="str">
            <v>IV</v>
          </cell>
          <cell r="K172">
            <v>12</v>
          </cell>
          <cell r="L172">
            <v>100</v>
          </cell>
          <cell r="M172">
            <v>80</v>
          </cell>
          <cell r="N172">
            <v>425</v>
          </cell>
          <cell r="O172">
            <v>0.12814713332144168</v>
          </cell>
          <cell r="P172">
            <v>3.3317090336717925E-2</v>
          </cell>
          <cell r="Q172">
            <v>0.02</v>
          </cell>
          <cell r="R172">
            <v>5.3125</v>
          </cell>
          <cell r="S172">
            <v>0</v>
          </cell>
          <cell r="T172">
            <v>98</v>
          </cell>
          <cell r="U172">
            <v>0</v>
          </cell>
          <cell r="V172">
            <v>518</v>
          </cell>
          <cell r="Y172" t="str">
            <v>x</v>
          </cell>
        </row>
        <row r="173">
          <cell r="E173" t="str">
            <v>INCAICO</v>
          </cell>
          <cell r="F173" t="str">
            <v>SAN MARTIN</v>
          </cell>
          <cell r="G173" t="str">
            <v>EL DORADO</v>
          </cell>
          <cell r="H173" t="str">
            <v>III</v>
          </cell>
          <cell r="I173" t="str">
            <v>Caserío</v>
          </cell>
          <cell r="J173" t="str">
            <v>IV</v>
          </cell>
          <cell r="K173">
            <v>10</v>
          </cell>
          <cell r="L173">
            <v>53</v>
          </cell>
          <cell r="M173">
            <v>19</v>
          </cell>
          <cell r="N173">
            <v>102</v>
          </cell>
          <cell r="O173">
            <v>5.6072397998094825E-2</v>
          </cell>
          <cell r="P173">
            <v>3.3317090336717925E-2</v>
          </cell>
          <cell r="Q173">
            <v>0.02</v>
          </cell>
          <cell r="R173">
            <v>5.3684210526315788</v>
          </cell>
          <cell r="S173">
            <v>0</v>
          </cell>
          <cell r="T173">
            <v>23</v>
          </cell>
          <cell r="U173">
            <v>0</v>
          </cell>
          <cell r="V173">
            <v>124</v>
          </cell>
          <cell r="Y173" t="str">
            <v>x</v>
          </cell>
        </row>
        <row r="174">
          <cell r="E174" t="str">
            <v>PEVAS</v>
          </cell>
          <cell r="F174" t="str">
            <v>SAN MARTIN</v>
          </cell>
          <cell r="G174" t="str">
            <v>EL DORADO</v>
          </cell>
          <cell r="H174" t="str">
            <v>III</v>
          </cell>
          <cell r="I174" t="str">
            <v>Caserío</v>
          </cell>
          <cell r="J174" t="str">
            <v>IV</v>
          </cell>
          <cell r="K174">
            <v>10</v>
          </cell>
          <cell r="L174">
            <v>50</v>
          </cell>
          <cell r="M174">
            <v>12</v>
          </cell>
          <cell r="N174">
            <v>71</v>
          </cell>
          <cell r="O174">
            <v>2.965254045707999E-2</v>
          </cell>
          <cell r="P174">
            <v>3.3317090336717925E-2</v>
          </cell>
          <cell r="Q174">
            <v>0.02</v>
          </cell>
          <cell r="R174">
            <v>5.916666666666667</v>
          </cell>
          <cell r="S174">
            <v>0</v>
          </cell>
          <cell r="T174">
            <v>15</v>
          </cell>
          <cell r="U174">
            <v>0</v>
          </cell>
          <cell r="V174">
            <v>87</v>
          </cell>
          <cell r="Y174" t="str">
            <v>x</v>
          </cell>
        </row>
        <row r="175">
          <cell r="E175" t="str">
            <v>SANANGO</v>
          </cell>
          <cell r="F175" t="str">
            <v>SAN MARTIN</v>
          </cell>
          <cell r="G175" t="str">
            <v>EL DORADO</v>
          </cell>
          <cell r="H175" t="str">
            <v>III</v>
          </cell>
          <cell r="I175" t="str">
            <v>Caserío</v>
          </cell>
          <cell r="J175" t="str">
            <v>IV</v>
          </cell>
          <cell r="K175">
            <v>11</v>
          </cell>
          <cell r="L175">
            <v>60</v>
          </cell>
          <cell r="M175">
            <v>22</v>
          </cell>
          <cell r="N175">
            <v>111</v>
          </cell>
          <cell r="O175">
            <v>5.260229044603415E-2</v>
          </cell>
          <cell r="P175">
            <v>3.3317090336717925E-2</v>
          </cell>
          <cell r="Q175">
            <v>0.02</v>
          </cell>
          <cell r="R175">
            <v>5.0454545454545459</v>
          </cell>
          <cell r="S175">
            <v>0</v>
          </cell>
          <cell r="T175">
            <v>27</v>
          </cell>
          <cell r="U175">
            <v>0</v>
          </cell>
          <cell r="V175">
            <v>135</v>
          </cell>
          <cell r="Y175" t="str">
            <v>x</v>
          </cell>
        </row>
        <row r="176">
          <cell r="E176" t="str">
            <v>ISHANGA</v>
          </cell>
          <cell r="F176" t="str">
            <v>SHATOJA</v>
          </cell>
          <cell r="G176" t="str">
            <v>EL DORADO</v>
          </cell>
          <cell r="H176" t="str">
            <v>III</v>
          </cell>
          <cell r="I176" t="str">
            <v>Caserío</v>
          </cell>
          <cell r="J176" t="str">
            <v>IV</v>
          </cell>
          <cell r="K176">
            <v>8</v>
          </cell>
          <cell r="L176">
            <v>45</v>
          </cell>
          <cell r="M176">
            <v>13</v>
          </cell>
          <cell r="N176">
            <v>76</v>
          </cell>
          <cell r="O176">
            <v>4.4640253241813976E-2</v>
          </cell>
          <cell r="P176">
            <v>1.3263927280408261E-2</v>
          </cell>
          <cell r="Q176">
            <v>1.3263927280408261E-2</v>
          </cell>
          <cell r="R176">
            <v>5.8461538461538458</v>
          </cell>
          <cell r="S176">
            <v>0</v>
          </cell>
          <cell r="T176">
            <v>15</v>
          </cell>
          <cell r="U176">
            <v>0</v>
          </cell>
          <cell r="V176">
            <v>87</v>
          </cell>
          <cell r="Y176" t="str">
            <v>x</v>
          </cell>
        </row>
        <row r="177">
          <cell r="E177" t="str">
            <v>CEPO</v>
          </cell>
          <cell r="F177" t="str">
            <v>SHATOJA</v>
          </cell>
          <cell r="G177" t="str">
            <v>EL DORADO</v>
          </cell>
          <cell r="H177" t="str">
            <v>III</v>
          </cell>
          <cell r="I177" t="str">
            <v>Caserío</v>
          </cell>
          <cell r="J177" t="str">
            <v>IV</v>
          </cell>
          <cell r="K177">
            <v>10</v>
          </cell>
          <cell r="L177">
            <v>60</v>
          </cell>
          <cell r="M177">
            <v>20</v>
          </cell>
          <cell r="N177">
            <v>80</v>
          </cell>
          <cell r="O177">
            <v>2.426318074098921E-2</v>
          </cell>
          <cell r="P177">
            <v>1.3263927280408261E-2</v>
          </cell>
          <cell r="Q177">
            <v>1.3263927280408261E-2</v>
          </cell>
          <cell r="R177">
            <v>4</v>
          </cell>
          <cell r="S177">
            <v>0</v>
          </cell>
          <cell r="T177">
            <v>23</v>
          </cell>
          <cell r="U177">
            <v>0</v>
          </cell>
          <cell r="V177">
            <v>91</v>
          </cell>
          <cell r="Y177" t="str">
            <v>x</v>
          </cell>
        </row>
        <row r="178">
          <cell r="E178" t="str">
            <v>CORAZON DE JESUS</v>
          </cell>
          <cell r="F178" t="str">
            <v>SHATOJA</v>
          </cell>
          <cell r="G178" t="str">
            <v>EL DORADO</v>
          </cell>
          <cell r="H178" t="str">
            <v>III</v>
          </cell>
          <cell r="I178" t="str">
            <v>Caserío</v>
          </cell>
          <cell r="J178" t="str">
            <v>IV</v>
          </cell>
          <cell r="K178">
            <v>15</v>
          </cell>
          <cell r="L178">
            <v>65</v>
          </cell>
          <cell r="M178">
            <v>30</v>
          </cell>
          <cell r="N178">
            <v>110</v>
          </cell>
          <cell r="O178">
            <v>4.4816311319980651E-2</v>
          </cell>
          <cell r="P178">
            <v>1.3263927280408261E-2</v>
          </cell>
          <cell r="Q178">
            <v>1.3263927280408261E-2</v>
          </cell>
          <cell r="R178">
            <v>3.6666666666666665</v>
          </cell>
          <cell r="S178">
            <v>0</v>
          </cell>
          <cell r="T178">
            <v>34</v>
          </cell>
          <cell r="U178">
            <v>0</v>
          </cell>
          <cell r="V178">
            <v>125</v>
          </cell>
          <cell r="Y178" t="str">
            <v>x</v>
          </cell>
        </row>
        <row r="179">
          <cell r="E179" t="str">
            <v>PARAISO</v>
          </cell>
          <cell r="F179" t="str">
            <v>SHATOJA</v>
          </cell>
          <cell r="G179" t="str">
            <v>EL DORADO</v>
          </cell>
          <cell r="H179" t="str">
            <v>III</v>
          </cell>
          <cell r="I179" t="str">
            <v>Caserío</v>
          </cell>
          <cell r="J179" t="str">
            <v>IV</v>
          </cell>
          <cell r="K179">
            <v>12</v>
          </cell>
          <cell r="L179">
            <v>55</v>
          </cell>
          <cell r="M179">
            <v>15</v>
          </cell>
          <cell r="N179">
            <v>52</v>
          </cell>
          <cell r="O179">
            <v>-4.6632155113669471E-3</v>
          </cell>
          <cell r="P179">
            <v>1.3263927280408261E-2</v>
          </cell>
          <cell r="Q179">
            <v>1.3263927280408261E-2</v>
          </cell>
          <cell r="R179">
            <v>3.4666666666666668</v>
          </cell>
          <cell r="S179">
            <v>0</v>
          </cell>
          <cell r="T179">
            <v>17</v>
          </cell>
          <cell r="U179">
            <v>0</v>
          </cell>
          <cell r="V179">
            <v>59</v>
          </cell>
          <cell r="Y179" t="str">
            <v>x</v>
          </cell>
        </row>
        <row r="180">
          <cell r="E180" t="str">
            <v>NUEVA ESPERANZA DE S.M.</v>
          </cell>
          <cell r="F180" t="str">
            <v>SAN MARTIN</v>
          </cell>
          <cell r="G180" t="str">
            <v>EL DORADO</v>
          </cell>
          <cell r="H180" t="str">
            <v>III</v>
          </cell>
          <cell r="I180" t="str">
            <v>Caserío</v>
          </cell>
          <cell r="J180" t="str">
            <v>IV</v>
          </cell>
          <cell r="K180">
            <v>30</v>
          </cell>
          <cell r="L180">
            <v>125</v>
          </cell>
          <cell r="M180">
            <v>42</v>
          </cell>
          <cell r="N180">
            <v>221</v>
          </cell>
          <cell r="O180">
            <v>4.8633002612537446E-2</v>
          </cell>
          <cell r="P180">
            <v>3.3317090336717925E-2</v>
          </cell>
          <cell r="Q180">
            <v>0.02</v>
          </cell>
          <cell r="R180">
            <v>5.2619047619047619</v>
          </cell>
          <cell r="S180">
            <v>0</v>
          </cell>
          <cell r="T180">
            <v>51</v>
          </cell>
          <cell r="U180">
            <v>0</v>
          </cell>
          <cell r="V180">
            <v>269</v>
          </cell>
          <cell r="Y180" t="str">
            <v>x</v>
          </cell>
        </row>
        <row r="181">
          <cell r="E181" t="str">
            <v>AGUA BLANCA</v>
          </cell>
          <cell r="F181" t="str">
            <v>AGUA BLANCA</v>
          </cell>
          <cell r="G181" t="str">
            <v>EL DORADO</v>
          </cell>
          <cell r="H181" t="str">
            <v>I</v>
          </cell>
          <cell r="I181" t="str">
            <v>Pueblo</v>
          </cell>
          <cell r="J181" t="str">
            <v>II</v>
          </cell>
          <cell r="K181">
            <v>249</v>
          </cell>
          <cell r="L181">
            <v>1284</v>
          </cell>
          <cell r="M181">
            <v>280</v>
          </cell>
          <cell r="N181">
            <v>1350</v>
          </cell>
          <cell r="O181">
            <v>4.1857682237114169E-3</v>
          </cell>
          <cell r="P181">
            <v>6.6322678215777753E-3</v>
          </cell>
          <cell r="Q181">
            <v>0.01</v>
          </cell>
          <cell r="R181">
            <v>4.8214285714285712</v>
          </cell>
          <cell r="S181">
            <v>245</v>
          </cell>
          <cell r="T181">
            <v>245</v>
          </cell>
          <cell r="U181">
            <v>1181</v>
          </cell>
          <cell r="V181">
            <v>1181</v>
          </cell>
          <cell r="W181" t="str">
            <v>x</v>
          </cell>
          <cell r="AA181" t="str">
            <v>L.P. Y R.P. ejecutadas</v>
          </cell>
        </row>
        <row r="182">
          <cell r="E182" t="str">
            <v>SAN JOSE DE SISA</v>
          </cell>
          <cell r="F182" t="str">
            <v>SAN JOSE DE SISA</v>
          </cell>
          <cell r="G182" t="str">
            <v>EL DORADO</v>
          </cell>
          <cell r="H182" t="str">
            <v>I</v>
          </cell>
          <cell r="I182" t="str">
            <v>Ciudad</v>
          </cell>
          <cell r="J182" t="str">
            <v>I</v>
          </cell>
          <cell r="K182">
            <v>592</v>
          </cell>
          <cell r="L182">
            <v>3516</v>
          </cell>
          <cell r="M182">
            <v>773</v>
          </cell>
          <cell r="N182">
            <v>4815</v>
          </cell>
          <cell r="O182">
            <v>2.6547269335080559E-2</v>
          </cell>
          <cell r="P182">
            <v>1.8634358285857466E-2</v>
          </cell>
          <cell r="Q182">
            <v>1.8634358285857466E-2</v>
          </cell>
          <cell r="R182">
            <v>6.2289780077619668</v>
          </cell>
          <cell r="S182">
            <v>1069</v>
          </cell>
          <cell r="T182">
            <v>1069</v>
          </cell>
          <cell r="U182">
            <v>6658</v>
          </cell>
          <cell r="V182">
            <v>6658</v>
          </cell>
          <cell r="W182" t="str">
            <v>x</v>
          </cell>
          <cell r="AA182" t="str">
            <v>L.P. Y R.P. ejecutadas</v>
          </cell>
        </row>
        <row r="183">
          <cell r="E183" t="str">
            <v>SHATOJA</v>
          </cell>
          <cell r="F183" t="str">
            <v>SHATOJA</v>
          </cell>
          <cell r="G183" t="str">
            <v>EL DORADO</v>
          </cell>
          <cell r="H183" t="str">
            <v>I</v>
          </cell>
          <cell r="I183" t="str">
            <v>Pueblo</v>
          </cell>
          <cell r="J183" t="str">
            <v>III</v>
          </cell>
          <cell r="K183">
            <v>155</v>
          </cell>
          <cell r="L183">
            <v>874</v>
          </cell>
          <cell r="M183">
            <v>206</v>
          </cell>
          <cell r="N183">
            <v>792</v>
          </cell>
          <cell r="O183">
            <v>-8.1763060047473912E-3</v>
          </cell>
          <cell r="P183">
            <v>1.3263927280408261E-2</v>
          </cell>
          <cell r="Q183">
            <v>1.3263927280408261E-2</v>
          </cell>
          <cell r="R183">
            <v>3.8446601941747574</v>
          </cell>
          <cell r="S183">
            <v>272</v>
          </cell>
          <cell r="T183">
            <v>272</v>
          </cell>
          <cell r="U183">
            <v>1045</v>
          </cell>
          <cell r="V183">
            <v>1045</v>
          </cell>
          <cell r="W183" t="str">
            <v>x</v>
          </cell>
          <cell r="AA183" t="str">
            <v>L.P. Y R.P. ejecutadas</v>
          </cell>
        </row>
        <row r="184">
          <cell r="E184" t="str">
            <v>SAN MARTIN DE ALAO</v>
          </cell>
          <cell r="F184" t="str">
            <v>SAN MARTIN</v>
          </cell>
          <cell r="G184" t="str">
            <v>EL DORADO</v>
          </cell>
          <cell r="H184" t="str">
            <v>I</v>
          </cell>
          <cell r="I184" t="str">
            <v>Pueblo</v>
          </cell>
          <cell r="J184" t="str">
            <v>III</v>
          </cell>
          <cell r="K184">
            <v>166</v>
          </cell>
          <cell r="L184">
            <v>831</v>
          </cell>
          <cell r="M184">
            <v>256</v>
          </cell>
          <cell r="N184">
            <v>1366</v>
          </cell>
          <cell r="O184">
            <v>4.2287364631336199E-2</v>
          </cell>
          <cell r="P184">
            <v>3.3317090336717925E-2</v>
          </cell>
          <cell r="Q184">
            <v>0.02</v>
          </cell>
          <cell r="R184">
            <v>5.3359375</v>
          </cell>
          <cell r="S184">
            <v>391</v>
          </cell>
          <cell r="T184">
            <v>391</v>
          </cell>
          <cell r="U184">
            <v>2086</v>
          </cell>
          <cell r="V184">
            <v>2086</v>
          </cell>
          <cell r="W184" t="str">
            <v>x</v>
          </cell>
          <cell r="AA184" t="str">
            <v>L.P. Y R.P. ejecutadas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CAMPO"/>
      <sheetName val="Datos de Entrada"/>
      <sheetName val="Metrado Armados"/>
      <sheetName val="SUMINISTRO"/>
      <sheetName val="MONTAJE"/>
      <sheetName val="TRANSPORTE"/>
      <sheetName val="RESUMEN"/>
      <sheetName val="POLINOMICA"/>
      <sheetName val="Base"/>
      <sheetName val="#¡REF"/>
      <sheetName val="CAP-120mm2"/>
      <sheetName val="CAP_120mm2"/>
      <sheetName val="ENTR_F"/>
      <sheetName val="3_1"/>
      <sheetName val="Consun Energ_ _Anexo_5_2_5_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¡REF"/>
      <sheetName val="PSEs-97RP"/>
      <sheetName val="RP-RESUMEN"/>
      <sheetName val="RP-BASE"/>
      <sheetName val="RP-sumMEM"/>
      <sheetName val="RP-sumCon"/>
      <sheetName val="RP-mont"/>
      <sheetName val="RP-transMEM"/>
      <sheetName val="RP-transCon"/>
      <sheetName val="RpCHI"/>
      <sheetName val="__REF"/>
      <sheetName val="D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Unit-op-cartel"/>
      <sheetName val="Uni-Arm"/>
      <sheetName val="Unit-ret"/>
      <sheetName val="Unit-conduct"/>
      <sheetName val="Unit-patoral"/>
      <sheetName val="Unit-tierra"/>
      <sheetName val="Unit-acom"/>
      <sheetName val="Unt-prueb"/>
      <sheetName val="Complementario"/>
      <sheetName val="Resumen-tipo &quot;B&quot;"/>
      <sheetName val="Montaje"/>
      <sheetName val="Principal"/>
      <sheetName val="Transporte"/>
      <sheetName val="DATOS DE CAMPO"/>
      <sheetName val="PLANILLAS FORMATEADAS"/>
      <sheetName val="CONFIGURACIÓN"/>
      <sheetName val="CONTEO DE DATOS"/>
      <sheetName val="RESUMEN DE PARTIDAS"/>
      <sheetName val="A"/>
      <sheetName val="Hoja1"/>
      <sheetName val="Hoja2"/>
      <sheetName val="Hoja3"/>
      <sheetName val="Identificación Cargas _Anexo 4_"/>
      <sheetName val="STRUCT"/>
      <sheetName val="CIVIL"/>
      <sheetName val="Base"/>
      <sheetName val="Sum POM"/>
      <sheetName val="Sum LT"/>
      <sheetName val="Sum HUAR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"/>
      <sheetName val="BD_LP"/>
      <sheetName val="P_0"/>
      <sheetName val="M_0"/>
      <sheetName val="Heaths"/>
      <sheetName val="General"/>
      <sheetName val="Configuracion"/>
    </sheetNames>
    <sheetDataSet>
      <sheetData sheetId="0">
        <row r="2">
          <cell r="F2">
            <v>1.05</v>
          </cell>
        </row>
        <row r="8">
          <cell r="I8" t="str">
            <v>RI</v>
          </cell>
          <cell r="J8">
            <v>0.7</v>
          </cell>
          <cell r="K8">
            <v>2</v>
          </cell>
          <cell r="L8">
            <v>0.97999999999999987</v>
          </cell>
          <cell r="M8">
            <v>0.13799999999999998</v>
          </cell>
          <cell r="N8">
            <v>1.1179999999999999</v>
          </cell>
          <cell r="O8">
            <v>1.0939999999999999</v>
          </cell>
        </row>
        <row r="9">
          <cell r="I9" t="str">
            <v>RV</v>
          </cell>
          <cell r="J9">
            <v>0.7</v>
          </cell>
          <cell r="K9">
            <v>2.2000000000000002</v>
          </cell>
          <cell r="L9">
            <v>1.0779999999999998</v>
          </cell>
          <cell r="M9">
            <v>0</v>
          </cell>
          <cell r="N9">
            <v>1.0779999999999998</v>
          </cell>
          <cell r="O9">
            <v>1.0539999999999998</v>
          </cell>
        </row>
        <row r="10">
          <cell r="S10" t="str">
            <v>PAT-1</v>
          </cell>
          <cell r="T10">
            <v>0.8</v>
          </cell>
          <cell r="U10">
            <v>2.8</v>
          </cell>
          <cell r="V10">
            <v>1.4074335088082275</v>
          </cell>
          <cell r="W10">
            <v>0.20400000000000001</v>
          </cell>
          <cell r="X10">
            <v>1.6114335088082274</v>
          </cell>
          <cell r="AB10" t="str">
            <v>13/200</v>
          </cell>
          <cell r="AC10" t="str">
            <v>11/200</v>
          </cell>
          <cell r="AD10">
            <v>13</v>
          </cell>
          <cell r="AE10">
            <v>200</v>
          </cell>
          <cell r="AF10">
            <v>180</v>
          </cell>
          <cell r="AG10">
            <v>375</v>
          </cell>
          <cell r="AH10" t="str">
            <v>Normal</v>
          </cell>
          <cell r="AI10" t="str">
            <v>Relleno</v>
          </cell>
          <cell r="AJ10">
            <v>0.8</v>
          </cell>
          <cell r="AK10">
            <v>1.3</v>
          </cell>
          <cell r="AL10">
            <v>355.5</v>
          </cell>
          <cell r="AM10">
            <v>0.1</v>
          </cell>
          <cell r="AN10">
            <v>1.4000000000000001</v>
          </cell>
          <cell r="AO10">
            <v>0.70371675440411374</v>
          </cell>
          <cell r="AP10">
            <v>0.13624382443767283</v>
          </cell>
          <cell r="AQ10">
            <v>0.56747292996644094</v>
          </cell>
        </row>
        <row r="11">
          <cell r="S11" t="str">
            <v>PAT-2</v>
          </cell>
          <cell r="T11">
            <v>0.8</v>
          </cell>
          <cell r="U11">
            <v>2.8</v>
          </cell>
          <cell r="V11">
            <v>2.814867017616455</v>
          </cell>
          <cell r="W11">
            <v>0.40800000000000003</v>
          </cell>
          <cell r="X11">
            <v>3.2228670176164549</v>
          </cell>
          <cell r="AB11" t="str">
            <v>13/300</v>
          </cell>
          <cell r="AC11" t="str">
            <v>11/300</v>
          </cell>
          <cell r="AD11">
            <v>13</v>
          </cell>
          <cell r="AE11">
            <v>300</v>
          </cell>
          <cell r="AF11">
            <v>180</v>
          </cell>
          <cell r="AG11">
            <v>375</v>
          </cell>
          <cell r="AH11" t="str">
            <v>Normal</v>
          </cell>
          <cell r="AI11" t="str">
            <v>Relleno</v>
          </cell>
          <cell r="AJ11">
            <v>0.8</v>
          </cell>
          <cell r="AK11">
            <v>1.3</v>
          </cell>
          <cell r="AL11">
            <v>355.5</v>
          </cell>
          <cell r="AM11">
            <v>0.1</v>
          </cell>
          <cell r="AN11">
            <v>1.4000000000000001</v>
          </cell>
          <cell r="AO11">
            <v>0.70371675440411374</v>
          </cell>
          <cell r="AP11">
            <v>0.13624382443767283</v>
          </cell>
          <cell r="AQ11">
            <v>0.56747292996644094</v>
          </cell>
        </row>
        <row r="12">
          <cell r="S12" t="str">
            <v>PAT-3</v>
          </cell>
          <cell r="T12">
            <v>0.8</v>
          </cell>
          <cell r="U12">
            <v>2.8</v>
          </cell>
          <cell r="V12">
            <v>4.2223005264246822</v>
          </cell>
          <cell r="W12">
            <v>0.91200000000000003</v>
          </cell>
          <cell r="X12">
            <v>5.1343005264246822</v>
          </cell>
        </row>
        <row r="13">
          <cell r="S13" t="str">
            <v>PAT-2S</v>
          </cell>
          <cell r="T13">
            <v>0.8</v>
          </cell>
          <cell r="U13">
            <v>2.8</v>
          </cell>
          <cell r="V13">
            <v>2.814867017616455</v>
          </cell>
          <cell r="W13">
            <v>0.40800000000000003</v>
          </cell>
          <cell r="X13">
            <v>3.2228670176164549</v>
          </cell>
        </row>
        <row r="14">
          <cell r="S14" t="str">
            <v>PAT-0</v>
          </cell>
          <cell r="V14">
            <v>6.4000000000000015E-2</v>
          </cell>
          <cell r="X14">
            <v>6.4000000000000015E-2</v>
          </cell>
        </row>
        <row r="15">
          <cell r="S15" t="str">
            <v>2xPAT-1C</v>
          </cell>
          <cell r="V15">
            <v>0.12800000000000003</v>
          </cell>
          <cell r="X15">
            <v>0.12800000000000003</v>
          </cell>
        </row>
        <row r="16">
          <cell r="X16">
            <v>0</v>
          </cell>
        </row>
        <row r="17">
          <cell r="S17" t="str">
            <v>-</v>
          </cell>
          <cell r="X17">
            <v>0</v>
          </cell>
        </row>
        <row r="18">
          <cell r="S18">
            <v>0</v>
          </cell>
          <cell r="V18">
            <v>0</v>
          </cell>
          <cell r="X18">
            <v>0</v>
          </cell>
        </row>
        <row r="19">
          <cell r="S19" t="str">
            <v>0</v>
          </cell>
          <cell r="V19">
            <v>0</v>
          </cell>
          <cell r="X19">
            <v>0</v>
          </cell>
        </row>
        <row r="22">
          <cell r="AC22" t="str">
            <v>RELLENO Y COMPACTACION DE POSTES DE CAC</v>
          </cell>
          <cell r="AQ22" t="str">
            <v>C</v>
          </cell>
        </row>
        <row r="23">
          <cell r="AC23" t="str">
            <v>VOL_RYC_CAC</v>
          </cell>
          <cell r="AD23" t="str">
            <v>H     (m)</v>
          </cell>
          <cell r="AE23" t="str">
            <v>Fpunta                   (Kg-F)</v>
          </cell>
          <cell r="AF23" t="str">
            <v>Dpunta (mm)</v>
          </cell>
          <cell r="AG23" t="str">
            <v>Dbase (mm)</v>
          </cell>
          <cell r="AH23" t="str">
            <v>Situación Terreno</v>
          </cell>
          <cell r="AI23" t="str">
            <v>Condicion</v>
          </cell>
          <cell r="AJ23" t="str">
            <v>Diámetro Hoyo (m)</v>
          </cell>
          <cell r="AK23" t="str">
            <v>Profundidad  Empotrado (m)</v>
          </cell>
          <cell r="AL23" t="str">
            <v>Diametro Empotram. (mm)</v>
          </cell>
          <cell r="AM23" t="str">
            <v>Solado  (m)</v>
          </cell>
          <cell r="AN23" t="str">
            <v>Profundidad  Hoyo (m)</v>
          </cell>
          <cell r="AO23" t="str">
            <v>Volumen Hoyo (m3)</v>
          </cell>
          <cell r="AP23" t="str">
            <v>Poste Enterrado</v>
          </cell>
          <cell r="AQ23" t="str">
            <v>Vol. De RELLENO</v>
          </cell>
        </row>
        <row r="24">
          <cell r="I24" t="str">
            <v>1N</v>
          </cell>
          <cell r="J24">
            <v>84</v>
          </cell>
          <cell r="AC24">
            <v>1</v>
          </cell>
          <cell r="AD24">
            <v>2</v>
          </cell>
          <cell r="AE24">
            <v>3</v>
          </cell>
          <cell r="AF24">
            <v>4</v>
          </cell>
          <cell r="AG24">
            <v>5</v>
          </cell>
          <cell r="AH24">
            <v>6</v>
          </cell>
          <cell r="AI24">
            <v>7</v>
          </cell>
          <cell r="AJ24">
            <v>8</v>
          </cell>
          <cell r="AK24">
            <v>9</v>
          </cell>
          <cell r="AL24">
            <v>10</v>
          </cell>
          <cell r="AM24">
            <v>11</v>
          </cell>
          <cell r="AN24">
            <v>12</v>
          </cell>
          <cell r="AO24">
            <v>13</v>
          </cell>
          <cell r="AP24">
            <v>14</v>
          </cell>
          <cell r="AQ24">
            <v>15</v>
          </cell>
        </row>
        <row r="25">
          <cell r="I25" t="str">
            <v>1R</v>
          </cell>
          <cell r="J25">
            <v>16</v>
          </cell>
        </row>
        <row r="26">
          <cell r="I26" t="str">
            <v>1H</v>
          </cell>
          <cell r="J26">
            <v>0</v>
          </cell>
        </row>
        <row r="27">
          <cell r="I27" t="str">
            <v>2N</v>
          </cell>
          <cell r="J27">
            <v>90</v>
          </cell>
        </row>
        <row r="28">
          <cell r="I28" t="str">
            <v>2R</v>
          </cell>
          <cell r="J28">
            <v>10</v>
          </cell>
        </row>
        <row r="29">
          <cell r="I29" t="str">
            <v>2H</v>
          </cell>
          <cell r="J29">
            <v>0</v>
          </cell>
        </row>
        <row r="30">
          <cell r="I30" t="str">
            <v>3N</v>
          </cell>
          <cell r="J30">
            <v>90</v>
          </cell>
        </row>
        <row r="31">
          <cell r="I31" t="str">
            <v>3R</v>
          </cell>
          <cell r="J31">
            <v>10</v>
          </cell>
        </row>
        <row r="32">
          <cell r="I32" t="str">
            <v>3H</v>
          </cell>
          <cell r="J32">
            <v>0</v>
          </cell>
        </row>
        <row r="33">
          <cell r="I33" t="str">
            <v>4N</v>
          </cell>
        </row>
        <row r="34">
          <cell r="I34" t="str">
            <v>4R</v>
          </cell>
        </row>
        <row r="35">
          <cell r="I35" t="str">
            <v>4H</v>
          </cell>
        </row>
        <row r="36">
          <cell r="I36" t="str">
            <v>5N</v>
          </cell>
          <cell r="AC36" t="str">
            <v>RELLENO Y COMPACTACION DE POSTES DE CAC</v>
          </cell>
          <cell r="AQ36" t="str">
            <v>DIRECTAMENTE ENTERRADO</v>
          </cell>
        </row>
        <row r="37">
          <cell r="I37" t="str">
            <v>5R</v>
          </cell>
          <cell r="AC37" t="str">
            <v>VOL_RYC_CAC</v>
          </cell>
          <cell r="AD37" t="str">
            <v>H     (m)</v>
          </cell>
          <cell r="AE37" t="str">
            <v>Fpunta                   (Kg-F)</v>
          </cell>
          <cell r="AF37" t="str">
            <v>Dpunta (mm)</v>
          </cell>
          <cell r="AG37" t="str">
            <v>Dbase (mm)</v>
          </cell>
          <cell r="AH37" t="str">
            <v>Situación Terreno</v>
          </cell>
          <cell r="AI37" t="str">
            <v>Condicion</v>
          </cell>
          <cell r="AJ37" t="str">
            <v>Diámetro Hoyo (m)</v>
          </cell>
          <cell r="AK37" t="str">
            <v>Profundidad  Empotrado (m)</v>
          </cell>
          <cell r="AL37" t="str">
            <v>Diametro Empotram. (mm)</v>
          </cell>
          <cell r="AM37" t="str">
            <v>Solado  (m)</v>
          </cell>
          <cell r="AN37" t="str">
            <v>Profundidad  Hoyo (m)</v>
          </cell>
          <cell r="AO37" t="str">
            <v>Volumen Hoyo (m3)</v>
          </cell>
          <cell r="AP37" t="str">
            <v>Poste Enterrado</v>
          </cell>
          <cell r="AQ37" t="str">
            <v>Vol. De RELLENO</v>
          </cell>
        </row>
        <row r="38">
          <cell r="I38" t="str">
            <v>5H</v>
          </cell>
          <cell r="AC38">
            <v>1</v>
          </cell>
          <cell r="AD38">
            <v>2</v>
          </cell>
          <cell r="AE38">
            <v>3</v>
          </cell>
          <cell r="AF38">
            <v>4</v>
          </cell>
          <cell r="AG38">
            <v>5</v>
          </cell>
          <cell r="AH38">
            <v>6</v>
          </cell>
          <cell r="AI38">
            <v>7</v>
          </cell>
          <cell r="AJ38">
            <v>8</v>
          </cell>
          <cell r="AK38">
            <v>9</v>
          </cell>
          <cell r="AL38">
            <v>10</v>
          </cell>
          <cell r="AM38">
            <v>11</v>
          </cell>
          <cell r="AN38">
            <v>12</v>
          </cell>
          <cell r="AO38">
            <v>13</v>
          </cell>
          <cell r="AP38">
            <v>14</v>
          </cell>
          <cell r="AQ38">
            <v>15</v>
          </cell>
        </row>
        <row r="39">
          <cell r="AB39" t="str">
            <v>11/200</v>
          </cell>
          <cell r="AC39" t="str">
            <v>11/200</v>
          </cell>
          <cell r="AD39">
            <v>11</v>
          </cell>
          <cell r="AE39">
            <v>200</v>
          </cell>
          <cell r="AF39">
            <v>150</v>
          </cell>
          <cell r="AG39">
            <v>315</v>
          </cell>
          <cell r="AH39" t="str">
            <v>Normal</v>
          </cell>
          <cell r="AI39" t="str">
            <v>Relleno</v>
          </cell>
          <cell r="AJ39">
            <v>0.8</v>
          </cell>
          <cell r="AK39">
            <v>1.7</v>
          </cell>
          <cell r="AL39">
            <v>289.5</v>
          </cell>
          <cell r="AN39">
            <v>1.7</v>
          </cell>
          <cell r="AO39">
            <v>0.85451320177642376</v>
          </cell>
          <cell r="AP39">
            <v>0.12204751701481492</v>
          </cell>
          <cell r="AQ39">
            <v>0.73246568476160889</v>
          </cell>
        </row>
        <row r="40">
          <cell r="AB40" t="str">
            <v>11/300</v>
          </cell>
          <cell r="AC40" t="str">
            <v>11/300</v>
          </cell>
          <cell r="AD40">
            <v>11</v>
          </cell>
          <cell r="AE40">
            <v>300</v>
          </cell>
          <cell r="AF40">
            <v>150</v>
          </cell>
          <cell r="AG40">
            <v>315</v>
          </cell>
          <cell r="AH40" t="str">
            <v>Normal</v>
          </cell>
          <cell r="AI40" t="str">
            <v>Relleno</v>
          </cell>
          <cell r="AJ40">
            <v>0.8</v>
          </cell>
          <cell r="AK40">
            <v>1.7</v>
          </cell>
          <cell r="AL40">
            <v>289.5</v>
          </cell>
          <cell r="AN40">
            <v>1.7</v>
          </cell>
          <cell r="AO40">
            <v>0.85451320177642376</v>
          </cell>
          <cell r="AP40">
            <v>0.12204751701481492</v>
          </cell>
          <cell r="AQ40">
            <v>0.73246568476160889</v>
          </cell>
        </row>
        <row r="41">
          <cell r="AB41" t="str">
            <v>12/200</v>
          </cell>
          <cell r="AC41" t="str">
            <v>12/200</v>
          </cell>
          <cell r="AD41">
            <v>12</v>
          </cell>
          <cell r="AE41">
            <v>200</v>
          </cell>
          <cell r="AF41">
            <v>150</v>
          </cell>
          <cell r="AG41">
            <v>330</v>
          </cell>
          <cell r="AH41" t="str">
            <v>Normal</v>
          </cell>
          <cell r="AI41" t="str">
            <v>Relleno</v>
          </cell>
          <cell r="AJ41">
            <v>0.8</v>
          </cell>
          <cell r="AK41">
            <v>1.8</v>
          </cell>
          <cell r="AL41">
            <v>303</v>
          </cell>
          <cell r="AN41">
            <v>1.8</v>
          </cell>
          <cell r="AO41">
            <v>0.90477868423386054</v>
          </cell>
          <cell r="AP41">
            <v>0.14170106540126959</v>
          </cell>
          <cell r="AQ41">
            <v>0.76307761883259095</v>
          </cell>
        </row>
        <row r="42">
          <cell r="AB42" t="str">
            <v>12/300</v>
          </cell>
          <cell r="AC42" t="str">
            <v>12/300</v>
          </cell>
          <cell r="AD42">
            <v>12</v>
          </cell>
          <cell r="AE42">
            <v>300</v>
          </cell>
          <cell r="AF42">
            <v>165</v>
          </cell>
          <cell r="AG42">
            <v>345</v>
          </cell>
          <cell r="AH42" t="str">
            <v>Normal</v>
          </cell>
          <cell r="AI42" t="str">
            <v>Relleno</v>
          </cell>
          <cell r="AJ42">
            <v>0.8</v>
          </cell>
          <cell r="AK42">
            <v>1.8</v>
          </cell>
          <cell r="AL42">
            <v>318</v>
          </cell>
          <cell r="AN42">
            <v>1.8</v>
          </cell>
          <cell r="AO42">
            <v>0.90477868423386054</v>
          </cell>
          <cell r="AP42">
            <v>0.15544239166807133</v>
          </cell>
          <cell r="AQ42">
            <v>0.74933629256578915</v>
          </cell>
        </row>
        <row r="50">
          <cell r="AC50" t="str">
            <v>RELLENO Y COMPACTACION DE POSTES DE MADERA</v>
          </cell>
          <cell r="AQ50" t="str">
            <v>DIRECTAMENTE ENTERRADO</v>
          </cell>
        </row>
        <row r="51">
          <cell r="AC51" t="str">
            <v>VOL_RYC_MAD</v>
          </cell>
          <cell r="AD51" t="str">
            <v>H     (m)</v>
          </cell>
          <cell r="AE51" t="str">
            <v>Carga de Rotura (kg)</v>
          </cell>
          <cell r="AF51" t="str">
            <v>Dpunta (mm)</v>
          </cell>
          <cell r="AG51" t="str">
            <v>Dbase (mm)</v>
          </cell>
          <cell r="AH51" t="str">
            <v>Situación Terreno</v>
          </cell>
          <cell r="AI51" t="str">
            <v>Condicion</v>
          </cell>
          <cell r="AJ51" t="str">
            <v>Diámetro Hoyo (m)</v>
          </cell>
          <cell r="AK51" t="str">
            <v>Profundidad  Empotrado (m)</v>
          </cell>
          <cell r="AL51" t="str">
            <v>Diametro Empotram. (mm)</v>
          </cell>
          <cell r="AM51" t="str">
            <v>Solado  (m)</v>
          </cell>
          <cell r="AN51" t="str">
            <v>Profundidad  Hoyo (m)</v>
          </cell>
          <cell r="AO51" t="str">
            <v>Volumen Hoyo (m3)</v>
          </cell>
          <cell r="AP51" t="str">
            <v>Poste Enterrado</v>
          </cell>
          <cell r="AQ51" t="str">
            <v>Vol. De RELLENO</v>
          </cell>
        </row>
        <row r="52">
          <cell r="AC52">
            <v>1</v>
          </cell>
          <cell r="AD52">
            <v>2</v>
          </cell>
          <cell r="AE52">
            <v>3</v>
          </cell>
          <cell r="AF52">
            <v>4</v>
          </cell>
          <cell r="AG52">
            <v>5</v>
          </cell>
          <cell r="AH52">
            <v>6</v>
          </cell>
          <cell r="AI52">
            <v>7</v>
          </cell>
          <cell r="AJ52">
            <v>8</v>
          </cell>
          <cell r="AK52">
            <v>9</v>
          </cell>
          <cell r="AL52">
            <v>10</v>
          </cell>
          <cell r="AM52">
            <v>11</v>
          </cell>
          <cell r="AN52">
            <v>12</v>
          </cell>
          <cell r="AO52">
            <v>13</v>
          </cell>
          <cell r="AP52">
            <v>14</v>
          </cell>
          <cell r="AQ52">
            <v>15</v>
          </cell>
        </row>
        <row r="53">
          <cell r="AB53" t="str">
            <v>13m/C6</v>
          </cell>
          <cell r="AC53" t="str">
            <v>13m/C6</v>
          </cell>
          <cell r="AD53" t="str">
            <v>13</v>
          </cell>
          <cell r="AF53">
            <v>140</v>
          </cell>
          <cell r="AG53">
            <v>240</v>
          </cell>
          <cell r="AH53" t="str">
            <v>Normal</v>
          </cell>
          <cell r="AI53" t="str">
            <v>Relleno</v>
          </cell>
          <cell r="AJ53">
            <v>0.8</v>
          </cell>
          <cell r="AK53">
            <v>1.7</v>
          </cell>
          <cell r="AL53">
            <v>219.19965584509572</v>
          </cell>
          <cell r="AM53">
            <v>0.1</v>
          </cell>
          <cell r="AN53">
            <v>1.8</v>
          </cell>
          <cell r="AO53">
            <v>0.90477868423386054</v>
          </cell>
          <cell r="AP53">
            <v>7.0433431584207118E-2</v>
          </cell>
          <cell r="AQ53">
            <v>0.83434525264965342</v>
          </cell>
        </row>
        <row r="55">
          <cell r="C55">
            <v>1</v>
          </cell>
          <cell r="D55" t="str">
            <v xml:space="preserve"> “ELECTRIFICACIÓN RURAL SER CHANCHAMAYO III ETAPA"</v>
          </cell>
        </row>
      </sheetData>
      <sheetData sheetId="1">
        <row r="1">
          <cell r="G1" t="str">
            <v>PS1-0</v>
          </cell>
          <cell r="H1" t="str">
            <v>PA1-0</v>
          </cell>
          <cell r="I1" t="str">
            <v>PA2-0</v>
          </cell>
          <cell r="J1" t="str">
            <v>PA3-0</v>
          </cell>
          <cell r="K1" t="str">
            <v>PR3-0</v>
          </cell>
          <cell r="L1" t="str">
            <v>PTV-0</v>
          </cell>
          <cell r="M1" t="str">
            <v>TS-0</v>
          </cell>
          <cell r="N1" t="str">
            <v>DT-0</v>
          </cell>
          <cell r="O1" t="str">
            <v>DS-0A</v>
          </cell>
          <cell r="P1" t="str">
            <v>DS-0</v>
          </cell>
          <cell r="Q1" t="str">
            <v>PSEC-0P</v>
          </cell>
          <cell r="R1" t="str">
            <v>PSEC-0PA</v>
          </cell>
          <cell r="S1" t="str">
            <v>PSVE-0</v>
          </cell>
          <cell r="T1" t="str">
            <v>PS1VE-0</v>
          </cell>
          <cell r="U1" t="str">
            <v>PR3-0A</v>
          </cell>
          <cell r="V1" t="str">
            <v>PA1VE-0</v>
          </cell>
          <cell r="W1" t="str">
            <v>PA2VE-0</v>
          </cell>
          <cell r="X1" t="str">
            <v>-</v>
          </cell>
          <cell r="Y1" t="str">
            <v>PS1-2</v>
          </cell>
          <cell r="Z1" t="str">
            <v>PA1-2</v>
          </cell>
          <cell r="AA1" t="str">
            <v>PA2-2</v>
          </cell>
          <cell r="AB1" t="str">
            <v>PA3-2</v>
          </cell>
          <cell r="AC1" t="str">
            <v>PR3-2</v>
          </cell>
          <cell r="AD1" t="str">
            <v>PTV-2</v>
          </cell>
          <cell r="AE1" t="str">
            <v>PTH-2</v>
          </cell>
          <cell r="AF1" t="str">
            <v>TS-2</v>
          </cell>
          <cell r="AG1" t="str">
            <v>TSV-2</v>
          </cell>
          <cell r="AH1" t="str">
            <v>PSVE-2</v>
          </cell>
          <cell r="AI1" t="str">
            <v>PSV1-2</v>
          </cell>
          <cell r="AJ1" t="str">
            <v>PSH-2</v>
          </cell>
          <cell r="AK1" t="str">
            <v>PA1H-2</v>
          </cell>
          <cell r="AL1" t="str">
            <v>PRH-2</v>
          </cell>
          <cell r="AM1" t="str">
            <v>DT-2</v>
          </cell>
          <cell r="AN1" t="str">
            <v>DS-2</v>
          </cell>
          <cell r="AO1" t="str">
            <v>PSEC-2P</v>
          </cell>
          <cell r="AP1" t="str">
            <v>TSEC-2P</v>
          </cell>
          <cell r="AQ1" t="str">
            <v>PRC-2P</v>
          </cell>
          <cell r="AR1" t="str">
            <v>PA2H-2</v>
          </cell>
          <cell r="AS1" t="str">
            <v>P3A2-2</v>
          </cell>
          <cell r="AT1" t="str">
            <v>2PR3-0</v>
          </cell>
          <cell r="AU1" t="str">
            <v>PRV1-2</v>
          </cell>
          <cell r="AV1" t="str">
            <v>PTSV1-2</v>
          </cell>
          <cell r="AW1" t="str">
            <v>PSV1-2B</v>
          </cell>
          <cell r="AX1" t="str">
            <v>PA2V_2</v>
          </cell>
          <cell r="AY1" t="str">
            <v>PSECV1A-2</v>
          </cell>
          <cell r="AZ1" t="str">
            <v>DS-0</v>
          </cell>
          <cell r="BA1" t="str">
            <v>PTSEC-0PB</v>
          </cell>
          <cell r="BB1" t="str">
            <v>PA1_1-0B</v>
          </cell>
          <cell r="BC1" t="str">
            <v>PTSV1-0B</v>
          </cell>
          <cell r="BD1" t="str">
            <v>DT-3</v>
          </cell>
          <cell r="BE1" t="str">
            <v>PA1-3L</v>
          </cell>
          <cell r="BF1" t="str">
            <v>PS1-3</v>
          </cell>
          <cell r="BG1" t="str">
            <v>PS1-3L</v>
          </cell>
          <cell r="BH1" t="str">
            <v>PA1-3</v>
          </cell>
          <cell r="BI1" t="str">
            <v>PA2-3</v>
          </cell>
          <cell r="BJ1" t="str">
            <v>PA3-3</v>
          </cell>
          <cell r="BK1" t="str">
            <v>PR3-3L</v>
          </cell>
          <cell r="BL1" t="str">
            <v>PR3-3</v>
          </cell>
          <cell r="BM1" t="str">
            <v>PTV-3</v>
          </cell>
          <cell r="BO1" t="str">
            <v>PTH-3</v>
          </cell>
          <cell r="BP1" t="str">
            <v>TS-3L</v>
          </cell>
          <cell r="BQ1" t="str">
            <v>TS-3</v>
          </cell>
          <cell r="BR1" t="str">
            <v>PSH-3</v>
          </cell>
          <cell r="BS1" t="str">
            <v>PA1VE-3</v>
          </cell>
          <cell r="BT1" t="str">
            <v>PSEC-3P</v>
          </cell>
          <cell r="BU1" t="str">
            <v>PSEC-3PA</v>
          </cell>
          <cell r="BV1" t="str">
            <v>PTVM-3</v>
          </cell>
          <cell r="BW1" t="str">
            <v>PTVDM-3</v>
          </cell>
          <cell r="BX1" t="str">
            <v>PSVE-3</v>
          </cell>
          <cell r="BY1" t="str">
            <v>PRH-3</v>
          </cell>
          <cell r="BZ1" t="str">
            <v>PRC-3P</v>
          </cell>
          <cell r="CA1" t="str">
            <v>DS-3</v>
          </cell>
          <cell r="CB1" t="str">
            <v>PA1H-3</v>
          </cell>
          <cell r="CC1" t="str">
            <v>PA2H-3</v>
          </cell>
          <cell r="CD1" t="str">
            <v>P3A2-3</v>
          </cell>
          <cell r="CE1" t="str">
            <v>PRVE-3</v>
          </cell>
          <cell r="CF1" t="str">
            <v>2K</v>
          </cell>
          <cell r="CG1" t="str">
            <v>3K</v>
          </cell>
          <cell r="CH1" t="str">
            <v>5K</v>
          </cell>
          <cell r="CI1" t="str">
            <v>6K</v>
          </cell>
          <cell r="CJ1" t="str">
            <v>8K</v>
          </cell>
          <cell r="CK1" t="str">
            <v>10K</v>
          </cell>
          <cell r="CL1" t="str">
            <v>20K</v>
          </cell>
          <cell r="CM1" t="str">
            <v>PA2_1-0B</v>
          </cell>
          <cell r="CN1" t="str">
            <v>PSV1-0B</v>
          </cell>
          <cell r="CO1" t="str">
            <v>PA2-0B</v>
          </cell>
          <cell r="CP1" t="str">
            <v>11/200</v>
          </cell>
          <cell r="CQ1" t="str">
            <v>11/300</v>
          </cell>
          <cell r="CR1" t="str">
            <v>12/200</v>
          </cell>
          <cell r="CS1" t="str">
            <v>12/300</v>
          </cell>
          <cell r="CT1" t="str">
            <v>11m/C6</v>
          </cell>
          <cell r="CU1" t="str">
            <v>11m/C5</v>
          </cell>
          <cell r="CV1" t="str">
            <v>12m/C6</v>
          </cell>
          <cell r="CW1" t="str">
            <v>12m/C5</v>
          </cell>
          <cell r="CX1" t="str">
            <v>13m/c5</v>
          </cell>
          <cell r="CY1" t="str">
            <v>13m/c6</v>
          </cell>
          <cell r="CZ1" t="str">
            <v>13/300</v>
          </cell>
          <cell r="DA1" t="str">
            <v>13/400</v>
          </cell>
          <cell r="DB1" t="str">
            <v>12/200C</v>
          </cell>
          <cell r="DC1" t="str">
            <v>12/300C</v>
          </cell>
          <cell r="DD1" t="str">
            <v>EXIST</v>
          </cell>
          <cell r="DE1" t="str">
            <v>AAAC-25</v>
          </cell>
          <cell r="DF1" t="str">
            <v>AAAC-35</v>
          </cell>
          <cell r="DG1" t="str">
            <v>AAAC-50</v>
          </cell>
          <cell r="DH1" t="str">
            <v>AAAC-70</v>
          </cell>
          <cell r="DI1" t="str">
            <v>RY-ACAC</v>
          </cell>
          <cell r="DJ1" t="str">
            <v>RV-ACAC</v>
          </cell>
          <cell r="DK1" t="str">
            <v>RI-ACAC</v>
          </cell>
          <cell r="DL1">
            <v>0</v>
          </cell>
          <cell r="DM1" t="str">
            <v>0-</v>
          </cell>
          <cell r="DN1" t="str">
            <v>-MAD</v>
          </cell>
          <cell r="DO1" t="str">
            <v>-CAC</v>
          </cell>
          <cell r="DP1" t="str">
            <v>0CAC</v>
          </cell>
          <cell r="DQ1" t="str">
            <v>RI</v>
          </cell>
          <cell r="DR1" t="str">
            <v>RV</v>
          </cell>
          <cell r="DS1" t="str">
            <v>RYI</v>
          </cell>
          <cell r="DT1" t="str">
            <v>RV-ACAC</v>
          </cell>
          <cell r="DU1" t="str">
            <v>RYCAC</v>
          </cell>
          <cell r="DV1" t="str">
            <v>RI-AMAD</v>
          </cell>
          <cell r="DW1" t="str">
            <v>RV-AMAD</v>
          </cell>
          <cell r="DX1" t="str">
            <v>RYMAD</v>
          </cell>
          <cell r="DY1" t="str">
            <v>RI-D</v>
          </cell>
          <cell r="DZ1" t="str">
            <v>PAT-1CCAC</v>
          </cell>
          <cell r="EA1" t="str">
            <v>PAT-1CAC</v>
          </cell>
          <cell r="EB1" t="str">
            <v>PAT-1CMAD</v>
          </cell>
          <cell r="EC1" t="str">
            <v>PAT-2CAC</v>
          </cell>
          <cell r="ED1" t="str">
            <v>PAT-2MAD</v>
          </cell>
          <cell r="EE1" t="str">
            <v>PAT-1MAD</v>
          </cell>
        </row>
        <row r="4">
          <cell r="Q4">
            <v>1</v>
          </cell>
          <cell r="R4">
            <v>1</v>
          </cell>
        </row>
        <row r="5">
          <cell r="P5">
            <v>1</v>
          </cell>
          <cell r="BS5">
            <v>6</v>
          </cell>
          <cell r="BX5">
            <v>3</v>
          </cell>
          <cell r="CE5">
            <v>6</v>
          </cell>
        </row>
        <row r="7">
          <cell r="AJ7">
            <v>1</v>
          </cell>
          <cell r="AK7">
            <v>2</v>
          </cell>
          <cell r="AL7">
            <v>2</v>
          </cell>
          <cell r="AR7">
            <v>1</v>
          </cell>
          <cell r="BR7">
            <v>1</v>
          </cell>
          <cell r="BY7">
            <v>2</v>
          </cell>
          <cell r="CB7">
            <v>2</v>
          </cell>
          <cell r="CC7">
            <v>1</v>
          </cell>
        </row>
        <row r="8">
          <cell r="Y8">
            <v>1</v>
          </cell>
          <cell r="Z8">
            <v>2</v>
          </cell>
          <cell r="AC8">
            <v>2</v>
          </cell>
          <cell r="AE8">
            <v>2</v>
          </cell>
          <cell r="AF8">
            <v>2</v>
          </cell>
          <cell r="AG8">
            <v>1</v>
          </cell>
          <cell r="AM8">
            <v>2</v>
          </cell>
          <cell r="AN8">
            <v>1</v>
          </cell>
          <cell r="AO8">
            <v>1</v>
          </cell>
          <cell r="AP8">
            <v>3</v>
          </cell>
          <cell r="BD8">
            <v>2</v>
          </cell>
          <cell r="BE8">
            <v>2</v>
          </cell>
          <cell r="BF8">
            <v>1</v>
          </cell>
          <cell r="BG8">
            <v>1</v>
          </cell>
          <cell r="BH8">
            <v>2</v>
          </cell>
          <cell r="BK8">
            <v>2</v>
          </cell>
          <cell r="BL8">
            <v>2</v>
          </cell>
          <cell r="BO8">
            <v>2</v>
          </cell>
          <cell r="BP8">
            <v>2</v>
          </cell>
          <cell r="BQ8">
            <v>2</v>
          </cell>
          <cell r="BR8">
            <v>1</v>
          </cell>
          <cell r="BT8">
            <v>3</v>
          </cell>
          <cell r="BU8">
            <v>3</v>
          </cell>
          <cell r="BY8">
            <v>2</v>
          </cell>
          <cell r="CA8">
            <v>1</v>
          </cell>
          <cell r="CB8">
            <v>2</v>
          </cell>
          <cell r="CC8">
            <v>1</v>
          </cell>
        </row>
        <row r="9">
          <cell r="Q9">
            <v>1</v>
          </cell>
          <cell r="R9">
            <v>1</v>
          </cell>
        </row>
        <row r="10">
          <cell r="G10">
            <v>1</v>
          </cell>
          <cell r="H10">
            <v>2</v>
          </cell>
          <cell r="K10">
            <v>1</v>
          </cell>
          <cell r="M10">
            <v>1</v>
          </cell>
          <cell r="P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Y10">
            <v>2</v>
          </cell>
          <cell r="Z10">
            <v>4</v>
          </cell>
          <cell r="AF10">
            <v>2</v>
          </cell>
          <cell r="AG10">
            <v>2</v>
          </cell>
          <cell r="AH10">
            <v>2</v>
          </cell>
          <cell r="AI10">
            <v>2</v>
          </cell>
          <cell r="AJ10">
            <v>2</v>
          </cell>
          <cell r="AK10">
            <v>4</v>
          </cell>
          <cell r="AM10">
            <v>2</v>
          </cell>
          <cell r="AN10">
            <v>2</v>
          </cell>
          <cell r="AP10">
            <v>2</v>
          </cell>
          <cell r="AQ10">
            <v>2</v>
          </cell>
          <cell r="AS10">
            <v>2</v>
          </cell>
          <cell r="AT10">
            <v>2</v>
          </cell>
          <cell r="AZ10">
            <v>1</v>
          </cell>
          <cell r="BE10">
            <v>6</v>
          </cell>
          <cell r="BF10">
            <v>3</v>
          </cell>
          <cell r="BG10">
            <v>3</v>
          </cell>
          <cell r="BH10">
            <v>6</v>
          </cell>
          <cell r="BK10">
            <v>1</v>
          </cell>
          <cell r="BL10">
            <v>1</v>
          </cell>
          <cell r="BP10">
            <v>3</v>
          </cell>
          <cell r="BQ10">
            <v>3</v>
          </cell>
          <cell r="BR10">
            <v>3</v>
          </cell>
          <cell r="BS10">
            <v>6</v>
          </cell>
          <cell r="BU10">
            <v>3</v>
          </cell>
          <cell r="BW10">
            <v>3</v>
          </cell>
          <cell r="BX10">
            <v>3</v>
          </cell>
          <cell r="BZ10">
            <v>3</v>
          </cell>
          <cell r="CA10">
            <v>3</v>
          </cell>
          <cell r="CB10">
            <v>6</v>
          </cell>
          <cell r="CD10">
            <v>3</v>
          </cell>
          <cell r="CE10">
            <v>3</v>
          </cell>
        </row>
        <row r="11">
          <cell r="G11">
            <v>1</v>
          </cell>
          <cell r="H11">
            <v>2</v>
          </cell>
          <cell r="K11">
            <v>1</v>
          </cell>
          <cell r="M11">
            <v>1</v>
          </cell>
          <cell r="R11">
            <v>1</v>
          </cell>
          <cell r="U11">
            <v>1</v>
          </cell>
          <cell r="AG11">
            <v>1</v>
          </cell>
          <cell r="AI11">
            <v>1</v>
          </cell>
          <cell r="AS11">
            <v>2</v>
          </cell>
          <cell r="AT11">
            <v>2</v>
          </cell>
          <cell r="BE11">
            <v>2</v>
          </cell>
          <cell r="BF11">
            <v>1</v>
          </cell>
          <cell r="BG11">
            <v>1</v>
          </cell>
          <cell r="BH11">
            <v>2</v>
          </cell>
          <cell r="BK11">
            <v>1</v>
          </cell>
          <cell r="BL11">
            <v>1</v>
          </cell>
          <cell r="BP11">
            <v>1</v>
          </cell>
          <cell r="BQ11">
            <v>1</v>
          </cell>
          <cell r="BU11">
            <v>1</v>
          </cell>
          <cell r="BZ11">
            <v>1</v>
          </cell>
          <cell r="CB11">
            <v>6</v>
          </cell>
        </row>
        <row r="14">
          <cell r="I14">
            <v>1</v>
          </cell>
          <cell r="J14">
            <v>2</v>
          </cell>
          <cell r="K14">
            <v>2</v>
          </cell>
          <cell r="L14">
            <v>1</v>
          </cell>
          <cell r="M14">
            <v>1</v>
          </cell>
          <cell r="N14">
            <v>1</v>
          </cell>
          <cell r="Q14">
            <v>2</v>
          </cell>
          <cell r="R14">
            <v>1</v>
          </cell>
          <cell r="U14">
            <v>2</v>
          </cell>
          <cell r="AA14">
            <v>2</v>
          </cell>
          <cell r="AB14">
            <v>4</v>
          </cell>
          <cell r="AC14">
            <v>4</v>
          </cell>
          <cell r="AD14">
            <v>2</v>
          </cell>
          <cell r="AE14">
            <v>2</v>
          </cell>
          <cell r="AF14">
            <v>2</v>
          </cell>
          <cell r="AG14">
            <v>2</v>
          </cell>
          <cell r="AL14">
            <v>4</v>
          </cell>
          <cell r="AM14">
            <v>2</v>
          </cell>
          <cell r="AO14">
            <v>4</v>
          </cell>
          <cell r="AP14">
            <v>2</v>
          </cell>
          <cell r="AQ14">
            <v>2</v>
          </cell>
          <cell r="AR14">
            <v>2</v>
          </cell>
          <cell r="AS14">
            <v>4</v>
          </cell>
          <cell r="AT14">
            <v>4</v>
          </cell>
          <cell r="BA14">
            <v>1</v>
          </cell>
          <cell r="BC14">
            <v>1</v>
          </cell>
          <cell r="BD14">
            <v>3</v>
          </cell>
          <cell r="BI14">
            <v>3</v>
          </cell>
          <cell r="BJ14">
            <v>6</v>
          </cell>
          <cell r="BK14">
            <v>6</v>
          </cell>
          <cell r="BL14">
            <v>6</v>
          </cell>
          <cell r="BM14">
            <v>3</v>
          </cell>
          <cell r="BO14">
            <v>3</v>
          </cell>
          <cell r="BP14">
            <v>3</v>
          </cell>
          <cell r="BQ14">
            <v>3</v>
          </cell>
          <cell r="BT14">
            <v>6</v>
          </cell>
          <cell r="BU14">
            <v>3</v>
          </cell>
          <cell r="BV14">
            <v>3</v>
          </cell>
          <cell r="BW14">
            <v>3</v>
          </cell>
          <cell r="BY14">
            <v>6</v>
          </cell>
          <cell r="BZ14">
            <v>3</v>
          </cell>
          <cell r="CC14">
            <v>3</v>
          </cell>
          <cell r="CD14">
            <v>6</v>
          </cell>
          <cell r="CM14">
            <v>1</v>
          </cell>
        </row>
        <row r="21">
          <cell r="G21">
            <v>1</v>
          </cell>
          <cell r="I21">
            <v>1</v>
          </cell>
          <cell r="S21">
            <v>1</v>
          </cell>
          <cell r="T21">
            <v>1</v>
          </cell>
          <cell r="V21">
            <v>1</v>
          </cell>
          <cell r="W21">
            <v>1</v>
          </cell>
          <cell r="Y21">
            <v>2</v>
          </cell>
          <cell r="AA21">
            <v>2</v>
          </cell>
          <cell r="AH21">
            <v>2</v>
          </cell>
          <cell r="AI21">
            <v>2</v>
          </cell>
          <cell r="AJ21">
            <v>2</v>
          </cell>
          <cell r="AR21">
            <v>2</v>
          </cell>
          <cell r="BF21">
            <v>3</v>
          </cell>
          <cell r="BG21">
            <v>3</v>
          </cell>
          <cell r="BI21">
            <v>3</v>
          </cell>
          <cell r="BR21">
            <v>3</v>
          </cell>
          <cell r="BW21">
            <v>3</v>
          </cell>
          <cell r="BX21">
            <v>3</v>
          </cell>
          <cell r="CC21">
            <v>3</v>
          </cell>
          <cell r="CM21">
            <v>1</v>
          </cell>
          <cell r="CN21">
            <v>1</v>
          </cell>
        </row>
        <row r="22">
          <cell r="G22">
            <v>1</v>
          </cell>
          <cell r="I22">
            <v>1</v>
          </cell>
          <cell r="S22">
            <v>1</v>
          </cell>
          <cell r="T22">
            <v>1</v>
          </cell>
          <cell r="V22">
            <v>1</v>
          </cell>
          <cell r="W22">
            <v>1</v>
          </cell>
          <cell r="Y22">
            <v>2</v>
          </cell>
          <cell r="AA22">
            <v>2</v>
          </cell>
          <cell r="AH22">
            <v>2</v>
          </cell>
          <cell r="AI22">
            <v>2</v>
          </cell>
          <cell r="AJ22">
            <v>2</v>
          </cell>
          <cell r="AR22">
            <v>2</v>
          </cell>
          <cell r="BF22">
            <v>3</v>
          </cell>
          <cell r="BG22">
            <v>3</v>
          </cell>
          <cell r="BI22">
            <v>3</v>
          </cell>
          <cell r="BR22">
            <v>3</v>
          </cell>
          <cell r="BW22">
            <v>3</v>
          </cell>
          <cell r="BX22">
            <v>3</v>
          </cell>
          <cell r="CC22">
            <v>3</v>
          </cell>
          <cell r="CM22">
            <v>1</v>
          </cell>
          <cell r="CN22">
            <v>1</v>
          </cell>
        </row>
        <row r="23">
          <cell r="H23">
            <v>1</v>
          </cell>
          <cell r="Z23">
            <v>2</v>
          </cell>
          <cell r="AK23">
            <v>2</v>
          </cell>
          <cell r="BB23">
            <v>1</v>
          </cell>
          <cell r="BE23">
            <v>3</v>
          </cell>
          <cell r="BH23">
            <v>3</v>
          </cell>
          <cell r="CB23">
            <v>3</v>
          </cell>
        </row>
        <row r="26">
          <cell r="J26">
            <v>1</v>
          </cell>
          <cell r="K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2</v>
          </cell>
          <cell r="R26">
            <v>2</v>
          </cell>
          <cell r="U26">
            <v>1</v>
          </cell>
          <cell r="AB26">
            <v>2</v>
          </cell>
          <cell r="AC26">
            <v>2</v>
          </cell>
          <cell r="AE26">
            <v>2</v>
          </cell>
          <cell r="AF26">
            <v>2</v>
          </cell>
          <cell r="AG26">
            <v>2</v>
          </cell>
          <cell r="AL26">
            <v>2</v>
          </cell>
          <cell r="AM26">
            <v>2</v>
          </cell>
          <cell r="AN26">
            <v>2</v>
          </cell>
          <cell r="AO26">
            <v>4</v>
          </cell>
          <cell r="AP26">
            <v>4</v>
          </cell>
          <cell r="AS26">
            <v>2</v>
          </cell>
          <cell r="AT26">
            <v>2</v>
          </cell>
          <cell r="AZ26">
            <v>1</v>
          </cell>
          <cell r="BA26">
            <v>1</v>
          </cell>
          <cell r="BD26">
            <v>3</v>
          </cell>
          <cell r="BJ26">
            <v>3</v>
          </cell>
          <cell r="BK26">
            <v>3</v>
          </cell>
          <cell r="BL26">
            <v>3</v>
          </cell>
          <cell r="BO26">
            <v>3</v>
          </cell>
          <cell r="BP26">
            <v>3</v>
          </cell>
          <cell r="BQ26">
            <v>3</v>
          </cell>
          <cell r="BY26">
            <v>3</v>
          </cell>
          <cell r="CA26">
            <v>3</v>
          </cell>
          <cell r="CD26">
            <v>3</v>
          </cell>
        </row>
        <row r="27">
          <cell r="J27">
            <v>1</v>
          </cell>
          <cell r="K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2</v>
          </cell>
          <cell r="R27">
            <v>2</v>
          </cell>
          <cell r="U27">
            <v>1</v>
          </cell>
          <cell r="AB27">
            <v>2</v>
          </cell>
          <cell r="AC27">
            <v>2</v>
          </cell>
          <cell r="AE27">
            <v>2</v>
          </cell>
          <cell r="AF27">
            <v>2</v>
          </cell>
          <cell r="AG27">
            <v>2</v>
          </cell>
          <cell r="AL27">
            <v>2</v>
          </cell>
          <cell r="AM27">
            <v>2</v>
          </cell>
          <cell r="AN27">
            <v>2</v>
          </cell>
          <cell r="AO27">
            <v>4</v>
          </cell>
          <cell r="AP27">
            <v>4</v>
          </cell>
          <cell r="AS27">
            <v>2</v>
          </cell>
          <cell r="AT27">
            <v>2</v>
          </cell>
          <cell r="AZ27">
            <v>1</v>
          </cell>
          <cell r="BA27">
            <v>1</v>
          </cell>
          <cell r="BD27">
            <v>3</v>
          </cell>
          <cell r="BJ27">
            <v>3</v>
          </cell>
          <cell r="BK27">
            <v>3</v>
          </cell>
          <cell r="BL27">
            <v>3</v>
          </cell>
          <cell r="BO27">
            <v>3</v>
          </cell>
          <cell r="BP27">
            <v>3</v>
          </cell>
          <cell r="BQ27">
            <v>3</v>
          </cell>
          <cell r="BY27">
            <v>3</v>
          </cell>
          <cell r="CA27">
            <v>3</v>
          </cell>
          <cell r="CD27">
            <v>3</v>
          </cell>
        </row>
        <row r="28">
          <cell r="G28">
            <v>2.5</v>
          </cell>
          <cell r="H28">
            <v>5</v>
          </cell>
          <cell r="K28">
            <v>1.5</v>
          </cell>
          <cell r="M28">
            <v>1.5</v>
          </cell>
          <cell r="O28">
            <v>1.5</v>
          </cell>
          <cell r="P28">
            <v>2.5</v>
          </cell>
          <cell r="R28">
            <v>2.5</v>
          </cell>
          <cell r="S28">
            <v>2.5</v>
          </cell>
          <cell r="T28">
            <v>2.5</v>
          </cell>
          <cell r="U28">
            <v>1.5</v>
          </cell>
          <cell r="V28">
            <v>2.5</v>
          </cell>
          <cell r="W28">
            <v>2.5</v>
          </cell>
          <cell r="Y28">
            <v>5</v>
          </cell>
          <cell r="Z28">
            <v>10</v>
          </cell>
          <cell r="AF28">
            <v>3</v>
          </cell>
          <cell r="AG28">
            <v>3</v>
          </cell>
          <cell r="AH28">
            <v>5</v>
          </cell>
          <cell r="AI28">
            <v>5</v>
          </cell>
          <cell r="AJ28">
            <v>5</v>
          </cell>
          <cell r="AK28">
            <v>5</v>
          </cell>
          <cell r="AM28">
            <v>3</v>
          </cell>
          <cell r="AN28">
            <v>3</v>
          </cell>
          <cell r="AP28">
            <v>3</v>
          </cell>
          <cell r="AQ28">
            <v>5</v>
          </cell>
          <cell r="AS28">
            <v>5</v>
          </cell>
          <cell r="AT28">
            <v>3</v>
          </cell>
          <cell r="AZ28">
            <v>2.5</v>
          </cell>
          <cell r="BA28">
            <v>2.5</v>
          </cell>
          <cell r="BC28">
            <v>2.5</v>
          </cell>
          <cell r="BE28">
            <v>15</v>
          </cell>
          <cell r="BF28">
            <v>7.5</v>
          </cell>
          <cell r="BG28">
            <v>7.5</v>
          </cell>
          <cell r="BH28">
            <v>15</v>
          </cell>
          <cell r="BK28">
            <v>2.5</v>
          </cell>
          <cell r="BL28">
            <v>2.5</v>
          </cell>
          <cell r="BP28">
            <v>7.5</v>
          </cell>
          <cell r="BQ28">
            <v>7.5</v>
          </cell>
          <cell r="BR28">
            <v>7.5</v>
          </cell>
          <cell r="BW28">
            <v>7.5</v>
          </cell>
          <cell r="BX28">
            <v>7.5</v>
          </cell>
          <cell r="BZ28">
            <v>7.5</v>
          </cell>
          <cell r="CA28">
            <v>7.5</v>
          </cell>
          <cell r="CB28">
            <v>15</v>
          </cell>
          <cell r="CD28">
            <v>7.5</v>
          </cell>
          <cell r="CE28">
            <v>4.5</v>
          </cell>
          <cell r="CN28">
            <v>2.5</v>
          </cell>
        </row>
        <row r="30">
          <cell r="I30">
            <v>1</v>
          </cell>
          <cell r="AA30">
            <v>2</v>
          </cell>
          <cell r="AR30">
            <v>2</v>
          </cell>
          <cell r="BI30">
            <v>3</v>
          </cell>
          <cell r="CC30">
            <v>3</v>
          </cell>
          <cell r="CM30">
            <v>1</v>
          </cell>
        </row>
        <row r="31">
          <cell r="J31">
            <v>2</v>
          </cell>
          <cell r="K31">
            <v>2</v>
          </cell>
          <cell r="L31">
            <v>1</v>
          </cell>
          <cell r="M31">
            <v>1</v>
          </cell>
          <cell r="N31">
            <v>1</v>
          </cell>
          <cell r="Q31">
            <v>2</v>
          </cell>
          <cell r="R31">
            <v>1</v>
          </cell>
          <cell r="U31">
            <v>2</v>
          </cell>
          <cell r="AB31">
            <v>4</v>
          </cell>
          <cell r="AC31">
            <v>4</v>
          </cell>
          <cell r="AD31">
            <v>2</v>
          </cell>
          <cell r="AE31">
            <v>2</v>
          </cell>
          <cell r="AF31">
            <v>2</v>
          </cell>
          <cell r="AG31">
            <v>2</v>
          </cell>
          <cell r="AL31">
            <v>4</v>
          </cell>
          <cell r="AM31">
            <v>2</v>
          </cell>
          <cell r="AO31">
            <v>4</v>
          </cell>
          <cell r="AP31">
            <v>2</v>
          </cell>
          <cell r="AQ31">
            <v>2</v>
          </cell>
          <cell r="AS31">
            <v>4</v>
          </cell>
          <cell r="AT31">
            <v>4</v>
          </cell>
          <cell r="BA31">
            <v>1</v>
          </cell>
          <cell r="BC31">
            <v>1</v>
          </cell>
          <cell r="BD31">
            <v>3</v>
          </cell>
          <cell r="BJ31">
            <v>6</v>
          </cell>
          <cell r="BK31">
            <v>6</v>
          </cell>
          <cell r="BL31">
            <v>6</v>
          </cell>
          <cell r="BM31">
            <v>3</v>
          </cell>
          <cell r="BO31">
            <v>3</v>
          </cell>
          <cell r="BP31">
            <v>3</v>
          </cell>
          <cell r="BQ31">
            <v>3</v>
          </cell>
          <cell r="BT31">
            <v>6</v>
          </cell>
          <cell r="BU31">
            <v>3</v>
          </cell>
          <cell r="BV31">
            <v>3</v>
          </cell>
          <cell r="BW31">
            <v>3</v>
          </cell>
          <cell r="BY31">
            <v>6</v>
          </cell>
          <cell r="BZ31">
            <v>3</v>
          </cell>
          <cell r="CD31">
            <v>6</v>
          </cell>
        </row>
        <row r="32">
          <cell r="J32">
            <v>2</v>
          </cell>
          <cell r="K32">
            <v>2</v>
          </cell>
          <cell r="L32">
            <v>1</v>
          </cell>
          <cell r="M32">
            <v>1</v>
          </cell>
          <cell r="N32">
            <v>1</v>
          </cell>
          <cell r="Q32">
            <v>2</v>
          </cell>
          <cell r="R32">
            <v>1</v>
          </cell>
          <cell r="U32">
            <v>2</v>
          </cell>
          <cell r="AB32">
            <v>4</v>
          </cell>
          <cell r="AC32">
            <v>4</v>
          </cell>
          <cell r="AD32">
            <v>2</v>
          </cell>
          <cell r="AE32">
            <v>2</v>
          </cell>
          <cell r="AF32">
            <v>2</v>
          </cell>
          <cell r="AG32">
            <v>2</v>
          </cell>
          <cell r="AL32">
            <v>4</v>
          </cell>
          <cell r="AM32">
            <v>2</v>
          </cell>
          <cell r="AO32">
            <v>4</v>
          </cell>
          <cell r="AP32">
            <v>2</v>
          </cell>
          <cell r="AQ32">
            <v>2</v>
          </cell>
          <cell r="AS32">
            <v>4</v>
          </cell>
          <cell r="AT32">
            <v>4</v>
          </cell>
          <cell r="BA32">
            <v>1</v>
          </cell>
          <cell r="BC32">
            <v>1</v>
          </cell>
          <cell r="BD32">
            <v>3</v>
          </cell>
          <cell r="BJ32">
            <v>6</v>
          </cell>
          <cell r="BK32">
            <v>6</v>
          </cell>
          <cell r="BL32">
            <v>6</v>
          </cell>
          <cell r="BM32">
            <v>3</v>
          </cell>
          <cell r="BO32">
            <v>3</v>
          </cell>
          <cell r="BP32">
            <v>3</v>
          </cell>
          <cell r="BQ32">
            <v>3</v>
          </cell>
          <cell r="BT32">
            <v>6</v>
          </cell>
          <cell r="BU32">
            <v>3</v>
          </cell>
          <cell r="BV32">
            <v>3</v>
          </cell>
          <cell r="BW32">
            <v>3</v>
          </cell>
          <cell r="BY32">
            <v>6</v>
          </cell>
          <cell r="BZ32">
            <v>3</v>
          </cell>
          <cell r="CD32">
            <v>6</v>
          </cell>
        </row>
        <row r="35">
          <cell r="G35">
            <v>13.8</v>
          </cell>
          <cell r="H35">
            <v>13.8</v>
          </cell>
          <cell r="I35">
            <v>13.8</v>
          </cell>
          <cell r="J35">
            <v>13.8</v>
          </cell>
          <cell r="K35">
            <v>13.8</v>
          </cell>
          <cell r="L35">
            <v>13.8</v>
          </cell>
          <cell r="M35">
            <v>13.8</v>
          </cell>
          <cell r="N35">
            <v>13.8</v>
          </cell>
          <cell r="Q35">
            <v>16.3</v>
          </cell>
          <cell r="R35">
            <v>16.3</v>
          </cell>
          <cell r="S35">
            <v>16.3</v>
          </cell>
          <cell r="T35">
            <v>16.3</v>
          </cell>
          <cell r="U35">
            <v>13.8</v>
          </cell>
          <cell r="V35">
            <v>16.3</v>
          </cell>
          <cell r="W35">
            <v>16.3</v>
          </cell>
          <cell r="Y35">
            <v>15</v>
          </cell>
          <cell r="Z35">
            <v>15.4</v>
          </cell>
          <cell r="AA35">
            <v>12.8</v>
          </cell>
          <cell r="AB35">
            <v>13.1</v>
          </cell>
          <cell r="AC35">
            <v>15</v>
          </cell>
          <cell r="AD35">
            <v>12.8</v>
          </cell>
          <cell r="AE35">
            <v>15</v>
          </cell>
          <cell r="AF35">
            <v>15</v>
          </cell>
          <cell r="AG35">
            <v>15</v>
          </cell>
          <cell r="AH35">
            <v>14.9</v>
          </cell>
          <cell r="AI35">
            <v>13.7</v>
          </cell>
          <cell r="AJ35">
            <v>16.7</v>
          </cell>
          <cell r="AK35">
            <v>16.7</v>
          </cell>
          <cell r="AL35">
            <v>16.7</v>
          </cell>
          <cell r="AM35">
            <v>2.5</v>
          </cell>
          <cell r="AN35">
            <v>2.5</v>
          </cell>
          <cell r="AO35">
            <v>17.8</v>
          </cell>
          <cell r="AP35">
            <v>17.8</v>
          </cell>
          <cell r="AQ35">
            <v>21.8</v>
          </cell>
          <cell r="AR35">
            <v>17.7</v>
          </cell>
          <cell r="AS35">
            <v>26.2</v>
          </cell>
          <cell r="AT35">
            <v>26.2</v>
          </cell>
          <cell r="BA35">
            <v>1.5</v>
          </cell>
          <cell r="BB35">
            <v>0.3</v>
          </cell>
          <cell r="BC35">
            <v>0.3</v>
          </cell>
          <cell r="BD35">
            <v>16.3</v>
          </cell>
          <cell r="BE35">
            <v>16.3</v>
          </cell>
          <cell r="BF35">
            <v>16.3</v>
          </cell>
          <cell r="BG35">
            <v>16.3</v>
          </cell>
          <cell r="BH35">
            <v>16.3</v>
          </cell>
          <cell r="BI35">
            <v>15.3</v>
          </cell>
          <cell r="BJ35">
            <v>15.8</v>
          </cell>
          <cell r="BK35">
            <v>16.3</v>
          </cell>
          <cell r="BL35">
            <v>16.3</v>
          </cell>
          <cell r="BM35">
            <v>16.3</v>
          </cell>
          <cell r="BO35">
            <v>16</v>
          </cell>
          <cell r="BP35">
            <v>16.2</v>
          </cell>
          <cell r="BQ35">
            <v>16.2</v>
          </cell>
          <cell r="BR35">
            <v>18.5</v>
          </cell>
          <cell r="BT35">
            <v>18.899999999999999</v>
          </cell>
          <cell r="BU35">
            <v>18.899999999999999</v>
          </cell>
          <cell r="BV35">
            <v>18</v>
          </cell>
          <cell r="BW35">
            <v>18</v>
          </cell>
          <cell r="BX35">
            <v>18</v>
          </cell>
          <cell r="BY35">
            <v>18.5</v>
          </cell>
          <cell r="BZ35">
            <v>21.8</v>
          </cell>
          <cell r="CA35">
            <v>2.5</v>
          </cell>
          <cell r="CB35">
            <v>19.100000000000001</v>
          </cell>
          <cell r="CC35">
            <v>18</v>
          </cell>
          <cell r="CD35">
            <v>43.2</v>
          </cell>
          <cell r="CE35">
            <v>18.5</v>
          </cell>
          <cell r="CM35">
            <v>0.3</v>
          </cell>
          <cell r="CN35">
            <v>0.3</v>
          </cell>
          <cell r="DQ35">
            <v>0.5</v>
          </cell>
          <cell r="DR35">
            <v>0.5</v>
          </cell>
          <cell r="DS35">
            <v>0.5</v>
          </cell>
          <cell r="DT35">
            <v>0.5</v>
          </cell>
          <cell r="DU35">
            <v>0.5</v>
          </cell>
          <cell r="DV35">
            <v>0.5</v>
          </cell>
          <cell r="DW35">
            <v>0.5</v>
          </cell>
          <cell r="DX35">
            <v>0.5</v>
          </cell>
        </row>
        <row r="38">
          <cell r="P38">
            <v>1</v>
          </cell>
          <cell r="Q38">
            <v>1</v>
          </cell>
          <cell r="R38">
            <v>1</v>
          </cell>
          <cell r="S38">
            <v>1</v>
          </cell>
          <cell r="V38">
            <v>1</v>
          </cell>
          <cell r="W38">
            <v>1</v>
          </cell>
          <cell r="Y38">
            <v>2</v>
          </cell>
          <cell r="Z38">
            <v>4</v>
          </cell>
          <cell r="AC38">
            <v>4</v>
          </cell>
          <cell r="AE38">
            <v>4</v>
          </cell>
          <cell r="AF38">
            <v>4</v>
          </cell>
          <cell r="AG38">
            <v>1</v>
          </cell>
          <cell r="AH38">
            <v>2</v>
          </cell>
          <cell r="AI38">
            <v>1</v>
          </cell>
          <cell r="AM38">
            <v>4</v>
          </cell>
          <cell r="AN38">
            <v>2</v>
          </cell>
          <cell r="AO38">
            <v>6</v>
          </cell>
          <cell r="AP38">
            <v>6</v>
          </cell>
          <cell r="AQ38">
            <v>4</v>
          </cell>
          <cell r="AZ38">
            <v>1</v>
          </cell>
          <cell r="BD38">
            <v>4</v>
          </cell>
          <cell r="BE38">
            <v>4</v>
          </cell>
          <cell r="BF38">
            <v>2</v>
          </cell>
          <cell r="BG38">
            <v>2</v>
          </cell>
          <cell r="BH38">
            <v>4</v>
          </cell>
          <cell r="BK38">
            <v>4</v>
          </cell>
          <cell r="BL38">
            <v>4</v>
          </cell>
          <cell r="BO38">
            <v>4</v>
          </cell>
          <cell r="BP38">
            <v>4</v>
          </cell>
          <cell r="BQ38">
            <v>4</v>
          </cell>
          <cell r="BT38">
            <v>6</v>
          </cell>
          <cell r="BU38">
            <v>6</v>
          </cell>
          <cell r="BZ38">
            <v>4</v>
          </cell>
          <cell r="CA38">
            <v>2</v>
          </cell>
        </row>
        <row r="39">
          <cell r="G39">
            <v>2</v>
          </cell>
          <cell r="K39">
            <v>2</v>
          </cell>
          <cell r="M39">
            <v>2</v>
          </cell>
          <cell r="R39">
            <v>2</v>
          </cell>
          <cell r="U39">
            <v>2</v>
          </cell>
          <cell r="AG39">
            <v>2</v>
          </cell>
          <cell r="AI39">
            <v>1</v>
          </cell>
          <cell r="AS39">
            <v>4</v>
          </cell>
          <cell r="AT39">
            <v>4</v>
          </cell>
          <cell r="BF39">
            <v>2</v>
          </cell>
          <cell r="BG39">
            <v>2</v>
          </cell>
          <cell r="BK39">
            <v>2</v>
          </cell>
          <cell r="BL39">
            <v>2</v>
          </cell>
          <cell r="BP39">
            <v>2</v>
          </cell>
          <cell r="BQ39">
            <v>2</v>
          </cell>
          <cell r="BU39">
            <v>2</v>
          </cell>
          <cell r="BZ39">
            <v>2</v>
          </cell>
          <cell r="CD39">
            <v>6</v>
          </cell>
        </row>
        <row r="40">
          <cell r="Q40">
            <v>1</v>
          </cell>
          <cell r="R40">
            <v>1</v>
          </cell>
          <cell r="S40">
            <v>1</v>
          </cell>
          <cell r="T40">
            <v>1</v>
          </cell>
          <cell r="V40">
            <v>1</v>
          </cell>
          <cell r="W40">
            <v>1</v>
          </cell>
          <cell r="Y40">
            <v>1</v>
          </cell>
          <cell r="AJ40">
            <v>2</v>
          </cell>
          <cell r="AQ40">
            <v>5</v>
          </cell>
          <cell r="AR40">
            <v>2</v>
          </cell>
          <cell r="BA40">
            <v>4</v>
          </cell>
          <cell r="BB40">
            <v>2</v>
          </cell>
          <cell r="BC40">
            <v>2</v>
          </cell>
          <cell r="BD40">
            <v>1</v>
          </cell>
          <cell r="BE40">
            <v>1</v>
          </cell>
          <cell r="BF40">
            <v>1</v>
          </cell>
          <cell r="BG40">
            <v>1</v>
          </cell>
          <cell r="BH40">
            <v>1</v>
          </cell>
          <cell r="BK40">
            <v>1</v>
          </cell>
          <cell r="BL40">
            <v>1</v>
          </cell>
          <cell r="BO40">
            <v>1</v>
          </cell>
          <cell r="BP40">
            <v>1</v>
          </cell>
          <cell r="BQ40">
            <v>1</v>
          </cell>
          <cell r="BT40">
            <v>2</v>
          </cell>
          <cell r="BU40">
            <v>2</v>
          </cell>
          <cell r="BZ40">
            <v>1</v>
          </cell>
          <cell r="CA40">
            <v>1</v>
          </cell>
          <cell r="CM40">
            <v>2</v>
          </cell>
          <cell r="CN40">
            <v>2</v>
          </cell>
        </row>
        <row r="41">
          <cell r="H41">
            <v>2</v>
          </cell>
          <cell r="BE41">
            <v>2</v>
          </cell>
          <cell r="BH41">
            <v>2</v>
          </cell>
          <cell r="BR41">
            <v>4</v>
          </cell>
        </row>
        <row r="42">
          <cell r="I42">
            <v>1</v>
          </cell>
          <cell r="J42">
            <v>2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Q42">
            <v>1</v>
          </cell>
          <cell r="R42">
            <v>1</v>
          </cell>
          <cell r="U42">
            <v>1</v>
          </cell>
          <cell r="AA42">
            <v>2</v>
          </cell>
          <cell r="AB42">
            <v>4</v>
          </cell>
          <cell r="AD42">
            <v>2</v>
          </cell>
          <cell r="AG42">
            <v>2</v>
          </cell>
          <cell r="AL42">
            <v>2</v>
          </cell>
          <cell r="AS42">
            <v>4</v>
          </cell>
          <cell r="AT42">
            <v>2</v>
          </cell>
          <cell r="BD42">
            <v>1</v>
          </cell>
          <cell r="BK42">
            <v>1</v>
          </cell>
          <cell r="BL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T42">
            <v>1</v>
          </cell>
          <cell r="BU42">
            <v>1</v>
          </cell>
          <cell r="CD42">
            <v>6</v>
          </cell>
          <cell r="CM42">
            <v>1</v>
          </cell>
        </row>
        <row r="43">
          <cell r="K43">
            <v>1</v>
          </cell>
          <cell r="Q43">
            <v>1</v>
          </cell>
          <cell r="AC43">
            <v>4</v>
          </cell>
          <cell r="AE43">
            <v>2</v>
          </cell>
          <cell r="AF43">
            <v>2</v>
          </cell>
          <cell r="AL43">
            <v>2</v>
          </cell>
          <cell r="AM43">
            <v>2</v>
          </cell>
          <cell r="AO43">
            <v>4</v>
          </cell>
          <cell r="AP43">
            <v>2</v>
          </cell>
          <cell r="AQ43">
            <v>2</v>
          </cell>
          <cell r="AT43">
            <v>2</v>
          </cell>
          <cell r="BA43">
            <v>2</v>
          </cell>
          <cell r="BC43">
            <v>2</v>
          </cell>
          <cell r="BD43">
            <v>2</v>
          </cell>
          <cell r="BK43">
            <v>5</v>
          </cell>
          <cell r="BL43">
            <v>5</v>
          </cell>
          <cell r="BO43">
            <v>2</v>
          </cell>
          <cell r="BP43">
            <v>2</v>
          </cell>
          <cell r="BQ43">
            <v>2</v>
          </cell>
          <cell r="BT43">
            <v>5</v>
          </cell>
          <cell r="BU43">
            <v>2</v>
          </cell>
          <cell r="BY43">
            <v>6</v>
          </cell>
          <cell r="BZ43">
            <v>3</v>
          </cell>
          <cell r="CE43">
            <v>6</v>
          </cell>
          <cell r="DU43">
            <v>1</v>
          </cell>
          <cell r="DX43">
            <v>1</v>
          </cell>
        </row>
        <row r="45">
          <cell r="H45">
            <v>2</v>
          </cell>
          <cell r="BE45">
            <v>2</v>
          </cell>
          <cell r="BH45">
            <v>2</v>
          </cell>
        </row>
        <row r="46">
          <cell r="Q46">
            <v>1</v>
          </cell>
          <cell r="R46">
            <v>1</v>
          </cell>
          <cell r="S46">
            <v>1</v>
          </cell>
          <cell r="T46">
            <v>1</v>
          </cell>
          <cell r="V46">
            <v>1</v>
          </cell>
          <cell r="W46">
            <v>1</v>
          </cell>
          <cell r="Y46">
            <v>2</v>
          </cell>
          <cell r="Z46">
            <v>4</v>
          </cell>
          <cell r="AC46">
            <v>4</v>
          </cell>
          <cell r="AE46">
            <v>4</v>
          </cell>
          <cell r="AF46">
            <v>4</v>
          </cell>
          <cell r="AG46">
            <v>1</v>
          </cell>
          <cell r="AH46">
            <v>2</v>
          </cell>
          <cell r="AI46">
            <v>1</v>
          </cell>
          <cell r="AM46">
            <v>4</v>
          </cell>
          <cell r="AN46">
            <v>2</v>
          </cell>
          <cell r="AO46">
            <v>6</v>
          </cell>
          <cell r="AP46">
            <v>6</v>
          </cell>
          <cell r="AQ46">
            <v>4</v>
          </cell>
          <cell r="AZ46">
            <v>1</v>
          </cell>
          <cell r="BD46">
            <v>4</v>
          </cell>
          <cell r="BE46">
            <v>4</v>
          </cell>
          <cell r="BF46">
            <v>2</v>
          </cell>
          <cell r="BG46">
            <v>2</v>
          </cell>
          <cell r="BH46">
            <v>4</v>
          </cell>
          <cell r="BK46">
            <v>4</v>
          </cell>
          <cell r="BL46">
            <v>4</v>
          </cell>
          <cell r="BO46">
            <v>4</v>
          </cell>
          <cell r="BP46">
            <v>4</v>
          </cell>
          <cell r="BQ46">
            <v>4</v>
          </cell>
          <cell r="BT46">
            <v>6</v>
          </cell>
          <cell r="BU46">
            <v>6</v>
          </cell>
          <cell r="BZ46">
            <v>4</v>
          </cell>
          <cell r="CA46">
            <v>2</v>
          </cell>
        </row>
        <row r="47">
          <cell r="H47">
            <v>2</v>
          </cell>
          <cell r="P47">
            <v>2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V47">
            <v>1</v>
          </cell>
          <cell r="W47">
            <v>1</v>
          </cell>
          <cell r="Y47">
            <v>1</v>
          </cell>
          <cell r="Z47">
            <v>10</v>
          </cell>
          <cell r="AC47">
            <v>10</v>
          </cell>
          <cell r="AE47">
            <v>10</v>
          </cell>
          <cell r="AF47">
            <v>10</v>
          </cell>
          <cell r="AG47">
            <v>1</v>
          </cell>
          <cell r="AH47">
            <v>2</v>
          </cell>
          <cell r="AI47">
            <v>1</v>
          </cell>
          <cell r="AJ47">
            <v>2</v>
          </cell>
          <cell r="AK47">
            <v>4</v>
          </cell>
          <cell r="AL47">
            <v>12</v>
          </cell>
          <cell r="AM47">
            <v>10</v>
          </cell>
          <cell r="AN47">
            <v>1</v>
          </cell>
          <cell r="AO47">
            <v>11</v>
          </cell>
          <cell r="AP47">
            <v>11</v>
          </cell>
          <cell r="AQ47">
            <v>10</v>
          </cell>
          <cell r="AR47">
            <v>10</v>
          </cell>
          <cell r="AZ47">
            <v>2</v>
          </cell>
          <cell r="BA47">
            <v>10</v>
          </cell>
          <cell r="BB47">
            <v>8</v>
          </cell>
          <cell r="BC47">
            <v>10</v>
          </cell>
          <cell r="BD47">
            <v>10</v>
          </cell>
          <cell r="BE47">
            <v>14</v>
          </cell>
          <cell r="BF47">
            <v>2</v>
          </cell>
          <cell r="BG47">
            <v>2</v>
          </cell>
          <cell r="BH47">
            <v>14</v>
          </cell>
          <cell r="BK47">
            <v>12</v>
          </cell>
          <cell r="BL47">
            <v>12</v>
          </cell>
          <cell r="BO47">
            <v>10</v>
          </cell>
          <cell r="BP47">
            <v>10</v>
          </cell>
          <cell r="BQ47">
            <v>10</v>
          </cell>
          <cell r="BR47">
            <v>4</v>
          </cell>
          <cell r="BT47">
            <v>11</v>
          </cell>
          <cell r="BU47">
            <v>11</v>
          </cell>
          <cell r="BV47">
            <v>6</v>
          </cell>
          <cell r="BW47">
            <v>6</v>
          </cell>
          <cell r="BY47">
            <v>20</v>
          </cell>
          <cell r="BZ47">
            <v>10</v>
          </cell>
          <cell r="CA47">
            <v>1</v>
          </cell>
          <cell r="CB47">
            <v>8</v>
          </cell>
          <cell r="CC47">
            <v>16</v>
          </cell>
          <cell r="CM47">
            <v>6</v>
          </cell>
          <cell r="CN47">
            <v>2</v>
          </cell>
        </row>
        <row r="48">
          <cell r="G48">
            <v>2</v>
          </cell>
          <cell r="I48">
            <v>2</v>
          </cell>
          <cell r="J48">
            <v>4</v>
          </cell>
          <cell r="K48">
            <v>4</v>
          </cell>
          <cell r="L48">
            <v>2</v>
          </cell>
          <cell r="M48">
            <v>4</v>
          </cell>
          <cell r="N48">
            <v>2</v>
          </cell>
          <cell r="P48">
            <v>1</v>
          </cell>
          <cell r="Q48">
            <v>4</v>
          </cell>
          <cell r="R48">
            <v>6</v>
          </cell>
          <cell r="S48">
            <v>2</v>
          </cell>
          <cell r="T48">
            <v>2</v>
          </cell>
          <cell r="U48">
            <v>4</v>
          </cell>
          <cell r="V48">
            <v>2</v>
          </cell>
          <cell r="W48">
            <v>2</v>
          </cell>
          <cell r="Y48">
            <v>2</v>
          </cell>
          <cell r="AA48">
            <v>4</v>
          </cell>
          <cell r="AB48">
            <v>8</v>
          </cell>
          <cell r="AD48">
            <v>4</v>
          </cell>
          <cell r="AG48">
            <v>8</v>
          </cell>
          <cell r="AH48">
            <v>4</v>
          </cell>
          <cell r="AI48">
            <v>4</v>
          </cell>
          <cell r="AJ48">
            <v>2</v>
          </cell>
          <cell r="AN48">
            <v>2</v>
          </cell>
          <cell r="AO48">
            <v>2</v>
          </cell>
          <cell r="AP48">
            <v>2</v>
          </cell>
          <cell r="AQ48">
            <v>4</v>
          </cell>
          <cell r="AR48">
            <v>2</v>
          </cell>
          <cell r="AS48">
            <v>8</v>
          </cell>
          <cell r="AT48">
            <v>8</v>
          </cell>
          <cell r="AZ48">
            <v>1</v>
          </cell>
          <cell r="BA48">
            <v>2</v>
          </cell>
          <cell r="BD48">
            <v>4</v>
          </cell>
          <cell r="BF48">
            <v>4</v>
          </cell>
          <cell r="BG48">
            <v>4</v>
          </cell>
          <cell r="BI48">
            <v>6</v>
          </cell>
          <cell r="BJ48">
            <v>12</v>
          </cell>
          <cell r="BK48">
            <v>4</v>
          </cell>
          <cell r="BL48">
            <v>4</v>
          </cell>
          <cell r="BM48">
            <v>6</v>
          </cell>
          <cell r="BO48">
            <v>4</v>
          </cell>
          <cell r="BP48">
            <v>4</v>
          </cell>
          <cell r="BQ48">
            <v>4</v>
          </cell>
          <cell r="BR48">
            <v>4</v>
          </cell>
          <cell r="BT48">
            <v>4</v>
          </cell>
          <cell r="BU48">
            <v>6</v>
          </cell>
          <cell r="BV48">
            <v>6</v>
          </cell>
          <cell r="BW48">
            <v>6</v>
          </cell>
          <cell r="BX48">
            <v>6</v>
          </cell>
          <cell r="BZ48">
            <v>6</v>
          </cell>
          <cell r="CA48">
            <v>2</v>
          </cell>
          <cell r="CC48">
            <v>4</v>
          </cell>
          <cell r="CD48">
            <v>18</v>
          </cell>
          <cell r="CM48">
            <v>2</v>
          </cell>
          <cell r="CN48">
            <v>2</v>
          </cell>
        </row>
        <row r="52">
          <cell r="DQ52">
            <v>13</v>
          </cell>
          <cell r="DR52">
            <v>11</v>
          </cell>
          <cell r="DS52">
            <v>16</v>
          </cell>
          <cell r="DT52">
            <v>14</v>
          </cell>
          <cell r="DU52">
            <v>22</v>
          </cell>
          <cell r="DV52">
            <v>16</v>
          </cell>
          <cell r="DW52">
            <v>14</v>
          </cell>
          <cell r="DX52">
            <v>22</v>
          </cell>
        </row>
        <row r="53"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</row>
        <row r="54">
          <cell r="DQ54">
            <v>2</v>
          </cell>
          <cell r="DR54">
            <v>2</v>
          </cell>
          <cell r="DS54">
            <v>6</v>
          </cell>
          <cell r="DT54">
            <v>2</v>
          </cell>
          <cell r="DU54">
            <v>6</v>
          </cell>
          <cell r="DV54">
            <v>2</v>
          </cell>
          <cell r="DW54">
            <v>2</v>
          </cell>
          <cell r="DX54">
            <v>6</v>
          </cell>
        </row>
        <row r="56">
          <cell r="DQ56">
            <v>1</v>
          </cell>
          <cell r="DR56">
            <v>1</v>
          </cell>
        </row>
        <row r="57">
          <cell r="DQ57">
            <v>1</v>
          </cell>
          <cell r="DR57">
            <v>1</v>
          </cell>
          <cell r="DS57">
            <v>1</v>
          </cell>
        </row>
        <row r="59">
          <cell r="DQ59">
            <v>1</v>
          </cell>
          <cell r="DR59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 UNIT AN OP SE SANTUARIO (2)"/>
      <sheetName val="Recursos"/>
      <sheetName val="COSTOS TOTALES OYM"/>
      <sheetName val="DATOS TECNICOS LT"/>
      <sheetName val="PROC MANT LT 1"/>
      <sheetName val="PROC MANT LT 2"/>
      <sheetName val="COS UNIT ACT PROC LT"/>
      <sheetName val="ACT1 PROC1 LT"/>
      <sheetName val="ACT2 PROC1 LT"/>
      <sheetName val="ACT2 PROC2 LT"/>
      <sheetName val="ACT3 PROC1 LT"/>
      <sheetName val="ACT3 PROC2 LT"/>
      <sheetName val="ACT4 PROC1 LT"/>
      <sheetName val="ACT4 PROC2 LT"/>
      <sheetName val="ACT4 PROC3 LT"/>
      <sheetName val="ACT4 PROC4 LT"/>
      <sheetName val="ACT5 PROC1 LT"/>
      <sheetName val="ACT5 PROC2 LT"/>
      <sheetName val="ACT5 PROC3 LT"/>
      <sheetName val="ACT6 PROC1 LT"/>
      <sheetName val="ACT6 PROC2 LT"/>
      <sheetName val="ACT6 PROC3 LT"/>
      <sheetName val="RENDIMIENTO LT"/>
      <sheetName val="RES MANT ANUAL LT"/>
      <sheetName val="DIAG UNI SE SANTUARIO"/>
      <sheetName val="DIAG UNI SE CHILINA"/>
      <sheetName val="DATOS TECNICOS SE SANTUARIO"/>
      <sheetName val="DATOS TECNICOS SE CHILINA"/>
      <sheetName val="PROC MANT SE SANTUARIO 1"/>
      <sheetName val="PROC MANT SE CHILINA 1"/>
      <sheetName val="PROC MANT SE SANTUARIO 2"/>
      <sheetName val="PROC MANT SE CHILINA 2"/>
      <sheetName val="COST UNIT ACT PROC SE SANTUARIO"/>
      <sheetName val="COST UNIT ACT PROC SE CHILINA"/>
      <sheetName val="ACT1 PROC1 SE"/>
      <sheetName val="ACT2 PROC1 SE"/>
      <sheetName val="ACT2 PROC2 SE"/>
      <sheetName val="ACT2 PROC3 SE"/>
      <sheetName val="ACT2 PROC4 SE"/>
      <sheetName val="ACT2 PROC5 SE"/>
      <sheetName val="ACT2 PROC6 SE"/>
      <sheetName val="ACT3 PROC1 SE"/>
      <sheetName val="ACT3 PROC2 SE"/>
      <sheetName val="ACT3 PROC3 SE"/>
      <sheetName val="ACT3 PROC4 SE"/>
      <sheetName val="ACT3 PROC5 SE"/>
      <sheetName val="ACT3 PROC6 SE"/>
      <sheetName val="ACT4 PROC1 SE"/>
      <sheetName val="ACT4 PROC2 SE"/>
      <sheetName val="ACT4 PROC3 SE"/>
      <sheetName val="ACT4 PROC4 SE"/>
      <sheetName val="ACT4 PROC5 SE"/>
      <sheetName val="ACT4 PROC6 SE"/>
      <sheetName val="ACT5 PROC1 SE"/>
      <sheetName val="ACT6 PROC1 SE"/>
      <sheetName val="ACT6 PROC2 SE"/>
      <sheetName val="ACT6 PROC3 SE"/>
      <sheetName val="ACT6 PROC4 SE"/>
      <sheetName val="ACT6 PROC5 SE"/>
      <sheetName val="ACT7 PROC1 SE"/>
      <sheetName val="ACT8 PROC1 SE"/>
      <sheetName val="ACT9 PROC1 SE"/>
      <sheetName val="ACT9 PROC2 SE"/>
      <sheetName val="REND SE SANTUARIO"/>
      <sheetName val="REND SE CHILINA"/>
      <sheetName val="RES MANT ANUAL SE"/>
      <sheetName val="COS UNIT AN OP SE SANTUARIO"/>
      <sheetName val="COS UNIT AN OP SE CHILINA"/>
      <sheetName val="DETALLE COS PER SE SANTUARIO"/>
      <sheetName val="DETALLE COS PER SE CHILINA"/>
      <sheetName val="COS ANUALES TOT SE"/>
      <sheetName val="ORG"/>
      <sheetName val="TAREAS"/>
      <sheetName val="COS PER G GENERAL"/>
      <sheetName val="COS PER G OPERACIONES"/>
      <sheetName val="COS PER U OPERACIONES"/>
      <sheetName val="COS PER U MANTENIMIENTO"/>
      <sheetName val="COS PER U NEGOCIOS"/>
      <sheetName val="COS PER C CONTROL"/>
      <sheetName val="COS PER GESTION GENERAL"/>
      <sheetName val="COSTOS GESTION"/>
      <sheetName val="SEGURIDAD LT"/>
      <sheetName val="SEGURIDAD 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-SSEE"/>
      <sheetName val="OPR-SSEE-COS-PERSO"/>
      <sheetName val="COST-OPERA-COST-ANUALES"/>
      <sheetName val="COST-OPERA-ASIGNACION -COSTOS"/>
      <sheetName val="VNR-RESUMEN POR LINEAS"/>
      <sheetName val="FORMA-LM1"/>
      <sheetName val="FORMA-LM2."/>
      <sheetName val="FORMA-(SE1)"/>
      <sheetName val="FORMA-SE2"/>
      <sheetName val="FORMA-LS1-LS2"/>
      <sheetName val="FORMA-LS3"/>
      <sheetName val="FORMA-ST1"/>
      <sheetName val="FORMA-RL1"/>
      <sheetName val="FORMA- RE1"/>
      <sheetName val="PROCMAN1"/>
      <sheetName val="ACTMAN1"/>
      <sheetName val="ACTPRO1"/>
      <sheetName val="Hoja1"/>
      <sheetName val="GESTION-DIAORG"/>
      <sheetName val="gest-perso"/>
      <sheetName val="GEST-TOT"/>
      <sheetName val="SEGLLTT"/>
      <sheetName val="SEGSSEE"/>
      <sheetName val="FORMA_SE2"/>
      <sheetName val="FORMA_LS1_LS2"/>
      <sheetName val="FORMA_LS3"/>
      <sheetName val="FORMA_ST1"/>
      <sheetName val="FORMA_RL1"/>
      <sheetName val="FORMA_ RE1"/>
      <sheetName val="Aux. Disgregados"/>
      <sheetName val="LOCALIDADES"/>
      <sheetName val="SUM RP"/>
      <sheetName val="Identificación Cargas _Anexo 4_"/>
      <sheetName val="DATOS DE CAMPO"/>
      <sheetName val="Cuadro de Pre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7">
          <cell r="A17" t="str">
            <v>TIPO DE ESTRUCTURAS : METALICAS DE CELOSIA</v>
          </cell>
          <cell r="C17" t="str">
            <v>:</v>
          </cell>
          <cell r="O17" t="str">
            <v>Hoja:</v>
          </cell>
        </row>
        <row r="19">
          <cell r="E19" t="str">
            <v>S U M I N I S T R O S    I M P O R T A D O S</v>
          </cell>
          <cell r="J19" t="str">
            <v>F L E T E</v>
          </cell>
          <cell r="L19" t="str">
            <v>O B R A S</v>
          </cell>
          <cell r="N19" t="str">
            <v>M O N T A J E</v>
          </cell>
        </row>
        <row r="20">
          <cell r="E20" t="str">
            <v>P R E C I O    F O B</v>
          </cell>
          <cell r="G20" t="str">
            <v>F L E T E</v>
          </cell>
          <cell r="H20" t="str">
            <v>ARANCELES</v>
          </cell>
          <cell r="J20" t="str">
            <v>T E R R E S T R E</v>
          </cell>
          <cell r="L20" t="str">
            <v>C I V I L E S</v>
          </cell>
          <cell r="N20" t="str">
            <v>E L E C T R O M E C A N I C O</v>
          </cell>
          <cell r="P20" t="str">
            <v>S U B</v>
          </cell>
        </row>
        <row r="21">
          <cell r="A21" t="str">
            <v>ITEM</v>
          </cell>
          <cell r="B21" t="str">
            <v xml:space="preserve"> A   C   T   I   V   I   D   A   D  E  S</v>
          </cell>
          <cell r="C21" t="str">
            <v>UNIDAD</v>
          </cell>
          <cell r="D21" t="str">
            <v>CANTIDAD</v>
          </cell>
          <cell r="G21" t="str">
            <v>Y</v>
          </cell>
          <cell r="H21" t="str">
            <v>Y  GASTOS</v>
          </cell>
          <cell r="I21" t="str">
            <v>SUB TOTAL</v>
          </cell>
          <cell r="P21" t="str">
            <v>T O T A L</v>
          </cell>
          <cell r="Q21" t="str">
            <v xml:space="preserve"> </v>
          </cell>
        </row>
        <row r="22">
          <cell r="E22" t="str">
            <v>UNITARIO</v>
          </cell>
          <cell r="F22" t="str">
            <v>TOTAL</v>
          </cell>
          <cell r="G22" t="str">
            <v>S E G U R O</v>
          </cell>
          <cell r="H22" t="str">
            <v>ADUANAS</v>
          </cell>
          <cell r="J22" t="str">
            <v>UNITARIO</v>
          </cell>
          <cell r="K22" t="str">
            <v>SUB 
TOTAL</v>
          </cell>
          <cell r="L22" t="str">
            <v>UNITARIO</v>
          </cell>
          <cell r="M22" t="str">
            <v>SUB 
TOTAL</v>
          </cell>
          <cell r="N22" t="str">
            <v>UNITARIO</v>
          </cell>
          <cell r="O22" t="str">
            <v>SUB 
TOTAL</v>
          </cell>
          <cell r="P22" t="str">
            <v>G  E N E R A L</v>
          </cell>
        </row>
        <row r="23">
          <cell r="A23" t="str">
            <v>I</v>
          </cell>
          <cell r="B23" t="str">
            <v xml:space="preserve">  O B R A S    C I V I L E S</v>
          </cell>
        </row>
        <row r="24">
          <cell r="A24" t="str">
            <v>1.0</v>
          </cell>
          <cell r="B24" t="str">
            <v xml:space="preserve">  Obras  Provisionales</v>
          </cell>
        </row>
        <row r="25">
          <cell r="A25" t="str">
            <v>1.1</v>
          </cell>
          <cell r="B25" t="str">
            <v xml:space="preserve">  Campamentos ( Instalación  y  Operación )</v>
          </cell>
          <cell r="C25" t="str">
            <v>Global</v>
          </cell>
        </row>
        <row r="27">
          <cell r="A27" t="str">
            <v>2.0</v>
          </cell>
          <cell r="B27" t="str">
            <v xml:space="preserve">  Trabajos  Preliminares</v>
          </cell>
        </row>
        <row r="28">
          <cell r="A28" t="str">
            <v>2.1</v>
          </cell>
          <cell r="B28" t="str">
            <v xml:space="preserve">  Replanteo  Topográfico  de  la  Línea</v>
          </cell>
          <cell r="C28" t="str">
            <v>km</v>
          </cell>
        </row>
        <row r="29">
          <cell r="A29" t="str">
            <v>2.2</v>
          </cell>
          <cell r="B29" t="str">
            <v xml:space="preserve">  Estudio  Geotécnico</v>
          </cell>
          <cell r="C29" t="str">
            <v>U</v>
          </cell>
        </row>
        <row r="30">
          <cell r="A30" t="str">
            <v>2.3</v>
          </cell>
          <cell r="B30" t="str">
            <v xml:space="preserve">  Limpieza  de  Faja  de Servidumbre (deforestación)</v>
          </cell>
          <cell r="C30" t="str">
            <v>Ha.</v>
          </cell>
        </row>
        <row r="31">
          <cell r="A31" t="str">
            <v>2.4</v>
          </cell>
          <cell r="B31" t="str">
            <v>Gestion de servidumbre</v>
          </cell>
          <cell r="C31" t="str">
            <v>km</v>
          </cell>
        </row>
        <row r="33">
          <cell r="A33" t="str">
            <v>3.0</v>
          </cell>
          <cell r="B33" t="str">
            <v xml:space="preserve">  Caminos  de  Acceso</v>
          </cell>
        </row>
        <row r="34">
          <cell r="A34" t="str">
            <v>3.1</v>
          </cell>
          <cell r="B34" t="str">
            <v xml:space="preserve">  En  terreno  plano</v>
          </cell>
          <cell r="C34" t="str">
            <v>km</v>
          </cell>
        </row>
        <row r="35">
          <cell r="A35" t="str">
            <v>3.2</v>
          </cell>
          <cell r="B35" t="str">
            <v xml:space="preserve">  En  terreno  ondulado</v>
          </cell>
          <cell r="C35" t="str">
            <v>km</v>
          </cell>
        </row>
        <row r="36">
          <cell r="A36" t="str">
            <v>3.3</v>
          </cell>
          <cell r="B36" t="str">
            <v>En terreno accidentado suelo</v>
          </cell>
          <cell r="C36" t="str">
            <v>km</v>
          </cell>
        </row>
        <row r="37">
          <cell r="A37" t="str">
            <v>3.4</v>
          </cell>
          <cell r="B37" t="str">
            <v>En terreno accidentado roca</v>
          </cell>
          <cell r="C37" t="str">
            <v>km</v>
          </cell>
        </row>
        <row r="39">
          <cell r="A39" t="str">
            <v>4.0</v>
          </cell>
          <cell r="B39" t="str">
            <v xml:space="preserve">  Cimentación  de  las  Estructuras</v>
          </cell>
        </row>
        <row r="40">
          <cell r="A40" t="str">
            <v>4.1</v>
          </cell>
          <cell r="B40" t="str">
            <v xml:space="preserve">  Excavación  en suelo  normal  </v>
          </cell>
          <cell r="C40" t="str">
            <v>m3</v>
          </cell>
        </row>
        <row r="41">
          <cell r="A41" t="str">
            <v>4.2</v>
          </cell>
          <cell r="B41" t="str">
            <v xml:space="preserve">  Excavación  en suelo  normal  para  zanja</v>
          </cell>
          <cell r="C41" t="str">
            <v>m3</v>
          </cell>
        </row>
        <row r="42">
          <cell r="A42" t="str">
            <v>4.3</v>
          </cell>
          <cell r="B42" t="str">
            <v xml:space="preserve">  Excavación  en  roca  compacta</v>
          </cell>
          <cell r="C42" t="str">
            <v>m3</v>
          </cell>
        </row>
        <row r="43">
          <cell r="A43" t="str">
            <v>4.4</v>
          </cell>
          <cell r="B43" t="str">
            <v xml:space="preserve">  Relleno  con  material  propio  compactado</v>
          </cell>
          <cell r="C43" t="str">
            <v>m3</v>
          </cell>
        </row>
        <row r="44">
          <cell r="A44" t="str">
            <v>4.5</v>
          </cell>
          <cell r="B44" t="str">
            <v xml:space="preserve">  Eliminación  de material   excedente, a 5 km, con maquinaria</v>
          </cell>
          <cell r="C44" t="str">
            <v>m3</v>
          </cell>
        </row>
        <row r="45">
          <cell r="A45" t="str">
            <v>4.6</v>
          </cell>
          <cell r="B45" t="str">
            <v xml:space="preserve">  Encofrado</v>
          </cell>
          <cell r="C45" t="str">
            <v>m²</v>
          </cell>
        </row>
        <row r="46">
          <cell r="A46" t="str">
            <v>4.7</v>
          </cell>
          <cell r="B46" t="str">
            <v xml:space="preserve">  Concreto  F'c = 210  kg / cm²</v>
          </cell>
          <cell r="C46" t="str">
            <v>m3</v>
          </cell>
        </row>
        <row r="47">
          <cell r="A47" t="str">
            <v>4.8</v>
          </cell>
          <cell r="B47" t="str">
            <v xml:space="preserve">  Acero  de  refuerzo  fy = 4 200  kg / cm²</v>
          </cell>
          <cell r="C47" t="str">
            <v>kg</v>
          </cell>
        </row>
        <row r="50">
          <cell r="B50" t="str">
            <v>S U B  -  T O T A L      O B R A S   C I V I L E S</v>
          </cell>
          <cell r="M50">
            <v>0</v>
          </cell>
          <cell r="P50">
            <v>0</v>
          </cell>
        </row>
        <row r="52">
          <cell r="A52" t="str">
            <v>I</v>
          </cell>
          <cell r="B52" t="str">
            <v xml:space="preserve">  LINEA  DE  TRANSMISION</v>
          </cell>
        </row>
        <row r="53">
          <cell r="A53" t="str">
            <v>I A</v>
          </cell>
          <cell r="B53" t="str">
            <v xml:space="preserve">  OBRAS  ELECTROMECANICAS</v>
          </cell>
        </row>
        <row r="55">
          <cell r="A55" t="str">
            <v>1.0</v>
          </cell>
          <cell r="B55" t="str">
            <v xml:space="preserve">  TORRES  METALICAS</v>
          </cell>
        </row>
        <row r="56">
          <cell r="A56" t="str">
            <v>1.1</v>
          </cell>
          <cell r="B56" t="str">
            <v xml:space="preserve">  Tipo  A  -  9</v>
          </cell>
          <cell r="C56" t="str">
            <v>U</v>
          </cell>
        </row>
        <row r="57">
          <cell r="B57" t="str">
            <v xml:space="preserve">  Tipo  A  -  6</v>
          </cell>
          <cell r="C57" t="str">
            <v>U</v>
          </cell>
        </row>
        <row r="58">
          <cell r="B58" t="str">
            <v xml:space="preserve">  Tipo  A  -  3</v>
          </cell>
          <cell r="C58" t="str">
            <v>U</v>
          </cell>
        </row>
        <row r="59">
          <cell r="B59" t="str">
            <v xml:space="preserve">  Tipo  A  ±  0</v>
          </cell>
          <cell r="C59" t="str">
            <v>U</v>
          </cell>
        </row>
        <row r="60">
          <cell r="B60" t="str">
            <v xml:space="preserve">  Tipo  A  +  3</v>
          </cell>
          <cell r="C60" t="str">
            <v>U</v>
          </cell>
        </row>
        <row r="61">
          <cell r="B61" t="str">
            <v xml:space="preserve">  Tipo  A  +  6</v>
          </cell>
          <cell r="C61" t="str">
            <v>U</v>
          </cell>
        </row>
        <row r="62">
          <cell r="B62" t="str">
            <v xml:space="preserve">  Tipo  A  +  9</v>
          </cell>
          <cell r="C62" t="str">
            <v>U</v>
          </cell>
        </row>
        <row r="63">
          <cell r="A63" t="str">
            <v>1.2</v>
          </cell>
          <cell r="B63" t="str">
            <v xml:space="preserve">  Tipo  E  -  9</v>
          </cell>
          <cell r="C63" t="str">
            <v>U</v>
          </cell>
        </row>
        <row r="64">
          <cell r="B64" t="str">
            <v xml:space="preserve">  Tipo  E  -  6</v>
          </cell>
          <cell r="C64" t="str">
            <v>U</v>
          </cell>
        </row>
        <row r="65">
          <cell r="B65" t="str">
            <v xml:space="preserve">  Tipo  E  -  3</v>
          </cell>
          <cell r="C65" t="str">
            <v>U</v>
          </cell>
        </row>
        <row r="66">
          <cell r="B66" t="str">
            <v xml:space="preserve">  Tipo  E  ±  0</v>
          </cell>
          <cell r="C66" t="str">
            <v>U</v>
          </cell>
        </row>
        <row r="67">
          <cell r="B67" t="str">
            <v xml:space="preserve">  Tipo  E  +  3</v>
          </cell>
          <cell r="C67" t="str">
            <v>U</v>
          </cell>
        </row>
        <row r="68">
          <cell r="B68" t="str">
            <v xml:space="preserve">  Tipo  E  +  6</v>
          </cell>
          <cell r="C68" t="str">
            <v>U</v>
          </cell>
        </row>
        <row r="69">
          <cell r="B69" t="str">
            <v xml:space="preserve">  Tipo  E  +  9</v>
          </cell>
          <cell r="C69" t="str">
            <v>U</v>
          </cell>
        </row>
        <row r="70">
          <cell r="A70" t="str">
            <v>1.3</v>
          </cell>
          <cell r="B70" t="str">
            <v xml:space="preserve">  Tipo  B  -  9</v>
          </cell>
          <cell r="C70" t="str">
            <v>U</v>
          </cell>
        </row>
        <row r="71">
          <cell r="B71" t="str">
            <v xml:space="preserve">  Tipo  B  -  6</v>
          </cell>
          <cell r="C71" t="str">
            <v>U</v>
          </cell>
        </row>
        <row r="72">
          <cell r="B72" t="str">
            <v xml:space="preserve">  Tipo  B  -  3</v>
          </cell>
          <cell r="C72" t="str">
            <v>U</v>
          </cell>
        </row>
        <row r="73">
          <cell r="B73" t="str">
            <v xml:space="preserve">  Tipo  B  ±  0</v>
          </cell>
          <cell r="C73" t="str">
            <v>U</v>
          </cell>
        </row>
        <row r="74">
          <cell r="B74" t="str">
            <v xml:space="preserve">  Tipo  B  +  3</v>
          </cell>
          <cell r="C74" t="str">
            <v>U</v>
          </cell>
        </row>
        <row r="75">
          <cell r="B75" t="str">
            <v xml:space="preserve">  Tipo  B  +  6</v>
          </cell>
          <cell r="C75" t="str">
            <v>U</v>
          </cell>
        </row>
        <row r="76">
          <cell r="B76" t="str">
            <v xml:space="preserve">  Tipo  B  +  9</v>
          </cell>
          <cell r="C76" t="str">
            <v>U</v>
          </cell>
        </row>
        <row r="77">
          <cell r="A77" t="str">
            <v>1.4</v>
          </cell>
          <cell r="B77" t="str">
            <v xml:space="preserve">  Tipo  C  -  9</v>
          </cell>
          <cell r="C77" t="str">
            <v>U</v>
          </cell>
        </row>
        <row r="78">
          <cell r="B78" t="str">
            <v xml:space="preserve">  Tipo  C  -  6</v>
          </cell>
          <cell r="C78" t="str">
            <v>U</v>
          </cell>
        </row>
        <row r="79">
          <cell r="B79" t="str">
            <v xml:space="preserve">  Tipo  C  -  3</v>
          </cell>
          <cell r="C79" t="str">
            <v>U</v>
          </cell>
        </row>
        <row r="80">
          <cell r="B80" t="str">
            <v xml:space="preserve">  Tipo  C  ±  0</v>
          </cell>
          <cell r="C80" t="str">
            <v>U</v>
          </cell>
        </row>
        <row r="81">
          <cell r="B81" t="str">
            <v xml:space="preserve">  Tipo  C  +  3</v>
          </cell>
          <cell r="C81" t="str">
            <v>U</v>
          </cell>
        </row>
        <row r="82">
          <cell r="B82" t="str">
            <v xml:space="preserve">  Tipo  C  +  6</v>
          </cell>
          <cell r="C82" t="str">
            <v>U</v>
          </cell>
        </row>
        <row r="83">
          <cell r="B83" t="str">
            <v xml:space="preserve">  Tipo  C  +  9</v>
          </cell>
          <cell r="C83" t="str">
            <v>U</v>
          </cell>
        </row>
        <row r="86">
          <cell r="A86" t="str">
            <v>CTE PEAJES POR CONEXIÓN AL SPT</v>
          </cell>
          <cell r="P86" t="str">
            <v>FORMULARIO : CTE-SPT-VNR-LS1</v>
          </cell>
        </row>
        <row r="87">
          <cell r="A87" t="str">
            <v>VALORIZACION DETALLLADA DE LAS INVERSIONES POR CADA LINEA</v>
          </cell>
        </row>
        <row r="88">
          <cell r="A88" t="str">
            <v>(PARA SOPORTES METÁLICOS)</v>
          </cell>
        </row>
        <row r="92">
          <cell r="A92" t="str">
            <v>NOMBRE DE LA EMPRESA</v>
          </cell>
          <cell r="C92" t="str">
            <v>:</v>
          </cell>
        </row>
        <row r="94">
          <cell r="A94" t="str">
            <v>NIVEL DE TENSION (kV.)</v>
          </cell>
          <cell r="C94" t="str">
            <v>:</v>
          </cell>
        </row>
        <row r="96">
          <cell r="A96" t="str">
            <v>DENOMINACION DE LA LINEA</v>
          </cell>
          <cell r="C96" t="str">
            <v>:</v>
          </cell>
          <cell r="O96" t="str">
            <v>Unidad de moneda:</v>
          </cell>
        </row>
        <row r="98">
          <cell r="A98" t="str">
            <v>NUMERO DE TERNAS</v>
          </cell>
          <cell r="C98" t="str">
            <v>:</v>
          </cell>
          <cell r="O98" t="str">
            <v>Tasa de cambio:</v>
          </cell>
        </row>
        <row r="100">
          <cell r="A100" t="str">
            <v>LONGITUD  ( Km.)</v>
          </cell>
          <cell r="C100" t="str">
            <v>:</v>
          </cell>
          <cell r="O100" t="str">
            <v>Fecha de referencia:</v>
          </cell>
        </row>
        <row r="102">
          <cell r="A102" t="str">
            <v>TIPO DE ESTRUCTURAS : METALICAS DE CELOSIA</v>
          </cell>
          <cell r="C102" t="str">
            <v>:</v>
          </cell>
          <cell r="O102" t="str">
            <v>Hoja:</v>
          </cell>
        </row>
        <row r="104">
          <cell r="E104" t="str">
            <v>S U M I N I S T R O S    I M P O R T A D O S</v>
          </cell>
          <cell r="J104" t="str">
            <v>F L E T E</v>
          </cell>
          <cell r="L104" t="str">
            <v>O B R A S</v>
          </cell>
          <cell r="N104" t="str">
            <v>M O N T A J E</v>
          </cell>
        </row>
        <row r="105">
          <cell r="E105" t="str">
            <v>P R E C I O    F O B</v>
          </cell>
          <cell r="G105" t="str">
            <v>F L E T E</v>
          </cell>
          <cell r="H105" t="str">
            <v>ARANCELES</v>
          </cell>
          <cell r="J105" t="str">
            <v>T E R R E S T R E</v>
          </cell>
          <cell r="L105" t="str">
            <v>C I V I L E S</v>
          </cell>
          <cell r="N105" t="str">
            <v>E L E C T R O M E C A N I C O</v>
          </cell>
          <cell r="P105" t="str">
            <v>S U B</v>
          </cell>
        </row>
        <row r="106">
          <cell r="A106" t="str">
            <v>ITEM</v>
          </cell>
          <cell r="B106" t="str">
            <v xml:space="preserve"> A   C   T   I   V   I   D   A   D  E  S</v>
          </cell>
          <cell r="C106" t="str">
            <v>UNIDAD</v>
          </cell>
          <cell r="D106" t="str">
            <v>CANTIDAD</v>
          </cell>
          <cell r="G106" t="str">
            <v>Y</v>
          </cell>
          <cell r="H106" t="str">
            <v>Y  GASTOS</v>
          </cell>
          <cell r="I106" t="str">
            <v>SUB</v>
          </cell>
          <cell r="P106" t="str">
            <v>T O T A L</v>
          </cell>
          <cell r="Q106" t="str">
            <v xml:space="preserve"> </v>
          </cell>
        </row>
        <row r="107">
          <cell r="E107" t="str">
            <v>UNITARIO</v>
          </cell>
          <cell r="F107" t="str">
            <v>TOTAL</v>
          </cell>
          <cell r="G107" t="str">
            <v>S E G U R O</v>
          </cell>
          <cell r="H107" t="str">
            <v>DE  ADUANAS</v>
          </cell>
          <cell r="I107" t="str">
            <v>TOTAL</v>
          </cell>
          <cell r="J107" t="str">
            <v>UNITARIO</v>
          </cell>
          <cell r="K107" t="str">
            <v>SUB 
TOTAL</v>
          </cell>
          <cell r="L107" t="str">
            <v>UNITARIO</v>
          </cell>
          <cell r="M107" t="str">
            <v>SUB 
TOTAL</v>
          </cell>
          <cell r="N107" t="str">
            <v>UNITARIO</v>
          </cell>
          <cell r="O107" t="str">
            <v>SUB 
TOTAL</v>
          </cell>
          <cell r="P107" t="str">
            <v>G  E N E R A L</v>
          </cell>
        </row>
        <row r="108">
          <cell r="A108">
            <v>1.5</v>
          </cell>
          <cell r="B108" t="str">
            <v xml:space="preserve">  Tipo  D  -  9</v>
          </cell>
          <cell r="C108" t="str">
            <v>U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O108">
            <v>0</v>
          </cell>
          <cell r="P108">
            <v>0</v>
          </cell>
        </row>
        <row r="109">
          <cell r="B109" t="str">
            <v xml:space="preserve">  Tipo  D  -  6</v>
          </cell>
          <cell r="C109" t="str">
            <v>U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O109">
            <v>0</v>
          </cell>
          <cell r="P109">
            <v>0</v>
          </cell>
        </row>
        <row r="110">
          <cell r="B110" t="str">
            <v xml:space="preserve">  Tipo  D  +  3</v>
          </cell>
          <cell r="C110" t="str">
            <v>U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O110">
            <v>0</v>
          </cell>
          <cell r="P110">
            <v>0</v>
          </cell>
        </row>
        <row r="111">
          <cell r="A111" t="str">
            <v>1.6</v>
          </cell>
          <cell r="B111" t="str">
            <v xml:space="preserve">  Tipo  F  -  9</v>
          </cell>
          <cell r="C111" t="str">
            <v>U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O111">
            <v>0</v>
          </cell>
          <cell r="P111">
            <v>0</v>
          </cell>
        </row>
        <row r="112">
          <cell r="B112" t="str">
            <v xml:space="preserve">  Tipo  F  -  6</v>
          </cell>
          <cell r="C112" t="str">
            <v>U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O112">
            <v>0</v>
          </cell>
          <cell r="P112">
            <v>0</v>
          </cell>
        </row>
        <row r="113">
          <cell r="B113" t="str">
            <v xml:space="preserve">  Tipo  F  -  3</v>
          </cell>
          <cell r="C113" t="str">
            <v>U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  <cell r="P113">
            <v>0</v>
          </cell>
        </row>
        <row r="114">
          <cell r="B114" t="str">
            <v xml:space="preserve">  Tipo  F  ±  0</v>
          </cell>
          <cell r="C114" t="str">
            <v>U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O114">
            <v>0</v>
          </cell>
          <cell r="P114">
            <v>0</v>
          </cell>
        </row>
        <row r="115">
          <cell r="B115" t="str">
            <v xml:space="preserve">  Tipo  F  +  3</v>
          </cell>
          <cell r="C115" t="str">
            <v>U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O115">
            <v>0</v>
          </cell>
          <cell r="P115">
            <v>0</v>
          </cell>
        </row>
        <row r="116">
          <cell r="B116" t="str">
            <v xml:space="preserve">  Tipo  F  +  6</v>
          </cell>
          <cell r="C116" t="str">
            <v>U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O116">
            <v>0</v>
          </cell>
          <cell r="P116">
            <v>0</v>
          </cell>
        </row>
        <row r="117">
          <cell r="B117" t="str">
            <v xml:space="preserve">  Tipo  F  +  9</v>
          </cell>
          <cell r="C117" t="str">
            <v>U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O117">
            <v>0</v>
          </cell>
          <cell r="P117">
            <v>0</v>
          </cell>
        </row>
        <row r="118">
          <cell r="A118" t="str">
            <v>1.7</v>
          </cell>
          <cell r="B118" t="str">
            <v xml:space="preserve">  Tipo  G  -  9</v>
          </cell>
          <cell r="C118" t="str">
            <v>U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O118">
            <v>0</v>
          </cell>
          <cell r="P118">
            <v>0</v>
          </cell>
        </row>
        <row r="119">
          <cell r="A119" t="str">
            <v>1.8</v>
          </cell>
          <cell r="B119" t="str">
            <v xml:space="preserve">  Tipo  S S D  -  9</v>
          </cell>
          <cell r="C119" t="str">
            <v>U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O119">
            <v>0</v>
          </cell>
          <cell r="P119">
            <v>0</v>
          </cell>
        </row>
        <row r="120">
          <cell r="B120" t="str">
            <v xml:space="preserve">  Tipo  S S D  +  6</v>
          </cell>
          <cell r="C120" t="str">
            <v>U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O120">
            <v>0</v>
          </cell>
          <cell r="P120">
            <v>0</v>
          </cell>
        </row>
        <row r="121">
          <cell r="A121" t="str">
            <v>1.9</v>
          </cell>
          <cell r="B121" t="str">
            <v xml:space="preserve">  Tipo  T B  ±  0</v>
          </cell>
          <cell r="C121" t="str">
            <v>U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O121">
            <v>0</v>
          </cell>
          <cell r="P121">
            <v>0</v>
          </cell>
        </row>
        <row r="122">
          <cell r="A122" t="str">
            <v>1.10</v>
          </cell>
          <cell r="B122" t="str">
            <v xml:space="preserve">  Tipo  A H</v>
          </cell>
          <cell r="C122" t="str">
            <v>U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O122">
            <v>0</v>
          </cell>
          <cell r="P122">
            <v>0</v>
          </cell>
        </row>
        <row r="123">
          <cell r="A123" t="str">
            <v>1.11</v>
          </cell>
          <cell r="B123" t="str">
            <v xml:space="preserve">  Tipo  D H</v>
          </cell>
          <cell r="C123" t="str">
            <v>U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O123">
            <v>0</v>
          </cell>
          <cell r="P123">
            <v>0</v>
          </cell>
        </row>
        <row r="125">
          <cell r="A125" t="str">
            <v>1.12</v>
          </cell>
          <cell r="B125" t="str">
            <v>Patas desniveladas</v>
          </cell>
          <cell r="C125" t="str">
            <v>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P125">
            <v>0</v>
          </cell>
        </row>
        <row r="126"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O126">
            <v>0</v>
          </cell>
          <cell r="P126">
            <v>0</v>
          </cell>
        </row>
        <row r="127">
          <cell r="A127" t="str">
            <v>1.13</v>
          </cell>
          <cell r="B127" t="str">
            <v>Parillas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  <cell r="P127">
            <v>0</v>
          </cell>
        </row>
        <row r="128">
          <cell r="B128" t="str">
            <v>Para  suspensión  y  anclaje</v>
          </cell>
          <cell r="C128" t="str">
            <v>t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O128">
            <v>0</v>
          </cell>
          <cell r="P128">
            <v>0</v>
          </cell>
        </row>
        <row r="129">
          <cell r="O129">
            <v>0</v>
          </cell>
          <cell r="P129">
            <v>0</v>
          </cell>
        </row>
        <row r="130">
          <cell r="A130" t="str">
            <v>1.14</v>
          </cell>
          <cell r="B130" t="str">
            <v>Stubs</v>
          </cell>
          <cell r="C130" t="str">
            <v>t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O130">
            <v>0</v>
          </cell>
          <cell r="P130">
            <v>0</v>
          </cell>
        </row>
        <row r="131">
          <cell r="B131" t="str">
            <v>Para  suspensión</v>
          </cell>
          <cell r="C131" t="str">
            <v>u</v>
          </cell>
          <cell r="O131">
            <v>0</v>
          </cell>
          <cell r="P131">
            <v>0</v>
          </cell>
        </row>
        <row r="132">
          <cell r="B132" t="str">
            <v>Para  anclaje</v>
          </cell>
          <cell r="C132" t="str">
            <v>u</v>
          </cell>
          <cell r="O132">
            <v>0</v>
          </cell>
          <cell r="P132">
            <v>0</v>
          </cell>
        </row>
        <row r="133">
          <cell r="B133" t="str">
            <v>Para  terminal</v>
          </cell>
          <cell r="C133" t="str">
            <v>u</v>
          </cell>
          <cell r="O133">
            <v>0</v>
          </cell>
          <cell r="P133">
            <v>0</v>
          </cell>
        </row>
        <row r="135">
          <cell r="A135" t="str">
            <v>2.0</v>
          </cell>
          <cell r="B135" t="str">
            <v xml:space="preserve">  CADENAS  DE  AISLADORES</v>
          </cell>
        </row>
        <row r="136">
          <cell r="A136" t="str">
            <v>2.1</v>
          </cell>
          <cell r="B136" t="str">
            <v xml:space="preserve">    Tipo  Suspensión</v>
          </cell>
          <cell r="C136" t="str">
            <v>Jgo.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O136">
            <v>0</v>
          </cell>
          <cell r="P136">
            <v>0</v>
          </cell>
        </row>
        <row r="137">
          <cell r="A137" t="str">
            <v>2.2</v>
          </cell>
          <cell r="B137" t="str">
            <v xml:space="preserve">    Tipo  Anclaje</v>
          </cell>
          <cell r="C137" t="str">
            <v>Jgo.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O137">
            <v>0</v>
          </cell>
          <cell r="P137">
            <v>0</v>
          </cell>
        </row>
        <row r="139">
          <cell r="A139" t="str">
            <v>3.0</v>
          </cell>
          <cell r="B139" t="str">
            <v xml:space="preserve">  CONDUCTORES  ACTIVOS Y CABLE GUARDA</v>
          </cell>
        </row>
        <row r="140">
          <cell r="A140" t="str">
            <v>3.1</v>
          </cell>
          <cell r="B140" t="str">
            <v xml:space="preserve">  Conductor  ACAR / TW  de  400  mm²</v>
          </cell>
          <cell r="C140" t="str">
            <v>km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O140">
            <v>0</v>
          </cell>
          <cell r="P140">
            <v>0</v>
          </cell>
        </row>
        <row r="141">
          <cell r="A141" t="str">
            <v>3.2</v>
          </cell>
          <cell r="B141" t="str">
            <v xml:space="preserve">  Conductor Acero EWS  de  50  mm2</v>
          </cell>
          <cell r="C141" t="str">
            <v>km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O141">
            <v>0</v>
          </cell>
          <cell r="P141">
            <v>0</v>
          </cell>
        </row>
        <row r="143">
          <cell r="A143" t="str">
            <v>4.0</v>
          </cell>
          <cell r="B143" t="str">
            <v xml:space="preserve">  ACCESORIOS  DEL  CONDUCTOR  ACTIVO  ACAR / TW</v>
          </cell>
        </row>
        <row r="144">
          <cell r="A144" t="str">
            <v>4.1</v>
          </cell>
          <cell r="B144" t="str">
            <v xml:space="preserve">  Varillas  de  Armar</v>
          </cell>
          <cell r="C144" t="str">
            <v>U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  <cell r="P144">
            <v>0</v>
          </cell>
        </row>
        <row r="145">
          <cell r="A145" t="str">
            <v>4.2</v>
          </cell>
          <cell r="B145" t="str">
            <v xml:space="preserve">  Juntas  de  Empalme</v>
          </cell>
          <cell r="C145" t="str">
            <v>U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  <cell r="P145">
            <v>0</v>
          </cell>
        </row>
        <row r="146">
          <cell r="A146" t="str">
            <v>4.3</v>
          </cell>
          <cell r="B146" t="str">
            <v xml:space="preserve">  Manguitos  de  Reparación</v>
          </cell>
          <cell r="C146" t="str">
            <v>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  <cell r="P146">
            <v>0</v>
          </cell>
        </row>
        <row r="147">
          <cell r="A147" t="str">
            <v>4.4</v>
          </cell>
          <cell r="B147" t="str">
            <v xml:space="preserve">  Amortiguadores</v>
          </cell>
          <cell r="C147" t="str">
            <v>U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O147">
            <v>0</v>
          </cell>
          <cell r="P147">
            <v>0</v>
          </cell>
        </row>
        <row r="148">
          <cell r="A148" t="str">
            <v>4.5</v>
          </cell>
          <cell r="B148" t="str">
            <v xml:space="preserve">  Grapas para cable guarda</v>
          </cell>
        </row>
        <row r="150">
          <cell r="A150" t="str">
            <v>5.0</v>
          </cell>
          <cell r="B150" t="str">
            <v xml:space="preserve">  PUESTA  A  TIERRA</v>
          </cell>
        </row>
        <row r="151">
          <cell r="A151" t="str">
            <v>5.1</v>
          </cell>
          <cell r="B151" t="str">
            <v xml:space="preserve">  Medición de resistividad y resistencia de P.A.T.</v>
          </cell>
          <cell r="C151" t="str">
            <v>U</v>
          </cell>
          <cell r="O151">
            <v>0</v>
          </cell>
          <cell r="P151">
            <v>0</v>
          </cell>
        </row>
        <row r="152">
          <cell r="A152" t="str">
            <v>5.2</v>
          </cell>
          <cell r="B152" t="str">
            <v xml:space="preserve">  Conductor  de  cobre  N° 2  AWG tramo normal</v>
          </cell>
          <cell r="C152" t="str">
            <v>km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  <cell r="P152">
            <v>0</v>
          </cell>
        </row>
        <row r="153">
          <cell r="A153" t="str">
            <v>5.3</v>
          </cell>
          <cell r="B153" t="str">
            <v xml:space="preserve">  Jabalinas y conectores de copperweld</v>
          </cell>
          <cell r="C153" t="str">
            <v>U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  <cell r="P153">
            <v>0</v>
          </cell>
        </row>
        <row r="154">
          <cell r="A154" t="str">
            <v>5.4</v>
          </cell>
          <cell r="B154" t="str">
            <v xml:space="preserve">  Conductor de cobre N° 2 AWG de canal rocoso</v>
          </cell>
          <cell r="C154" t="str">
            <v>km</v>
          </cell>
        </row>
        <row r="155">
          <cell r="A155" t="str">
            <v>5.5</v>
          </cell>
          <cell r="B155" t="str">
            <v xml:space="preserve">  Pozo de tierra sal-bentonita</v>
          </cell>
          <cell r="C155" t="str">
            <v>U</v>
          </cell>
        </row>
        <row r="157">
          <cell r="A157" t="str">
            <v>6.0</v>
          </cell>
          <cell r="B157" t="str">
            <v xml:space="preserve">  PRUEBAS  Y  PUESTA  EN  SERVICIO</v>
          </cell>
          <cell r="C157" t="str">
            <v>Gbl.</v>
          </cell>
          <cell r="O157">
            <v>0</v>
          </cell>
          <cell r="P157">
            <v>0</v>
          </cell>
        </row>
        <row r="158">
          <cell r="A158">
            <v>7</v>
          </cell>
          <cell r="B158" t="str">
            <v xml:space="preserve">  REPUESTOS</v>
          </cell>
          <cell r="C158" t="str">
            <v>Gbl.</v>
          </cell>
        </row>
        <row r="160">
          <cell r="A160">
            <v>8</v>
          </cell>
          <cell r="B160" t="str">
            <v xml:space="preserve">  INGENIERIA  DE  DETALLE</v>
          </cell>
          <cell r="C160" t="str">
            <v>Gbl.</v>
          </cell>
        </row>
        <row r="162">
          <cell r="B162" t="str">
            <v xml:space="preserve"> S U B    T O T A L   L I N E A    I A </v>
          </cell>
        </row>
        <row r="164">
          <cell r="B164" t="str">
            <v>S U B    T O T A L    C O S T O    D I R E C T O</v>
          </cell>
          <cell r="Q164" t="str">
            <v>P137</v>
          </cell>
        </row>
        <row r="166">
          <cell r="A166" t="str">
            <v>I I</v>
          </cell>
          <cell r="B166" t="str">
            <v xml:space="preserve">  GASTOS  GENERALES</v>
          </cell>
        </row>
        <row r="167">
          <cell r="A167" t="str">
            <v>I I I</v>
          </cell>
          <cell r="B167" t="str">
            <v xml:space="preserve">  UTILIDADES</v>
          </cell>
        </row>
        <row r="168">
          <cell r="B168" t="str">
            <v>T O T A L    C O S T O    D I R E C T O</v>
          </cell>
          <cell r="P168">
            <v>0</v>
          </cell>
        </row>
      </sheetData>
      <sheetData sheetId="10" refreshError="1">
        <row r="1">
          <cell r="A1" t="str">
            <v>CTE PEAJES POR CONEXIÓN AL SPT</v>
          </cell>
          <cell r="M1" t="str">
            <v>FORMULARIO : CTE-VNR-LS3</v>
          </cell>
        </row>
        <row r="3">
          <cell r="A3" t="str">
            <v>FORMULARIO DE OBRAS CIVILES</v>
          </cell>
        </row>
        <row r="4">
          <cell r="A4" t="str">
            <v>(SOPORTES METALICOS)</v>
          </cell>
        </row>
        <row r="5">
          <cell r="L5" t="str">
            <v>Unidad de moneda:</v>
          </cell>
        </row>
        <row r="7">
          <cell r="L7" t="str">
            <v>Tasa de cambio:</v>
          </cell>
        </row>
        <row r="8">
          <cell r="A8" t="str">
            <v>NOMBRE DE LA EMPRESA</v>
          </cell>
          <cell r="C8" t="str">
            <v>:</v>
          </cell>
        </row>
        <row r="9">
          <cell r="L9" t="str">
            <v>Fecha de Referencia:</v>
          </cell>
        </row>
        <row r="10">
          <cell r="A10" t="str">
            <v>DENOMINACION</v>
          </cell>
          <cell r="C10" t="str">
            <v>:</v>
          </cell>
        </row>
        <row r="11">
          <cell r="L11" t="str">
            <v>Hoja:</v>
          </cell>
        </row>
        <row r="13">
          <cell r="A13" t="str">
            <v>TIPO</v>
          </cell>
          <cell r="B13" t="str">
            <v>TIPO</v>
          </cell>
          <cell r="C13" t="str">
            <v>CANT.</v>
          </cell>
          <cell r="D13" t="str">
            <v>EXCAVACION 
( m3 )</v>
          </cell>
          <cell r="F13" t="str">
            <v>RELLENO 
( m3 )</v>
          </cell>
          <cell r="H13" t="str">
            <v>ENCOFRADO 
( m²)</v>
          </cell>
          <cell r="J13" t="str">
            <v>CONCRETO 
( m3 )</v>
          </cell>
          <cell r="L13" t="str">
            <v>ACERO 
( kg )</v>
          </cell>
        </row>
        <row r="14">
          <cell r="B14" t="str">
            <v>DE SUELO</v>
          </cell>
          <cell r="D14" t="str">
            <v>Por Pata</v>
          </cell>
          <cell r="E14" t="str">
            <v>Total</v>
          </cell>
          <cell r="F14" t="str">
            <v>Por Pata</v>
          </cell>
          <cell r="G14" t="str">
            <v>Total</v>
          </cell>
          <cell r="H14" t="str">
            <v>Por Pata</v>
          </cell>
          <cell r="I14" t="str">
            <v>Total</v>
          </cell>
          <cell r="J14" t="str">
            <v>Por Pata</v>
          </cell>
          <cell r="K14" t="str">
            <v>Total</v>
          </cell>
          <cell r="L14" t="str">
            <v>Por Pata</v>
          </cell>
          <cell r="M14" t="str">
            <v>Total</v>
          </cell>
        </row>
        <row r="15">
          <cell r="A15" t="str">
            <v>A</v>
          </cell>
          <cell r="B15" t="str">
            <v>I</v>
          </cell>
        </row>
        <row r="16">
          <cell r="B16" t="str">
            <v>I I</v>
          </cell>
        </row>
        <row r="17">
          <cell r="B17" t="str">
            <v>I I I</v>
          </cell>
        </row>
        <row r="18">
          <cell r="B18" t="str">
            <v>I V</v>
          </cell>
        </row>
        <row r="19">
          <cell r="A19" t="str">
            <v>E</v>
          </cell>
          <cell r="B19" t="str">
            <v>I</v>
          </cell>
        </row>
        <row r="20">
          <cell r="B20" t="str">
            <v>I I</v>
          </cell>
        </row>
        <row r="21">
          <cell r="B21" t="str">
            <v>I I I</v>
          </cell>
        </row>
        <row r="22">
          <cell r="B22" t="str">
            <v>I V</v>
          </cell>
        </row>
        <row r="23">
          <cell r="A23" t="str">
            <v>B</v>
          </cell>
          <cell r="B23" t="str">
            <v>I</v>
          </cell>
        </row>
        <row r="24">
          <cell r="B24" t="str">
            <v>I I</v>
          </cell>
        </row>
        <row r="25">
          <cell r="B25" t="str">
            <v>I I I</v>
          </cell>
        </row>
        <row r="26">
          <cell r="B26" t="str">
            <v>I V</v>
          </cell>
        </row>
        <row r="27">
          <cell r="A27" t="str">
            <v>C</v>
          </cell>
          <cell r="B27" t="str">
            <v>I</v>
          </cell>
        </row>
        <row r="28">
          <cell r="B28" t="str">
            <v>I I</v>
          </cell>
        </row>
        <row r="29">
          <cell r="B29" t="str">
            <v>I I I</v>
          </cell>
        </row>
        <row r="30">
          <cell r="B30" t="str">
            <v>I V</v>
          </cell>
        </row>
        <row r="31">
          <cell r="A31" t="str">
            <v>D</v>
          </cell>
          <cell r="B31" t="str">
            <v>I</v>
          </cell>
        </row>
        <row r="32">
          <cell r="B32" t="str">
            <v>I I</v>
          </cell>
        </row>
        <row r="33">
          <cell r="B33" t="str">
            <v>I I I</v>
          </cell>
        </row>
        <row r="34">
          <cell r="B34" t="str">
            <v>I V</v>
          </cell>
        </row>
        <row r="35">
          <cell r="A35" t="str">
            <v>F</v>
          </cell>
          <cell r="B35" t="str">
            <v>I</v>
          </cell>
        </row>
        <row r="36">
          <cell r="B36" t="str">
            <v>I I</v>
          </cell>
        </row>
        <row r="37">
          <cell r="B37" t="str">
            <v>I I I</v>
          </cell>
        </row>
        <row r="38">
          <cell r="B38" t="str">
            <v>I V</v>
          </cell>
        </row>
        <row r="39">
          <cell r="A39" t="str">
            <v>G</v>
          </cell>
          <cell r="B39" t="str">
            <v>I</v>
          </cell>
        </row>
        <row r="40">
          <cell r="B40" t="str">
            <v>I I</v>
          </cell>
        </row>
        <row r="41">
          <cell r="B41" t="str">
            <v>I I I</v>
          </cell>
        </row>
        <row r="42">
          <cell r="B42" t="str">
            <v>I V</v>
          </cell>
        </row>
        <row r="43">
          <cell r="A43" t="str">
            <v>S S D</v>
          </cell>
          <cell r="B43" t="str">
            <v>I</v>
          </cell>
        </row>
        <row r="44">
          <cell r="B44" t="str">
            <v>I I</v>
          </cell>
        </row>
        <row r="45">
          <cell r="B45" t="str">
            <v>I I I</v>
          </cell>
        </row>
        <row r="46">
          <cell r="A46" t="str">
            <v>T B</v>
          </cell>
          <cell r="B46" t="str">
            <v>I</v>
          </cell>
        </row>
        <row r="47">
          <cell r="A47" t="str">
            <v>A H</v>
          </cell>
          <cell r="B47" t="str">
            <v>I</v>
          </cell>
        </row>
        <row r="48">
          <cell r="A48" t="str">
            <v>D H</v>
          </cell>
          <cell r="B48" t="str">
            <v>I</v>
          </cell>
        </row>
        <row r="50">
          <cell r="C50" t="str">
            <v xml:space="preserve">         Eliminación</v>
          </cell>
          <cell r="D50" t="str">
            <v>m3</v>
          </cell>
          <cell r="E50" t="str">
            <v>=</v>
          </cell>
          <cell r="I50" t="str">
            <v>N° DE PARRILLAS  =</v>
          </cell>
          <cell r="L50" t="str">
            <v>En suspensión  =</v>
          </cell>
        </row>
        <row r="51">
          <cell r="C51" t="str">
            <v>Relleno  Total</v>
          </cell>
          <cell r="D51" t="str">
            <v>m3</v>
          </cell>
          <cell r="E51" t="str">
            <v>=</v>
          </cell>
          <cell r="I51" t="str">
            <v>N° DE STUBS  =</v>
          </cell>
        </row>
        <row r="52">
          <cell r="C52" t="str">
            <v>(Exc. Zanja)</v>
          </cell>
          <cell r="D52" t="str">
            <v>m3</v>
          </cell>
          <cell r="E52" t="str">
            <v>=</v>
          </cell>
          <cell r="I52" t="str">
            <v>En  Angulo - Anclaje  =</v>
          </cell>
        </row>
        <row r="53">
          <cell r="C53" t="str">
            <v>Excava.en roca compacta</v>
          </cell>
          <cell r="D53" t="str">
            <v>m3</v>
          </cell>
          <cell r="E53" t="str">
            <v>=</v>
          </cell>
          <cell r="I53" t="str">
            <v>En  Terminal  =</v>
          </cell>
        </row>
      </sheetData>
      <sheetData sheetId="11" refreshError="1">
        <row r="3">
          <cell r="A3" t="str">
            <v>FORMULARIO VALORIZACION DE LAS
 INVERSIONES POR TELECOMUNICACIONES</v>
          </cell>
        </row>
        <row r="7">
          <cell r="C7" t="str">
            <v>:</v>
          </cell>
        </row>
        <row r="9">
          <cell r="A9" t="str">
            <v>NOMBRE DE LA EMPRESA</v>
          </cell>
          <cell r="C9" t="str">
            <v>:</v>
          </cell>
          <cell r="R9" t="str">
            <v>Unidad de moneda:</v>
          </cell>
        </row>
        <row r="11">
          <cell r="R11" t="str">
            <v>Tasa de cambio:</v>
          </cell>
        </row>
        <row r="13">
          <cell r="A13" t="str">
            <v>DENOMINACION</v>
          </cell>
          <cell r="C13" t="str">
            <v>:</v>
          </cell>
          <cell r="R13" t="str">
            <v>Fecha:</v>
          </cell>
        </row>
        <row r="15">
          <cell r="R15" t="str">
            <v>Hoja:</v>
          </cell>
        </row>
        <row r="17">
          <cell r="E17" t="str">
            <v>SUMINISTROS IMPORTADOS</v>
          </cell>
          <cell r="J17" t="str">
            <v>SUMINISTROS NACIONALES</v>
          </cell>
          <cell r="L17" t="str">
            <v>FLETE TERRESTRE</v>
          </cell>
          <cell r="N17" t="str">
            <v>OBRAS</v>
          </cell>
          <cell r="S17" t="str">
            <v>SUB               TOTAL              GENERAL</v>
          </cell>
        </row>
        <row r="18">
          <cell r="A18" t="str">
            <v>ITEM</v>
          </cell>
          <cell r="B18" t="str">
            <v>ACTIVIDAD</v>
          </cell>
          <cell r="C18" t="str">
            <v>UNID.</v>
          </cell>
          <cell r="D18" t="str">
            <v>CANT.</v>
          </cell>
          <cell r="E18" t="str">
            <v>PRECIO FOB</v>
          </cell>
          <cell r="G18" t="str">
            <v>FLETE 
Y</v>
          </cell>
          <cell r="H18" t="str">
            <v xml:space="preserve">ARANCELES 
Y GASTOS  </v>
          </cell>
          <cell r="I18" t="str">
            <v>SUB TOTAL</v>
          </cell>
          <cell r="N18" t="str">
            <v>CIVILES</v>
          </cell>
          <cell r="P18" t="str">
            <v>ELECTROMECANICAS</v>
          </cell>
          <cell r="R18" t="str">
            <v>SUB TOTAL</v>
          </cell>
        </row>
        <row r="19">
          <cell r="E19" t="str">
            <v>UNITARIO</v>
          </cell>
          <cell r="F19" t="str">
            <v>TOTAL</v>
          </cell>
          <cell r="G19" t="str">
            <v>SEGURO</v>
          </cell>
          <cell r="H19" t="str">
            <v>DE ADUANAS</v>
          </cell>
          <cell r="I19" t="str">
            <v>SUB TOTAL</v>
          </cell>
          <cell r="J19" t="str">
            <v>UNITARIO</v>
          </cell>
          <cell r="K19" t="str">
            <v>SUB  
TOTAL</v>
          </cell>
          <cell r="L19" t="str">
            <v>UNITARIO</v>
          </cell>
          <cell r="M19" t="str">
            <v>SUB 
TOTAL</v>
          </cell>
          <cell r="N19" t="str">
            <v>UNITARIO</v>
          </cell>
          <cell r="O19" t="str">
            <v xml:space="preserve"> TOTAL</v>
          </cell>
          <cell r="P19" t="str">
            <v>UNITARIO</v>
          </cell>
          <cell r="Q19" t="str">
            <v xml:space="preserve"> TOTAL</v>
          </cell>
        </row>
        <row r="20">
          <cell r="A20" t="str">
            <v>I</v>
          </cell>
          <cell r="B20" t="str">
            <v>OBRAS CIVILES</v>
          </cell>
        </row>
        <row r="22">
          <cell r="A22">
            <v>1</v>
          </cell>
          <cell r="B22" t="str">
            <v>CASETAS REPETIDORAS</v>
          </cell>
          <cell r="C22" t="str">
            <v>m.</v>
          </cell>
        </row>
        <row r="23">
          <cell r="A23">
            <v>1.1000000000000001</v>
          </cell>
          <cell r="B23" t="str">
            <v>Caminos  de acceso a casetas repetidoras</v>
          </cell>
          <cell r="C23" t="str">
            <v>m.</v>
          </cell>
        </row>
        <row r="24">
          <cell r="B24" t="str">
            <v>SUB - TOTAL OBRAS CIVILES</v>
          </cell>
        </row>
        <row r="26">
          <cell r="A26" t="str">
            <v>II</v>
          </cell>
          <cell r="B26" t="str">
            <v>OBRAS ELECTROMECANICAS</v>
          </cell>
        </row>
        <row r="27">
          <cell r="A27" t="str">
            <v>1.</v>
          </cell>
          <cell r="B27" t="str">
            <v>TELEFONIA</v>
          </cell>
          <cell r="C27" t="str">
            <v>Global</v>
          </cell>
        </row>
        <row r="28">
          <cell r="A28" t="str">
            <v>1.1</v>
          </cell>
          <cell r="B28" t="str">
            <v>Central Telefónica Digital, programable  n anexos</v>
          </cell>
        </row>
        <row r="29">
          <cell r="B29" t="str">
            <v>n troncales, una conexión a la Red Pública en armario</v>
          </cell>
        </row>
        <row r="30">
          <cell r="A30">
            <v>1.2</v>
          </cell>
          <cell r="B30" t="str">
            <v xml:space="preserve">Aparatos telefónicos mesa o pared </v>
          </cell>
          <cell r="C30" t="str">
            <v>u</v>
          </cell>
        </row>
        <row r="31">
          <cell r="A31">
            <v>1.3</v>
          </cell>
          <cell r="B31" t="str">
            <v>Aparatos Telefónicos intemperie</v>
          </cell>
          <cell r="C31" t="str">
            <v>u</v>
          </cell>
        </row>
        <row r="32">
          <cell r="A32">
            <v>1.4</v>
          </cell>
          <cell r="B32" t="str">
            <v>Cable  Telefónicos para instalación interior</v>
          </cell>
          <cell r="C32" t="str">
            <v>u</v>
          </cell>
        </row>
        <row r="33">
          <cell r="B33" t="str">
            <v>Aparatos Telefónicos intemperie</v>
          </cell>
          <cell r="C33" t="str">
            <v>u</v>
          </cell>
        </row>
        <row r="34">
          <cell r="A34">
            <v>1.5</v>
          </cell>
          <cell r="B34" t="str">
            <v>Cable  Telefónicos instalación intemperie</v>
          </cell>
          <cell r="C34" t="str">
            <v>u</v>
          </cell>
        </row>
        <row r="35">
          <cell r="A35">
            <v>1.6</v>
          </cell>
          <cell r="B35" t="str">
            <v>Materiales de instalación</v>
          </cell>
        </row>
        <row r="37">
          <cell r="A37">
            <v>2</v>
          </cell>
          <cell r="B37" t="str">
            <v>ONDA PORTADORA</v>
          </cell>
          <cell r="C37" t="str">
            <v>Global</v>
          </cell>
        </row>
        <row r="38">
          <cell r="A38">
            <v>3</v>
          </cell>
          <cell r="B38" t="str">
            <v xml:space="preserve">COMUNICACIONES MOVILES </v>
          </cell>
          <cell r="C38" t="str">
            <v>Global</v>
          </cell>
        </row>
        <row r="39">
          <cell r="A39">
            <v>4</v>
          </cell>
          <cell r="B39" t="str">
            <v>RADIO DIGITAL</v>
          </cell>
          <cell r="C39" t="str">
            <v>Global</v>
          </cell>
        </row>
        <row r="40">
          <cell r="A40">
            <v>5</v>
          </cell>
          <cell r="B40" t="str">
            <v>TRANSMISOR DE DATOS</v>
          </cell>
          <cell r="C40" t="str">
            <v>Global</v>
          </cell>
        </row>
        <row r="41">
          <cell r="A41">
            <v>6</v>
          </cell>
          <cell r="B41" t="str">
            <v>TELEPROTECCION</v>
          </cell>
          <cell r="C41" t="str">
            <v>Global</v>
          </cell>
        </row>
        <row r="42">
          <cell r="A42">
            <v>6.1</v>
          </cell>
          <cell r="B42" t="str">
            <v>Equipo trnasmisor /receptor de teleproteccion</v>
          </cell>
          <cell r="C42" t="str">
            <v>Cjto</v>
          </cell>
        </row>
        <row r="44">
          <cell r="A44">
            <v>7</v>
          </cell>
          <cell r="B44" t="str">
            <v>CASETAS DE RADIO</v>
          </cell>
          <cell r="C44" t="str">
            <v>m2</v>
          </cell>
        </row>
        <row r="45">
          <cell r="A45">
            <v>8</v>
          </cell>
          <cell r="B45" t="str">
            <v>ACCESOS</v>
          </cell>
          <cell r="C45" t="str">
            <v>m</v>
          </cell>
        </row>
        <row r="46">
          <cell r="A46">
            <v>3</v>
          </cell>
          <cell r="B46" t="str">
            <v>REPUESTOS  (5%)</v>
          </cell>
        </row>
        <row r="48">
          <cell r="A48">
            <v>4</v>
          </cell>
          <cell r="B48" t="str">
            <v>INGENIERIA DE DETALLE</v>
          </cell>
          <cell r="C48" t="str">
            <v>Global</v>
          </cell>
        </row>
        <row r="50">
          <cell r="A50">
            <v>5</v>
          </cell>
          <cell r="B50" t="str">
            <v>PRUEBAS Y PUESTAS EN SERVICIO</v>
          </cell>
          <cell r="C50" t="str">
            <v>Global</v>
          </cell>
        </row>
        <row r="52">
          <cell r="A52" t="str">
            <v>III</v>
          </cell>
          <cell r="B52" t="str">
            <v>GASTOS GENERALES DEL CONTRATISTA</v>
          </cell>
        </row>
        <row r="54">
          <cell r="A54" t="str">
            <v>IV</v>
          </cell>
          <cell r="B54" t="str">
            <v>UTILIDADES DEL CONTRATISTA</v>
          </cell>
        </row>
        <row r="55">
          <cell r="B55" t="str">
            <v>TOTAL GENERAL</v>
          </cell>
        </row>
      </sheetData>
      <sheetData sheetId="12" refreshError="1">
        <row r="2">
          <cell r="B2" t="str">
            <v>CTE PEAJES POR CONEXIÓN AL SPT</v>
          </cell>
        </row>
        <row r="5">
          <cell r="B5" t="str">
            <v>FORMULARIO DE VALORIZACION TOTAL 
DE LAS INVERSIONES POR LINEA</v>
          </cell>
        </row>
        <row r="6">
          <cell r="B6" t="str">
            <v>Miles US$</v>
          </cell>
        </row>
        <row r="9">
          <cell r="B9" t="str">
            <v>NOMBRE DE LA EMPRESA</v>
          </cell>
          <cell r="E9" t="str">
            <v>:</v>
          </cell>
        </row>
        <row r="11">
          <cell r="B11" t="str">
            <v>NIVEL DE TENSION (Kv.)</v>
          </cell>
          <cell r="E11" t="str">
            <v>:</v>
          </cell>
        </row>
        <row r="13">
          <cell r="B13" t="str">
            <v>DENOMINACION DE LA LINEA</v>
          </cell>
          <cell r="E13" t="str">
            <v>:</v>
          </cell>
          <cell r="L13" t="str">
            <v>Unidad de moneda:</v>
          </cell>
        </row>
        <row r="15">
          <cell r="B15" t="str">
            <v>NUMERO DE TERNAS</v>
          </cell>
          <cell r="E15" t="str">
            <v>:</v>
          </cell>
          <cell r="L15" t="str">
            <v>Tasa de cambio:</v>
          </cell>
        </row>
        <row r="17">
          <cell r="B17" t="str">
            <v>LONGITUD (Km.)</v>
          </cell>
          <cell r="E17" t="str">
            <v>:</v>
          </cell>
          <cell r="L17" t="str">
            <v>Fecha:</v>
          </cell>
        </row>
        <row r="19">
          <cell r="B19" t="str">
            <v>TIPO DE ESTRUCTURAS</v>
          </cell>
          <cell r="E19" t="str">
            <v>:</v>
          </cell>
          <cell r="L19" t="str">
            <v>Hoja:</v>
          </cell>
        </row>
        <row r="21">
          <cell r="B21" t="str">
            <v xml:space="preserve">POTENCIA MAXIMA A TRANSMITIR (MW) </v>
          </cell>
          <cell r="E21" t="str">
            <v>:</v>
          </cell>
        </row>
        <row r="23">
          <cell r="B23" t="str">
            <v>VALORIZACION 
Miles U. S. DÓLAR</v>
          </cell>
        </row>
        <row r="26">
          <cell r="B26" t="str">
            <v>COSTO  DE  EJECUCION  DE  OBRA</v>
          </cell>
          <cell r="E26" t="str">
            <v>:</v>
          </cell>
        </row>
        <row r="28">
          <cell r="B28" t="str">
            <v>INGENIERIA  Y  SUPERVISION</v>
          </cell>
          <cell r="E28" t="str">
            <v>:</v>
          </cell>
        </row>
        <row r="30">
          <cell r="B30" t="str">
            <v>GASTOS  FINANCIEROS</v>
          </cell>
          <cell r="E30" t="str">
            <v>:</v>
          </cell>
        </row>
        <row r="32">
          <cell r="B32" t="str">
            <v>SERVIDUMBRE</v>
          </cell>
          <cell r="E32" t="str">
            <v>:</v>
          </cell>
        </row>
        <row r="34">
          <cell r="B34" t="str">
            <v>GASTOS  ADMINISTRACION</v>
          </cell>
          <cell r="E34" t="str">
            <v>:</v>
          </cell>
        </row>
        <row r="36">
          <cell r="B36" t="str">
            <v>TOTAL  SIN  I.G.V.</v>
          </cell>
          <cell r="E36" t="str">
            <v>:</v>
          </cell>
        </row>
        <row r="39">
          <cell r="B39" t="str">
            <v>COSTO  POR  KILOMETRO  SIN  I.G.V.</v>
          </cell>
          <cell r="E39" t="str">
            <v>:</v>
          </cell>
        </row>
        <row r="41">
          <cell r="B41" t="str">
            <v>I.G.V.</v>
          </cell>
          <cell r="E41" t="str">
            <v>:</v>
          </cell>
        </row>
        <row r="43">
          <cell r="B43" t="str">
            <v>TOTAL  CON  I.G.V.</v>
          </cell>
          <cell r="E43" t="str">
            <v>:</v>
          </cell>
        </row>
        <row r="45">
          <cell r="B45" t="str">
            <v>COSTO  POR  KILOMETRO  CON  I.G.V.</v>
          </cell>
          <cell r="E45" t="str">
            <v>:</v>
          </cell>
        </row>
      </sheetData>
      <sheetData sheetId="13" refreshError="1">
        <row r="4">
          <cell r="A4" t="str">
            <v>FORMULARIO DE RESUMEN DEL VNR A 
NIVEL DE EMPRESA</v>
          </cell>
        </row>
        <row r="5">
          <cell r="A5" t="str">
            <v>Miles US$</v>
          </cell>
        </row>
        <row r="8">
          <cell r="A8" t="str">
            <v>NOMBRE DE LA EMPRESA</v>
          </cell>
          <cell r="D8" t="str">
            <v>:</v>
          </cell>
        </row>
        <row r="10">
          <cell r="A10" t="str">
            <v xml:space="preserve">POTENCIA DE TRANSFORMACIÓN (MVA)         </v>
          </cell>
          <cell r="D10" t="str">
            <v>:</v>
          </cell>
        </row>
        <row r="13">
          <cell r="A13" t="str">
            <v xml:space="preserve">POTENCIA DE COMPENSACIÓN (MVAR)                </v>
          </cell>
          <cell r="D13" t="str">
            <v>:</v>
          </cell>
        </row>
        <row r="16">
          <cell r="H16" t="str">
            <v>Hoja:</v>
          </cell>
        </row>
        <row r="17">
          <cell r="A17" t="str">
            <v xml:space="preserve">LINEAS DE TRANSMISIÓN  </v>
          </cell>
        </row>
        <row r="18">
          <cell r="A18" t="str">
            <v>VALORIZACIÓN  ( en miles de US $ )</v>
          </cell>
        </row>
        <row r="19">
          <cell r="G19" t="str">
            <v>Longitud</v>
          </cell>
        </row>
        <row r="20">
          <cell r="A20" t="str">
            <v>No</v>
          </cell>
          <cell r="B20" t="str">
            <v xml:space="preserve">Denominación </v>
          </cell>
          <cell r="G20" t="str">
            <v>Líneas</v>
          </cell>
          <cell r="H20" t="str">
            <v>Subtotal</v>
          </cell>
        </row>
        <row r="21">
          <cell r="G21" t="str">
            <v>( Km )</v>
          </cell>
          <cell r="H21" t="str">
            <v>(mil US $)</v>
          </cell>
        </row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B28" t="str">
            <v>SUB-TOTAL</v>
          </cell>
        </row>
        <row r="31">
          <cell r="A31" t="str">
            <v>SUBESTACIONES
VALORIZACIÓN ( en miles de US $ )</v>
          </cell>
        </row>
        <row r="32">
          <cell r="G32" t="str">
            <v>Potencia</v>
          </cell>
        </row>
        <row r="33">
          <cell r="A33" t="str">
            <v>No</v>
          </cell>
          <cell r="B33" t="str">
            <v xml:space="preserve">Denominación </v>
          </cell>
          <cell r="G33" t="str">
            <v>Compensación</v>
          </cell>
        </row>
        <row r="34">
          <cell r="G34" t="str">
            <v>( MVAR )</v>
          </cell>
        </row>
        <row r="35">
          <cell r="G35" t="str">
            <v>+</v>
          </cell>
          <cell r="H35" t="str">
            <v>-</v>
          </cell>
        </row>
        <row r="36">
          <cell r="A36">
            <v>1</v>
          </cell>
        </row>
        <row r="37">
          <cell r="A37">
            <v>2</v>
          </cell>
        </row>
        <row r="38">
          <cell r="A38">
            <v>3</v>
          </cell>
        </row>
        <row r="39">
          <cell r="A39">
            <v>4</v>
          </cell>
        </row>
        <row r="40">
          <cell r="A40">
            <v>5</v>
          </cell>
        </row>
        <row r="41">
          <cell r="A41">
            <v>6</v>
          </cell>
        </row>
        <row r="42">
          <cell r="B42" t="str">
            <v>SUB-TOTAL</v>
          </cell>
        </row>
        <row r="45">
          <cell r="A45" t="str">
            <v>TOTAL EMPRESA
VALORIZACIÓN (en miles de US $)</v>
          </cell>
        </row>
        <row r="47">
          <cell r="A47" t="str">
            <v>No</v>
          </cell>
          <cell r="B47" t="str">
            <v>Denominación</v>
          </cell>
          <cell r="F47" t="str">
            <v>VNR 
( mil US$ )</v>
          </cell>
        </row>
        <row r="49">
          <cell r="A49">
            <v>1</v>
          </cell>
          <cell r="B49" t="str">
            <v>LINEAS</v>
          </cell>
        </row>
        <row r="50">
          <cell r="A50">
            <v>2</v>
          </cell>
          <cell r="B50" t="str">
            <v>SUBESTACIONES</v>
          </cell>
        </row>
        <row r="51">
          <cell r="B51" t="str">
            <v>TOTAL EMPRESA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DATA"/>
      <sheetName val="PLANILLA LP 22.9 kV"/>
      <sheetName val="DATOS TECNICOS SE SANTUARIO"/>
      <sheetName val="PROC MANT LT 1"/>
      <sheetName val="CALCUL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-95mm2 "/>
      <sheetName val="CAP-120mm2"/>
      <sheetName val="pheasant"/>
      <sheetName val="CAP_120mm2"/>
    </sheetNames>
    <sheetDataSet>
      <sheetData sheetId="0"/>
      <sheetData sheetId="1" refreshError="1">
        <row r="3">
          <cell r="B3" t="str">
            <v>( ALEACION DE ALUMINIO ACCC 120 mm²)</v>
          </cell>
        </row>
        <row r="6">
          <cell r="B6" t="str">
            <v>LÍNEA DE TRANSMISIÓN DOBLE TERNA 220 kV ZORRITOS-ZARUMILLA</v>
          </cell>
        </row>
        <row r="9">
          <cell r="C9" t="str">
            <v>DATOS GENERALES</v>
          </cell>
        </row>
        <row r="10">
          <cell r="E10" t="str">
            <v>UNIDADES</v>
          </cell>
          <cell r="F10" t="str">
            <v>DIA</v>
          </cell>
          <cell r="G10" t="str">
            <v>NOCHE</v>
          </cell>
        </row>
        <row r="11">
          <cell r="B11" t="str">
            <v>(1)</v>
          </cell>
          <cell r="C11" t="str">
            <v>TIPO DE CONDUCTOR</v>
          </cell>
          <cell r="F11" t="str">
            <v>AAAC</v>
          </cell>
          <cell r="G11" t="str">
            <v>AAAC</v>
          </cell>
        </row>
        <row r="12">
          <cell r="B12" t="str">
            <v>(2)</v>
          </cell>
          <cell r="C12" t="str">
            <v xml:space="preserve">DIAMETRO DEL CONDUCTOR </v>
          </cell>
          <cell r="E12" t="str">
            <v>mm</v>
          </cell>
          <cell r="F12">
            <v>13.8</v>
          </cell>
          <cell r="G12">
            <v>13.8</v>
          </cell>
        </row>
        <row r="13">
          <cell r="B13" t="str">
            <v>(3)</v>
          </cell>
          <cell r="C13" t="str">
            <v>EMISITIVIDAD DEL CONDUCTOR</v>
          </cell>
          <cell r="F13">
            <v>0</v>
          </cell>
          <cell r="G13">
            <v>0</v>
          </cell>
        </row>
        <row r="14">
          <cell r="C14" t="str">
            <v xml:space="preserve">  0.23  CONDUCTOR NUEVO</v>
          </cell>
          <cell r="F14">
            <v>0.7</v>
          </cell>
        </row>
        <row r="15">
          <cell r="C15" t="str">
            <v xml:space="preserve">  0.91  CONDUCTOR NEGRO</v>
          </cell>
        </row>
        <row r="16">
          <cell r="B16" t="str">
            <v>(4)</v>
          </cell>
          <cell r="C16" t="str">
            <v xml:space="preserve">TEMP. INICIAL CONDUCTOR </v>
          </cell>
          <cell r="E16" t="str">
            <v>ºC</v>
          </cell>
          <cell r="F16">
            <v>35</v>
          </cell>
          <cell r="G16">
            <v>10</v>
          </cell>
        </row>
        <row r="17">
          <cell r="B17" t="str">
            <v>(5)</v>
          </cell>
          <cell r="C17" t="str">
            <v>RESIST CONDUCTOR ( 20ªC)</v>
          </cell>
          <cell r="E17" t="str">
            <v>Ohm/km</v>
          </cell>
          <cell r="F17">
            <v>0.28010000000000002</v>
          </cell>
          <cell r="G17">
            <v>0.28010000000000002</v>
          </cell>
        </row>
        <row r="18">
          <cell r="B18" t="str">
            <v>(6)</v>
          </cell>
          <cell r="C18" t="str">
            <v>COEF. ABSORCION SOLAR</v>
          </cell>
          <cell r="F18">
            <v>0.5</v>
          </cell>
          <cell r="G18">
            <v>0.5</v>
          </cell>
        </row>
        <row r="19">
          <cell r="C19" t="str">
            <v xml:space="preserve">  0.23  CONDUCTOR NUEVO</v>
          </cell>
        </row>
        <row r="20">
          <cell r="C20" t="str">
            <v xml:space="preserve">  0.95  CONDUCTOR NEGRO</v>
          </cell>
        </row>
        <row r="21">
          <cell r="B21" t="str">
            <v>(7)</v>
          </cell>
          <cell r="C21" t="str">
            <v>ALTURA SOBRE EL NIVEL DEL MAR</v>
          </cell>
          <cell r="E21" t="str">
            <v>m</v>
          </cell>
          <cell r="F21">
            <v>4000</v>
          </cell>
          <cell r="G21">
            <v>4000</v>
          </cell>
        </row>
        <row r="22">
          <cell r="B22" t="str">
            <v>(8)</v>
          </cell>
          <cell r="C22" t="str">
            <v>VELOCIDAD TRANS. DEL VIENTO</v>
          </cell>
          <cell r="E22" t="str">
            <v>km/hr</v>
          </cell>
          <cell r="F22">
            <v>2.16</v>
          </cell>
          <cell r="G22">
            <v>2.16</v>
          </cell>
        </row>
        <row r="23">
          <cell r="B23" t="str">
            <v>(9)</v>
          </cell>
          <cell r="C23" t="str">
            <v>TEMPERATURA AMBIENTE</v>
          </cell>
          <cell r="E23" t="str">
            <v>ºC</v>
          </cell>
          <cell r="F23">
            <v>25</v>
          </cell>
          <cell r="G23">
            <v>10</v>
          </cell>
        </row>
        <row r="24">
          <cell r="B24" t="str">
            <v>(10)</v>
          </cell>
          <cell r="C24" t="str">
            <v>AZIMUTH DE LA LINEA</v>
          </cell>
          <cell r="E24" t="str">
            <v>Grados</v>
          </cell>
          <cell r="F24">
            <v>330</v>
          </cell>
          <cell r="G24">
            <v>330</v>
          </cell>
        </row>
        <row r="25">
          <cell r="B25" t="str">
            <v>(11)</v>
          </cell>
          <cell r="C25" t="str">
            <v>LATITUD DE LA LINEA</v>
          </cell>
          <cell r="E25" t="str">
            <v>Grados</v>
          </cell>
          <cell r="F25">
            <v>133</v>
          </cell>
          <cell r="G25">
            <v>13</v>
          </cell>
        </row>
        <row r="26">
          <cell r="B26" t="str">
            <v>(12)</v>
          </cell>
          <cell r="C26" t="str">
            <v>HEMISFERIO    (Norte=1,Sur=0)</v>
          </cell>
          <cell r="F26">
            <v>0</v>
          </cell>
          <cell r="G26">
            <v>0</v>
          </cell>
        </row>
        <row r="27">
          <cell r="B27" t="str">
            <v>(13)</v>
          </cell>
          <cell r="C27" t="str">
            <v>FECHA</v>
          </cell>
          <cell r="E27" t="str">
            <v>Mes-Dia</v>
          </cell>
          <cell r="F27">
            <v>35991</v>
          </cell>
          <cell r="G27">
            <v>35991</v>
          </cell>
        </row>
        <row r="28">
          <cell r="B28" t="str">
            <v>(14)</v>
          </cell>
          <cell r="C28" t="str">
            <v>HORA DEL DIA          (horas)</v>
          </cell>
          <cell r="F28">
            <v>12</v>
          </cell>
          <cell r="G28">
            <v>19</v>
          </cell>
        </row>
        <row r="29">
          <cell r="B29" t="str">
            <v>(15)</v>
          </cell>
          <cell r="C29" t="str">
            <v>ALBEDO</v>
          </cell>
          <cell r="F29">
            <v>0.2</v>
          </cell>
          <cell r="G29">
            <v>0.2</v>
          </cell>
        </row>
        <row r="30">
          <cell r="C30" t="str">
            <v xml:space="preserve">   0.1 Para tierra</v>
          </cell>
        </row>
        <row r="31">
          <cell r="C31" t="str">
            <v xml:space="preserve">   0.2 Para arena y hierba</v>
          </cell>
        </row>
        <row r="32">
          <cell r="C32" t="str">
            <v xml:space="preserve">   0.8 Para hielo</v>
          </cell>
        </row>
        <row r="33">
          <cell r="B33" t="str">
            <v>(16)</v>
          </cell>
          <cell r="C33" t="str">
            <v>TIPO DE ATMOSFERA</v>
          </cell>
          <cell r="F33">
            <v>4</v>
          </cell>
          <cell r="G33">
            <v>4</v>
          </cell>
        </row>
        <row r="34">
          <cell r="C34" t="str">
            <v xml:space="preserve">1=Excepcionalmente claro y seco </v>
          </cell>
        </row>
        <row r="35">
          <cell r="C35" t="str">
            <v xml:space="preserve">2=Excepcionalmente claro </v>
          </cell>
        </row>
        <row r="36">
          <cell r="C36" t="str">
            <v>3=Muy claro</v>
          </cell>
        </row>
        <row r="37">
          <cell r="C37" t="str">
            <v>4=Claro</v>
          </cell>
        </row>
        <row r="38">
          <cell r="C38" t="str">
            <v>5=Industrial</v>
          </cell>
        </row>
        <row r="39">
          <cell r="B39" t="str">
            <v>(17)</v>
          </cell>
          <cell r="C39" t="str">
            <v>TENSION NOMINAL DEL SISTEMA</v>
          </cell>
          <cell r="E39" t="str">
            <v>kV</v>
          </cell>
          <cell r="F39">
            <v>33</v>
          </cell>
          <cell r="G39">
            <v>33</v>
          </cell>
        </row>
        <row r="41">
          <cell r="C41" t="str">
            <v>RESULTADOS PARCIALES</v>
          </cell>
          <cell r="E41" t="str">
            <v>UNIDADES</v>
          </cell>
        </row>
        <row r="42">
          <cell r="F42" t="str">
            <v>DIA</v>
          </cell>
          <cell r="G42" t="str">
            <v>NOCHE</v>
          </cell>
        </row>
        <row r="43">
          <cell r="B43" t="str">
            <v>(A)</v>
          </cell>
          <cell r="C43" t="str">
            <v>DECLINACION SOLAR</v>
          </cell>
          <cell r="E43" t="str">
            <v>Grados</v>
          </cell>
          <cell r="F43">
            <v>23.366325306186862</v>
          </cell>
        </row>
        <row r="44">
          <cell r="B44" t="str">
            <v>(B)</v>
          </cell>
          <cell r="C44" t="str">
            <v>ALTITUD SOLAR</v>
          </cell>
          <cell r="D44" t="str">
            <v>( H )</v>
          </cell>
          <cell r="E44" t="str">
            <v>Grados</v>
          </cell>
          <cell r="F44">
            <v>-18.89704861279025</v>
          </cell>
        </row>
        <row r="45">
          <cell r="B45" t="str">
            <v>(C)</v>
          </cell>
          <cell r="C45" t="str">
            <v>AZIMUTH DEL SOL</v>
          </cell>
          <cell r="E45" t="str">
            <v>Grados</v>
          </cell>
          <cell r="F45">
            <v>10.959988807099197</v>
          </cell>
        </row>
        <row r="46">
          <cell r="B46" t="str">
            <v>(D)</v>
          </cell>
          <cell r="C46" t="str">
            <v>ANGULO DE INCIDENCIA DEL SOL</v>
          </cell>
          <cell r="E46" t="str">
            <v>Grados</v>
          </cell>
          <cell r="F46">
            <v>44.400583653442318</v>
          </cell>
        </row>
        <row r="47">
          <cell r="B47" t="str">
            <v>(E)</v>
          </cell>
          <cell r="C47" t="str">
            <v>INTENSIDAD DE LA RADIACION</v>
          </cell>
        </row>
        <row r="48">
          <cell r="C48" t="str">
            <v xml:space="preserve">  Por altitud</v>
          </cell>
          <cell r="D48" t="str">
            <v>( ID )</v>
          </cell>
          <cell r="E48" t="str">
            <v>W/M</v>
          </cell>
          <cell r="F48">
            <v>900</v>
          </cell>
        </row>
        <row r="49">
          <cell r="C49" t="str">
            <v xml:space="preserve">  Por tipo de dia</v>
          </cell>
          <cell r="D49" t="str">
            <v>( Id )</v>
          </cell>
          <cell r="E49" t="str">
            <v>W/M</v>
          </cell>
          <cell r="F49">
            <v>100</v>
          </cell>
        </row>
        <row r="50">
          <cell r="B50" t="str">
            <v>(F)</v>
          </cell>
          <cell r="C50" t="str">
            <v>RESISTENCIA DEL CONDUCTOR</v>
          </cell>
          <cell r="D50" t="str">
            <v>( R )</v>
          </cell>
          <cell r="E50" t="str">
            <v>ohm/km</v>
          </cell>
          <cell r="F50">
            <v>0.29581361</v>
          </cell>
          <cell r="G50">
            <v>0.26962426</v>
          </cell>
        </row>
        <row r="51">
          <cell r="B51" t="str">
            <v>(G)</v>
          </cell>
          <cell r="C51" t="str">
            <v>NUMERO DE REINOLDS</v>
          </cell>
          <cell r="D51" t="str">
            <v>( Re )</v>
          </cell>
          <cell r="F51">
            <v>285.13254551124032</v>
          </cell>
          <cell r="G51">
            <v>321.2319636721316</v>
          </cell>
        </row>
        <row r="52">
          <cell r="B52" t="str">
            <v>(H)</v>
          </cell>
          <cell r="C52" t="str">
            <v>PERDIDAS CONVECTIVAS</v>
          </cell>
          <cell r="D52" t="str">
            <v>( Qc)</v>
          </cell>
          <cell r="E52" t="str">
            <v>W/M</v>
          </cell>
          <cell r="F52">
            <v>7.030854353277876</v>
          </cell>
        </row>
        <row r="53">
          <cell r="B53" t="str">
            <v>(I)</v>
          </cell>
          <cell r="C53" t="str">
            <v xml:space="preserve">CALOR RADIADO CONDUCTOR. </v>
          </cell>
          <cell r="D53" t="str">
            <v>( Qr )</v>
          </cell>
          <cell r="E53" t="str">
            <v>W/M</v>
          </cell>
          <cell r="F53">
            <v>0</v>
          </cell>
        </row>
        <row r="54">
          <cell r="B54" t="str">
            <v>(J)</v>
          </cell>
          <cell r="C54" t="str">
            <v>CALOR IRRADIADO P/SOL</v>
          </cell>
          <cell r="D54" t="str">
            <v>( Qs )</v>
          </cell>
          <cell r="F54">
            <v>5.9302639782436506</v>
          </cell>
        </row>
        <row r="55">
          <cell r="B55" t="str">
            <v>(K)</v>
          </cell>
          <cell r="C55" t="str">
            <v>CORRIENTE CIRCULANTE</v>
          </cell>
          <cell r="D55" t="str">
            <v>( I )</v>
          </cell>
          <cell r="E55" t="str">
            <v>AMP</v>
          </cell>
          <cell r="F55">
            <v>60.99634041440747</v>
          </cell>
          <cell r="G55">
            <v>0</v>
          </cell>
        </row>
        <row r="56">
          <cell r="B56" t="str">
            <v>(L)</v>
          </cell>
          <cell r="C56" t="str">
            <v>POTENCIA CIRCULANTE</v>
          </cell>
          <cell r="D56" t="str">
            <v>( S )</v>
          </cell>
          <cell r="E56" t="str">
            <v>MVA</v>
          </cell>
          <cell r="F56">
            <v>3.4864091022261796</v>
          </cell>
          <cell r="G56">
            <v>0</v>
          </cell>
        </row>
      </sheetData>
      <sheetData sheetId="2"/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 A"/>
      <sheetName val="FORMATO B"/>
      <sheetName val="FORMATO C"/>
      <sheetName val="FORMATO D"/>
      <sheetName val="FORMATO E"/>
      <sheetName val="CENSO81"/>
      <sheetName val="INEI"/>
      <sheetName val="CENSO93"/>
      <sheetName val="COD-DISTRITO"/>
      <sheetName val="DISTRITOPUNO"/>
      <sheetName val="OTRAS-LOCALIDADES"/>
      <sheetName val="LOCALIDAD1"/>
      <sheetName val="Hoja70"/>
      <sheetName val="Hoja69"/>
      <sheetName val="Hoja68"/>
      <sheetName val="Hoja67"/>
      <sheetName val="Hoja66"/>
      <sheetName val="Hoja65"/>
      <sheetName val="Hoja64"/>
      <sheetName val="Hoja63"/>
      <sheetName val="Hoja62"/>
      <sheetName val="Hoja61"/>
      <sheetName val="Hoja60"/>
      <sheetName val="Hoja59"/>
      <sheetName val="Hoja58"/>
      <sheetName val="Hoja57"/>
      <sheetName val="Hoja56"/>
      <sheetName val="Hoja55"/>
      <sheetName val="Hoja54"/>
      <sheetName val="Hoja53"/>
      <sheetName val="Hoja52"/>
      <sheetName val="Hoja51"/>
      <sheetName val="Hoja50"/>
      <sheetName val="Hoja49"/>
      <sheetName val="Hoja48"/>
      <sheetName val="Hoja47"/>
      <sheetName val="Hoja46"/>
      <sheetName val="Hoja45"/>
      <sheetName val="Hoja44"/>
      <sheetName val="Hoja43"/>
      <sheetName val="Hoja42"/>
      <sheetName val="Hoja41"/>
      <sheetName val="Hoja40"/>
      <sheetName val="Hoja39"/>
      <sheetName val="Hoja38"/>
      <sheetName val="Hoja37"/>
      <sheetName val="Hoja36"/>
      <sheetName val="Hoja35"/>
      <sheetName val="Hoja34"/>
      <sheetName val="Hoja33"/>
      <sheetName val="Hoja32"/>
      <sheetName val="Hoja31"/>
      <sheetName val="LOCALIDAD2"/>
      <sheetName val="LOCALIDAD3"/>
      <sheetName val="LOCALIDAD4"/>
      <sheetName val="LOCALIDAD5"/>
      <sheetName val="LOCALIDAD6"/>
      <sheetName val="LOCALIDAD7"/>
      <sheetName val="LOCALIDAD8"/>
      <sheetName val="LOCALIDAD9"/>
      <sheetName val="LOCALIDAD10"/>
      <sheetName val="LOCALIDAD11"/>
      <sheetName val="LOCALIDAD12"/>
      <sheetName val="LOCALIDAD13"/>
      <sheetName val="LOCALIDAD14"/>
      <sheetName val="LOCALIDAD15"/>
      <sheetName val="LOCALIDAD16"/>
      <sheetName val="LOCALIDAD17"/>
      <sheetName val="LOCALIDAD18"/>
      <sheetName val="LOCALIDAD19"/>
      <sheetName val="LOCALIDAD20"/>
      <sheetName val="LOCALIDAD21"/>
      <sheetName val="LOCALIDAD22"/>
      <sheetName val="LOCALIDAD23"/>
      <sheetName val="LOCALIDAD26"/>
      <sheetName val="LOCALIDAD27"/>
      <sheetName val="LOCALIDAD28"/>
      <sheetName val="LOCALIDAD29"/>
      <sheetName val="LOCALIDAD30"/>
      <sheetName val="Hoja2"/>
      <sheetName val="Hoja1"/>
      <sheetName val="CAP_120mm2"/>
      <sheetName val="CAP-120mm2"/>
      <sheetName val="PROCESOS"/>
      <sheetName val="civ_ro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C2" t="str">
            <v>PUNO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_Chavarria"/>
      <sheetName val="SE_Chiclayo_Oeste"/>
      <sheetName val="SE_Chimbote1"/>
      <sheetName val="SE_Guadalupe"/>
      <sheetName val="SE_Ica"/>
      <sheetName val="SE_Independencia"/>
      <sheetName val="SE_Marcona"/>
      <sheetName val="SE_Paramonga_Nueva"/>
      <sheetName val="SE_Piura_Oeste"/>
      <sheetName val="SE_San_Juan"/>
      <sheetName val="SE_Santa_Rosa"/>
      <sheetName val="SE_Talara"/>
      <sheetName val="SE_Trujillo_Norte"/>
      <sheetName val="SE_Ventanilla"/>
      <sheetName val="SE_Zapallal"/>
      <sheetName val="PRESUPUESTO"/>
      <sheetName val="CENSO93"/>
      <sheetName val="E230 - E233"/>
      <sheetName val="#¡REF"/>
      <sheetName val="DATOS TECNICOS SE SANTUARIO"/>
      <sheetName val="PROC MANT LT 1"/>
      <sheetName val="1"/>
      <sheetName val="Dos Mayo 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Hoja4"/>
      <sheetName val="TOTAL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Base Ret. y Pt."/>
      <sheetName val="Datos"/>
      <sheetName val="1.2.1 RENDIMIENTO"/>
      <sheetName val="INGRESO"/>
      <sheetName val="CAP_120mm2"/>
      <sheetName val="CAP-120mm2"/>
      <sheetName val="PLAN_CONFORME"/>
      <sheetName val="1_2_1_RENDIMIENTO"/>
      <sheetName val="Base_Ret__y_Pt_"/>
    </sheetNames>
    <sheetDataSet>
      <sheetData sheetId="0" refreshError="1">
        <row r="3">
          <cell r="B3" t="str">
            <v>OBRA</v>
          </cell>
          <cell r="C3" t="str">
            <v>SECCION</v>
          </cell>
          <cell r="D3" t="str">
            <v>LOCALIDAD</v>
          </cell>
          <cell r="E3" t="str">
            <v>DISTRITO</v>
          </cell>
          <cell r="F3" t="str">
            <v>PROVINCIA</v>
          </cell>
          <cell r="G3" t="str">
            <v>DEPARTAMENTO</v>
          </cell>
          <cell r="H3" t="str">
            <v>5-D-BRUTO</v>
          </cell>
          <cell r="I3" t="str">
            <v>POS_01</v>
          </cell>
          <cell r="J3" t="str">
            <v>N_POSTES</v>
          </cell>
          <cell r="K3" t="str">
            <v>POS_02</v>
          </cell>
          <cell r="L3" t="str">
            <v>6-D-BRUTO</v>
          </cell>
          <cell r="M3" t="str">
            <v>OP_EX</v>
          </cell>
          <cell r="N3" t="str">
            <v>PPS_RP</v>
          </cell>
          <cell r="O3" t="str">
            <v>PPS_LP</v>
          </cell>
          <cell r="P3" t="str">
            <v>CARTEL</v>
          </cell>
          <cell r="Q3" t="str">
            <v>CAMPA</v>
          </cell>
          <cell r="R3" t="str">
            <v>AAAC-25</v>
          </cell>
          <cell r="S3" t="str">
            <v>REP_RP</v>
          </cell>
          <cell r="T3" t="str">
            <v>CON_10</v>
          </cell>
          <cell r="U3" t="str">
            <v>CON_11</v>
          </cell>
          <cell r="V3" t="str">
            <v>R_3F</v>
          </cell>
          <cell r="W3" t="str">
            <v>C_3F</v>
          </cell>
          <cell r="X3" t="str">
            <v>R_2F</v>
          </cell>
          <cell r="Y3" t="str">
            <v>C_2F</v>
          </cell>
          <cell r="Z3" t="str">
            <v>R_MRT</v>
          </cell>
          <cell r="AA3" t="str">
            <v>C_MRT</v>
          </cell>
          <cell r="AB3" t="str">
            <v>PS1-3</v>
          </cell>
          <cell r="AC3" t="str">
            <v>PSH-3</v>
          </cell>
          <cell r="AD3" t="str">
            <v>PA1-3</v>
          </cell>
          <cell r="AE3" t="str">
            <v>P3A1-3</v>
          </cell>
          <cell r="AF3" t="str">
            <v>PA1H-3</v>
          </cell>
          <cell r="AG3" t="str">
            <v>P3A2-3</v>
          </cell>
          <cell r="AH3" t="str">
            <v>PA2-3</v>
          </cell>
          <cell r="AI3" t="str">
            <v>PA2H-3</v>
          </cell>
          <cell r="AJ3" t="str">
            <v>PA3-3</v>
          </cell>
          <cell r="AK3" t="str">
            <v>PR3-3</v>
          </cell>
          <cell r="AL3" t="str">
            <v>PRH-3</v>
          </cell>
          <cell r="AM3" t="str">
            <v>PTH-3</v>
          </cell>
          <cell r="AN3" t="str">
            <v>3PR3-0</v>
          </cell>
          <cell r="AO3" t="str">
            <v>PSEC-3P</v>
          </cell>
          <cell r="AP3" t="str">
            <v>PS1-0</v>
          </cell>
          <cell r="AQ3" t="str">
            <v>PA1-0</v>
          </cell>
          <cell r="AR3" t="str">
            <v>PA2-0</v>
          </cell>
          <cell r="AS3" t="str">
            <v>PA3-0</v>
          </cell>
          <cell r="AT3" t="str">
            <v>PR3-0</v>
          </cell>
          <cell r="AU3" t="str">
            <v>PTV-0</v>
          </cell>
          <cell r="AV3" t="str">
            <v>PTV-0-SP</v>
          </cell>
          <cell r="AW3" t="str">
            <v>PSEC-0P</v>
          </cell>
          <cell r="AX3" t="str">
            <v>PS1-2</v>
          </cell>
          <cell r="AY3" t="str">
            <v>PA1-2</v>
          </cell>
          <cell r="AZ3" t="str">
            <v>PA2-2</v>
          </cell>
          <cell r="BA3" t="str">
            <v>PA3-2</v>
          </cell>
          <cell r="BB3" t="str">
            <v>PR3-2</v>
          </cell>
          <cell r="BC3" t="str">
            <v>PTH-2</v>
          </cell>
          <cell r="BD3" t="str">
            <v>PSEC-2P</v>
          </cell>
          <cell r="BE3" t="str">
            <v>PTV-2</v>
          </cell>
          <cell r="BF3" t="str">
            <v>2PR3-0</v>
          </cell>
          <cell r="BG3" t="str">
            <v>PAT-1</v>
          </cell>
          <cell r="BH3" t="str">
            <v>PAT-2</v>
          </cell>
          <cell r="BI3" t="str">
            <v>R1-A</v>
          </cell>
          <cell r="BJ3" t="str">
            <v>RV-A</v>
          </cell>
          <cell r="BK3" t="str">
            <v>T-75</v>
          </cell>
          <cell r="BL3" t="str">
            <v>T-50</v>
          </cell>
          <cell r="BM3" t="str">
            <v>T-40</v>
          </cell>
          <cell r="BN3" t="str">
            <v>T-25</v>
          </cell>
          <cell r="BO3" t="str">
            <v>T-15</v>
          </cell>
          <cell r="BP3" t="str">
            <v>T-10</v>
          </cell>
          <cell r="BQ3" t="str">
            <v>SMM-1P</v>
          </cell>
          <cell r="BR3" t="str">
            <v>STB</v>
          </cell>
        </row>
        <row r="4">
          <cell r="A4">
            <v>1</v>
          </cell>
          <cell r="B4" t="str">
            <v>P.S.E. ASOCIADO  A  LA  C.H.  TABACONAS</v>
          </cell>
          <cell r="C4" t="str">
            <v>RED  DE  DISTRIBUCION  PRIMARIA     13.2kV  MRT</v>
          </cell>
          <cell r="D4" t="str">
            <v>TABACONAS</v>
          </cell>
          <cell r="E4" t="str">
            <v>TABACONAS</v>
          </cell>
          <cell r="F4" t="str">
            <v>SAN  IGNACIO</v>
          </cell>
          <cell r="G4" t="str">
            <v>CAJAMARCA</v>
          </cell>
          <cell r="H4">
            <v>1</v>
          </cell>
          <cell r="I4">
            <v>1</v>
          </cell>
          <cell r="J4">
            <v>5</v>
          </cell>
          <cell r="K4">
            <v>4</v>
          </cell>
          <cell r="L4">
            <v>5</v>
          </cell>
          <cell r="M4">
            <v>0.5</v>
          </cell>
          <cell r="N4">
            <v>0.16666666666666666</v>
          </cell>
          <cell r="R4">
            <v>0.35</v>
          </cell>
          <cell r="S4">
            <v>0.34</v>
          </cell>
          <cell r="T4">
            <v>1</v>
          </cell>
          <cell r="U4">
            <v>1</v>
          </cell>
          <cell r="W4">
            <v>0</v>
          </cell>
          <cell r="Y4">
            <v>0</v>
          </cell>
          <cell r="Z4">
            <v>0.33700000000000002</v>
          </cell>
          <cell r="AA4">
            <v>0.35</v>
          </cell>
          <cell r="AP4">
            <v>2</v>
          </cell>
          <cell r="AS4">
            <v>1</v>
          </cell>
          <cell r="AU4">
            <v>2</v>
          </cell>
          <cell r="BG4">
            <v>1</v>
          </cell>
          <cell r="BH4">
            <v>3</v>
          </cell>
          <cell r="BI4">
            <v>3</v>
          </cell>
          <cell r="BN4">
            <v>1</v>
          </cell>
          <cell r="BQ4">
            <v>1</v>
          </cell>
        </row>
        <row r="5">
          <cell r="A5">
            <v>2</v>
          </cell>
          <cell r="B5" t="str">
            <v>P.S.E. ASOCIADO  A  LA  C.H.  TABACONAS</v>
          </cell>
          <cell r="C5" t="str">
            <v>RED  DE  DISTRIBUCION  PRIMARIA     13.2kV  MRT</v>
          </cell>
          <cell r="D5" t="str">
            <v>GRANADILLAS BAJO</v>
          </cell>
          <cell r="E5" t="str">
            <v>TABACONAS</v>
          </cell>
          <cell r="F5" t="str">
            <v>SAN  IGNACIO</v>
          </cell>
          <cell r="G5" t="str">
            <v>CAJAMARCA</v>
          </cell>
          <cell r="H5">
            <v>1</v>
          </cell>
          <cell r="I5">
            <v>1</v>
          </cell>
          <cell r="J5">
            <v>4</v>
          </cell>
          <cell r="K5">
            <v>3</v>
          </cell>
          <cell r="L5">
            <v>4</v>
          </cell>
          <cell r="M5">
            <v>0.1</v>
          </cell>
          <cell r="N5">
            <v>0.16666666666666666</v>
          </cell>
          <cell r="R5">
            <v>0.16</v>
          </cell>
          <cell r="S5">
            <v>0.16</v>
          </cell>
          <cell r="T5">
            <v>1</v>
          </cell>
          <cell r="U5">
            <v>1</v>
          </cell>
          <cell r="W5">
            <v>0</v>
          </cell>
          <cell r="Y5">
            <v>0</v>
          </cell>
          <cell r="Z5">
            <v>0.156</v>
          </cell>
          <cell r="AA5">
            <v>0.16</v>
          </cell>
          <cell r="AP5">
            <v>1</v>
          </cell>
          <cell r="AQ5">
            <v>1</v>
          </cell>
          <cell r="AU5">
            <v>2</v>
          </cell>
          <cell r="BG5">
            <v>1</v>
          </cell>
          <cell r="BH5">
            <v>2</v>
          </cell>
          <cell r="BI5">
            <v>2</v>
          </cell>
          <cell r="BO5">
            <v>1</v>
          </cell>
          <cell r="BQ5">
            <v>1</v>
          </cell>
        </row>
        <row r="6">
          <cell r="A6">
            <v>3</v>
          </cell>
          <cell r="B6" t="str">
            <v>P.S.E. ASOCIADO  A  LA  C.H.  TABACONAS</v>
          </cell>
          <cell r="C6" t="str">
            <v>RED  DE  DISTRIBUCION  PRIMARIA     13.2kV  MRT</v>
          </cell>
          <cell r="D6" t="str">
            <v>MANCHARA</v>
          </cell>
          <cell r="E6" t="str">
            <v>TABACONAS</v>
          </cell>
          <cell r="F6" t="str">
            <v>SAN  IGNACIO</v>
          </cell>
          <cell r="G6" t="str">
            <v>CAJAMARCA</v>
          </cell>
          <cell r="H6">
            <v>1</v>
          </cell>
          <cell r="I6">
            <v>1</v>
          </cell>
          <cell r="J6">
            <v>2</v>
          </cell>
          <cell r="K6">
            <v>1</v>
          </cell>
          <cell r="L6">
            <v>2</v>
          </cell>
          <cell r="M6">
            <v>0.1</v>
          </cell>
          <cell r="N6">
            <v>0.16666666666666666</v>
          </cell>
          <cell r="R6">
            <v>7.0000000000000007E-2</v>
          </cell>
          <cell r="S6">
            <v>7.0000000000000007E-2</v>
          </cell>
          <cell r="T6">
            <v>1</v>
          </cell>
          <cell r="U6">
            <v>1</v>
          </cell>
          <cell r="W6">
            <v>0</v>
          </cell>
          <cell r="Y6">
            <v>0</v>
          </cell>
          <cell r="Z6">
            <v>7.0000000000000007E-2</v>
          </cell>
          <cell r="AA6">
            <v>7.0000000000000007E-2</v>
          </cell>
          <cell r="AU6">
            <v>2</v>
          </cell>
          <cell r="BG6">
            <v>1</v>
          </cell>
          <cell r="BI6">
            <v>2</v>
          </cell>
          <cell r="BP6">
            <v>1</v>
          </cell>
          <cell r="BQ6">
            <v>1</v>
          </cell>
        </row>
        <row r="7">
          <cell r="A7">
            <v>4</v>
          </cell>
          <cell r="B7" t="str">
            <v>P.S.E. ASOCIADO  A  LA  C.H.  TABACONAS</v>
          </cell>
          <cell r="C7" t="str">
            <v>RED  DE  DISTRIBUCION  PRIMARIA     13.2kV  MRT</v>
          </cell>
          <cell r="D7" t="str">
            <v>YUSHCAPAMPA</v>
          </cell>
          <cell r="E7" t="str">
            <v>TABACONAS</v>
          </cell>
          <cell r="F7" t="str">
            <v>SAN  IGNACIO</v>
          </cell>
          <cell r="G7" t="str">
            <v>CAJAMARCA</v>
          </cell>
          <cell r="H7">
            <v>1</v>
          </cell>
          <cell r="I7">
            <v>1</v>
          </cell>
          <cell r="J7">
            <v>2</v>
          </cell>
          <cell r="K7">
            <v>1</v>
          </cell>
          <cell r="L7">
            <v>3</v>
          </cell>
          <cell r="M7">
            <v>0.1</v>
          </cell>
          <cell r="N7">
            <v>0.16666666666666666</v>
          </cell>
          <cell r="R7">
            <v>0.15</v>
          </cell>
          <cell r="S7">
            <v>0.14000000000000001</v>
          </cell>
          <cell r="T7">
            <v>1</v>
          </cell>
          <cell r="U7">
            <v>1</v>
          </cell>
          <cell r="W7">
            <v>0</v>
          </cell>
          <cell r="Y7">
            <v>0</v>
          </cell>
          <cell r="Z7">
            <v>0.14099999999999999</v>
          </cell>
          <cell r="AA7">
            <v>0.15</v>
          </cell>
          <cell r="AT7">
            <v>1</v>
          </cell>
          <cell r="AU7">
            <v>2</v>
          </cell>
          <cell r="BG7">
            <v>1</v>
          </cell>
          <cell r="BH7">
            <v>1</v>
          </cell>
          <cell r="BI7">
            <v>2</v>
          </cell>
          <cell r="BP7">
            <v>1</v>
          </cell>
          <cell r="BQ7">
            <v>1</v>
          </cell>
        </row>
        <row r="8">
          <cell r="A8">
            <v>5</v>
          </cell>
          <cell r="B8" t="str">
            <v>P.S.E. ASOCIADO  A  LA  C.H.  TABACONAS</v>
          </cell>
          <cell r="C8" t="str">
            <v>RED  DE  DISTRIBUCION  PRIMARIA     13.2kV  MRT</v>
          </cell>
          <cell r="D8" t="str">
            <v>RODEO PAMPA</v>
          </cell>
          <cell r="E8" t="str">
            <v>TABACONAS</v>
          </cell>
          <cell r="F8" t="str">
            <v>SAN  IGNACIO</v>
          </cell>
          <cell r="G8" t="str">
            <v>CAJAMARCA</v>
          </cell>
          <cell r="H8">
            <v>1</v>
          </cell>
          <cell r="I8">
            <v>1</v>
          </cell>
          <cell r="J8">
            <v>3</v>
          </cell>
          <cell r="K8">
            <v>2</v>
          </cell>
          <cell r="L8">
            <v>4</v>
          </cell>
          <cell r="M8">
            <v>0.1</v>
          </cell>
          <cell r="N8">
            <v>0.16666666666666666</v>
          </cell>
          <cell r="R8">
            <v>0.25</v>
          </cell>
          <cell r="S8">
            <v>0.24</v>
          </cell>
          <cell r="T8">
            <v>1</v>
          </cell>
          <cell r="U8">
            <v>1</v>
          </cell>
          <cell r="W8">
            <v>0</v>
          </cell>
          <cell r="Y8">
            <v>0</v>
          </cell>
          <cell r="Z8">
            <v>0.23899999999999999</v>
          </cell>
          <cell r="AA8">
            <v>0.25</v>
          </cell>
          <cell r="AP8">
            <v>1</v>
          </cell>
          <cell r="AT8">
            <v>1</v>
          </cell>
          <cell r="AU8">
            <v>2</v>
          </cell>
          <cell r="BG8">
            <v>1</v>
          </cell>
          <cell r="BH8">
            <v>2</v>
          </cell>
          <cell r="BI8">
            <v>2</v>
          </cell>
          <cell r="BP8">
            <v>1</v>
          </cell>
          <cell r="BQ8">
            <v>1</v>
          </cell>
        </row>
        <row r="9">
          <cell r="A9">
            <v>6</v>
          </cell>
          <cell r="B9" t="str">
            <v>P.S.E. ASOCIADO  A  LA  C.H.  TABACONAS</v>
          </cell>
          <cell r="C9" t="str">
            <v>RED  DE  DISTRIBUCION  PRIMARIA     13.2kV  MRT</v>
          </cell>
          <cell r="D9" t="str">
            <v>PAMPA LIMON</v>
          </cell>
          <cell r="E9" t="str">
            <v>TABACONAS</v>
          </cell>
          <cell r="F9" t="str">
            <v>SAN  IGNACIO</v>
          </cell>
          <cell r="G9" t="str">
            <v>CAJAMARCA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2</v>
          </cell>
          <cell r="M9">
            <v>0.1</v>
          </cell>
          <cell r="N9">
            <v>0.16666666666666666</v>
          </cell>
          <cell r="R9">
            <v>0.04</v>
          </cell>
          <cell r="S9">
            <v>0.04</v>
          </cell>
          <cell r="T9">
            <v>1</v>
          </cell>
          <cell r="U9">
            <v>1</v>
          </cell>
          <cell r="W9">
            <v>0</v>
          </cell>
          <cell r="Y9">
            <v>0</v>
          </cell>
          <cell r="Z9">
            <v>4.1000000000000002E-2</v>
          </cell>
          <cell r="AA9">
            <v>0.04</v>
          </cell>
          <cell r="AU9">
            <v>2</v>
          </cell>
          <cell r="BG9">
            <v>1</v>
          </cell>
          <cell r="BO9">
            <v>1</v>
          </cell>
          <cell r="BQ9">
            <v>1</v>
          </cell>
        </row>
        <row r="10">
          <cell r="A10">
            <v>7</v>
          </cell>
          <cell r="B10" t="str">
            <v>P.S.E. ASOCIADO  A  LA  C.H.  TABACONAS</v>
          </cell>
          <cell r="C10" t="str">
            <v>RED  DE  DISTRIBUCION  PRIMARIA     13.2kV  MRT</v>
          </cell>
          <cell r="D10" t="str">
            <v>RESUMEN   GENERAL</v>
          </cell>
          <cell r="E10" t="str">
            <v>TABACONAS</v>
          </cell>
          <cell r="F10" t="str">
            <v>SAN  IGNACIO</v>
          </cell>
          <cell r="G10" t="str">
            <v>CAJAMARCA</v>
          </cell>
          <cell r="H10">
            <v>6</v>
          </cell>
          <cell r="I10">
            <v>6</v>
          </cell>
          <cell r="J10">
            <v>17</v>
          </cell>
          <cell r="K10">
            <v>11</v>
          </cell>
          <cell r="L10">
            <v>20</v>
          </cell>
          <cell r="M10">
            <v>0.99999999999999989</v>
          </cell>
          <cell r="N10">
            <v>0.99999999999999989</v>
          </cell>
          <cell r="P10">
            <v>0</v>
          </cell>
          <cell r="Q10">
            <v>0</v>
          </cell>
          <cell r="R10">
            <v>1.02</v>
          </cell>
          <cell r="S10">
            <v>0.9900000000000001</v>
          </cell>
          <cell r="T10">
            <v>6</v>
          </cell>
          <cell r="U10">
            <v>6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0.98399999999999999</v>
          </cell>
          <cell r="AA10">
            <v>1.02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4</v>
          </cell>
          <cell r="AQ10">
            <v>1</v>
          </cell>
          <cell r="AR10">
            <v>0</v>
          </cell>
          <cell r="AS10">
            <v>1</v>
          </cell>
          <cell r="AT10">
            <v>2</v>
          </cell>
          <cell r="AU10">
            <v>12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6</v>
          </cell>
          <cell r="BH10">
            <v>8</v>
          </cell>
          <cell r="BI10">
            <v>11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</v>
          </cell>
          <cell r="BO10">
            <v>2</v>
          </cell>
          <cell r="BP10">
            <v>3</v>
          </cell>
          <cell r="BQ10">
            <v>6</v>
          </cell>
          <cell r="BR10">
            <v>0</v>
          </cell>
        </row>
        <row r="11">
          <cell r="A11">
            <v>8</v>
          </cell>
          <cell r="B11" t="str">
            <v>P.S.E. ASOCIADO  A  LA  C.H.  SALLIQUE</v>
          </cell>
          <cell r="C11" t="str">
            <v>L.P. TRONCAL C.H. SALLIQUE-SALLIQUE 22.9kV TRIFASICO</v>
          </cell>
          <cell r="D11" t="str">
            <v>SALLIQUE</v>
          </cell>
          <cell r="E11" t="str">
            <v>SALLIQUE</v>
          </cell>
          <cell r="F11" t="str">
            <v>JAEN</v>
          </cell>
          <cell r="G11" t="str">
            <v>CAJAMARCA</v>
          </cell>
          <cell r="J11">
            <v>2</v>
          </cell>
          <cell r="K11">
            <v>2</v>
          </cell>
          <cell r="L11">
            <v>2</v>
          </cell>
          <cell r="V11">
            <v>0.11434</v>
          </cell>
          <cell r="W11">
            <v>0.36</v>
          </cell>
          <cell r="AB11">
            <v>1</v>
          </cell>
          <cell r="AO11">
            <v>1</v>
          </cell>
          <cell r="BG11">
            <v>2</v>
          </cell>
          <cell r="BH11">
            <v>0</v>
          </cell>
          <cell r="BI11">
            <v>1</v>
          </cell>
          <cell r="BQ11">
            <v>0</v>
          </cell>
          <cell r="BR11">
            <v>0</v>
          </cell>
        </row>
        <row r="12">
          <cell r="A12">
            <v>9</v>
          </cell>
          <cell r="B12" t="str">
            <v>P.S.E. ASOCIADO  A  LA  C.H.  SALLIQUE</v>
          </cell>
          <cell r="C12" t="str">
            <v>L.P. DERIVACION  PIQUIJACA 13.2kV MRT</v>
          </cell>
          <cell r="D12" t="str">
            <v>PIQUIJACA</v>
          </cell>
          <cell r="E12" t="str">
            <v>SALLIQUE</v>
          </cell>
          <cell r="F12" t="str">
            <v>JAEN</v>
          </cell>
          <cell r="G12" t="str">
            <v>CAJAMARCA</v>
          </cell>
          <cell r="J12">
            <v>36</v>
          </cell>
          <cell r="K12">
            <v>36</v>
          </cell>
          <cell r="L12">
            <v>36</v>
          </cell>
          <cell r="W12">
            <v>0</v>
          </cell>
          <cell r="Z12">
            <v>9.3792899999999992</v>
          </cell>
          <cell r="AP12">
            <v>13</v>
          </cell>
          <cell r="AQ12">
            <v>1</v>
          </cell>
          <cell r="AT12">
            <v>20</v>
          </cell>
          <cell r="AU12">
            <v>1</v>
          </cell>
          <cell r="AW12">
            <v>1</v>
          </cell>
          <cell r="BG12">
            <v>4</v>
          </cell>
          <cell r="BH12">
            <v>32</v>
          </cell>
          <cell r="BI12">
            <v>44</v>
          </cell>
          <cell r="BQ12">
            <v>0</v>
          </cell>
          <cell r="BR12">
            <v>0</v>
          </cell>
        </row>
        <row r="13">
          <cell r="A13">
            <v>10</v>
          </cell>
          <cell r="B13" t="str">
            <v>P.S.E. ASOCIADO  A  LA  C.H.  SALLIQUE</v>
          </cell>
          <cell r="C13" t="str">
            <v>L.P. RAMAL CATALA  13.2kV MRT</v>
          </cell>
          <cell r="D13" t="str">
            <v>CATALA</v>
          </cell>
          <cell r="E13" t="str">
            <v>SALLIQUE</v>
          </cell>
          <cell r="F13" t="str">
            <v>JAEN</v>
          </cell>
          <cell r="G13" t="str">
            <v>CAJAMARCA</v>
          </cell>
          <cell r="I13">
            <v>1</v>
          </cell>
          <cell r="J13">
            <v>4</v>
          </cell>
          <cell r="K13">
            <v>3</v>
          </cell>
          <cell r="L13">
            <v>5</v>
          </cell>
          <cell r="W13">
            <v>0</v>
          </cell>
          <cell r="Z13">
            <v>0.75175000000000003</v>
          </cell>
          <cell r="AT13">
            <v>3</v>
          </cell>
          <cell r="AU13">
            <v>2</v>
          </cell>
          <cell r="BG13">
            <v>0</v>
          </cell>
          <cell r="BH13">
            <v>3</v>
          </cell>
          <cell r="BI13">
            <v>8</v>
          </cell>
          <cell r="BQ13">
            <v>0</v>
          </cell>
          <cell r="BR13">
            <v>0</v>
          </cell>
        </row>
        <row r="14">
          <cell r="A14">
            <v>11</v>
          </cell>
          <cell r="B14" t="str">
            <v>P.S.E. ASOCIADO  A  LA  C.H.  SALLIQUE</v>
          </cell>
          <cell r="C14" t="str">
            <v>L.P. DERIVACION  SHIMANA 13.2kV MRT</v>
          </cell>
          <cell r="D14" t="str">
            <v>SHIMANA</v>
          </cell>
          <cell r="E14" t="str">
            <v>SALLIQUE</v>
          </cell>
          <cell r="F14" t="str">
            <v>JAEN</v>
          </cell>
          <cell r="G14" t="str">
            <v>CAJAMARCA</v>
          </cell>
          <cell r="J14">
            <v>13</v>
          </cell>
          <cell r="K14">
            <v>13</v>
          </cell>
          <cell r="L14">
            <v>13</v>
          </cell>
          <cell r="W14">
            <v>0</v>
          </cell>
          <cell r="Z14">
            <v>2.4500000000000002</v>
          </cell>
          <cell r="AP14">
            <v>8</v>
          </cell>
          <cell r="AT14">
            <v>3</v>
          </cell>
          <cell r="AU14">
            <v>1</v>
          </cell>
          <cell r="AW14">
            <v>1</v>
          </cell>
          <cell r="BG14">
            <v>1</v>
          </cell>
          <cell r="BH14">
            <v>12</v>
          </cell>
          <cell r="BI14">
            <v>8</v>
          </cell>
          <cell r="BQ14">
            <v>0</v>
          </cell>
          <cell r="BR14">
            <v>0</v>
          </cell>
        </row>
        <row r="15">
          <cell r="A15">
            <v>12</v>
          </cell>
          <cell r="B15" t="str">
            <v>P.S.E. ASOCIADO  A  LA  C.H.  SALLIQUE</v>
          </cell>
          <cell r="C15" t="str">
            <v>L.P. DERIVACION  AYACATE 13.2kV MRT</v>
          </cell>
          <cell r="D15" t="str">
            <v>AYACATE</v>
          </cell>
          <cell r="E15" t="str">
            <v>SALLIQUE</v>
          </cell>
          <cell r="F15" t="str">
            <v>JAEN</v>
          </cell>
          <cell r="G15" t="str">
            <v>CAJAMARCA</v>
          </cell>
          <cell r="I15">
            <v>1</v>
          </cell>
          <cell r="J15">
            <v>15</v>
          </cell>
          <cell r="K15">
            <v>14</v>
          </cell>
          <cell r="L15">
            <v>15</v>
          </cell>
          <cell r="W15">
            <v>0</v>
          </cell>
          <cell r="Z15">
            <v>4.01</v>
          </cell>
          <cell r="AP15">
            <v>5</v>
          </cell>
          <cell r="AT15">
            <v>8</v>
          </cell>
          <cell r="AU15">
            <v>1</v>
          </cell>
          <cell r="AW15">
            <v>1</v>
          </cell>
          <cell r="BG15">
            <v>2</v>
          </cell>
          <cell r="BH15">
            <v>12</v>
          </cell>
          <cell r="BI15">
            <v>18</v>
          </cell>
          <cell r="BQ15">
            <v>0</v>
          </cell>
          <cell r="BR15">
            <v>0</v>
          </cell>
        </row>
        <row r="16">
          <cell r="A16">
            <v>13</v>
          </cell>
          <cell r="B16" t="str">
            <v>P.S.E. ASOCIADO  A  LA  C.H.  SALLIQUE</v>
          </cell>
          <cell r="C16" t="str">
            <v>L.P. RAMAL TABACAL  13.2kV MRT</v>
          </cell>
          <cell r="D16" t="str">
            <v>TABACAL</v>
          </cell>
          <cell r="E16" t="str">
            <v>SALLIQUE</v>
          </cell>
          <cell r="F16" t="str">
            <v>JAEN</v>
          </cell>
          <cell r="G16" t="str">
            <v>CAJAMARCA</v>
          </cell>
          <cell r="J16">
            <v>3</v>
          </cell>
          <cell r="K16">
            <v>3</v>
          </cell>
          <cell r="L16">
            <v>4</v>
          </cell>
          <cell r="W16">
            <v>0</v>
          </cell>
          <cell r="Z16">
            <v>0.54576999999999998</v>
          </cell>
          <cell r="AT16">
            <v>2</v>
          </cell>
          <cell r="AU16">
            <v>2</v>
          </cell>
          <cell r="BG16">
            <v>1</v>
          </cell>
          <cell r="BH16">
            <v>2</v>
          </cell>
          <cell r="BI16">
            <v>5</v>
          </cell>
          <cell r="BQ16">
            <v>0</v>
          </cell>
          <cell r="BR16">
            <v>0</v>
          </cell>
        </row>
        <row r="17">
          <cell r="A17">
            <v>14</v>
          </cell>
          <cell r="B17" t="str">
            <v>P.S.E. ASOCIADO  A  LA  C.H.  SALLIQUE</v>
          </cell>
          <cell r="C17" t="str">
            <v>LINEAS  PRIMARIAS   22.9/13.2kV - MRT  -   RESUMEN  GENERAL</v>
          </cell>
          <cell r="D17" t="str">
            <v>RESUMEN   GENERAL</v>
          </cell>
          <cell r="E17" t="str">
            <v>SALLIQUE</v>
          </cell>
          <cell r="F17" t="str">
            <v>JAEN</v>
          </cell>
          <cell r="G17" t="str">
            <v>CAJAMARCA</v>
          </cell>
          <cell r="H17">
            <v>0</v>
          </cell>
          <cell r="I17">
            <v>2</v>
          </cell>
          <cell r="J17">
            <v>73</v>
          </cell>
          <cell r="K17">
            <v>71</v>
          </cell>
          <cell r="L17">
            <v>75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V17">
            <v>0.11434</v>
          </cell>
          <cell r="W17">
            <v>0.36</v>
          </cell>
          <cell r="X17">
            <v>0</v>
          </cell>
          <cell r="Y17">
            <v>0</v>
          </cell>
          <cell r="Z17">
            <v>17.136810000000001</v>
          </cell>
          <cell r="AA17">
            <v>0</v>
          </cell>
          <cell r="AB17">
            <v>1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1</v>
          </cell>
          <cell r="AP17">
            <v>26</v>
          </cell>
          <cell r="AQ17">
            <v>1</v>
          </cell>
          <cell r="AR17">
            <v>0</v>
          </cell>
          <cell r="AS17">
            <v>0</v>
          </cell>
          <cell r="AT17">
            <v>36</v>
          </cell>
          <cell r="AU17">
            <v>7</v>
          </cell>
          <cell r="AV17">
            <v>0</v>
          </cell>
          <cell r="AW17">
            <v>3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10</v>
          </cell>
          <cell r="BH17">
            <v>61</v>
          </cell>
          <cell r="BI17">
            <v>84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</row>
        <row r="18">
          <cell r="A18">
            <v>15</v>
          </cell>
          <cell r="B18" t="str">
            <v>P.S.E. ASOCIADO  A  LA  C.H.  HUALLAPE</v>
          </cell>
          <cell r="C18" t="str">
            <v>L.P. TRONCAL HUALLAPE 22.9kV TRIFASICO</v>
          </cell>
          <cell r="D18" t="str">
            <v>HUALLAPE</v>
          </cell>
          <cell r="E18" t="str">
            <v>SANTA ROSA</v>
          </cell>
          <cell r="F18" t="str">
            <v>JAEN</v>
          </cell>
          <cell r="G18" t="str">
            <v>CAJAMARCA</v>
          </cell>
          <cell r="J18">
            <v>38</v>
          </cell>
          <cell r="K18">
            <v>38</v>
          </cell>
          <cell r="L18">
            <v>38</v>
          </cell>
          <cell r="V18">
            <v>6.4194699999999996</v>
          </cell>
          <cell r="W18">
            <v>20.22</v>
          </cell>
          <cell r="AB18">
            <v>31</v>
          </cell>
          <cell r="AD18">
            <v>1</v>
          </cell>
          <cell r="AH18">
            <v>2</v>
          </cell>
          <cell r="AJ18">
            <v>1</v>
          </cell>
          <cell r="AK18">
            <v>1</v>
          </cell>
          <cell r="AM18">
            <v>1</v>
          </cell>
          <cell r="AO18">
            <v>1</v>
          </cell>
          <cell r="BG18">
            <v>3</v>
          </cell>
          <cell r="BH18">
            <v>35</v>
          </cell>
          <cell r="BI18">
            <v>10</v>
          </cell>
          <cell r="BQ18">
            <v>0</v>
          </cell>
          <cell r="BR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AS"/>
      <sheetName val="PRESUPUESTO"/>
      <sheetName val="Hoja1"/>
      <sheetName val="Hoja2"/>
      <sheetName val="Hoja3"/>
      <sheetName val="DATOS"/>
      <sheetName val="Hoja4"/>
      <sheetName val="FORMULA"/>
      <sheetName val="CALENDARIO"/>
      <sheetName val="REV3"/>
      <sheetName val="CAP-120mm2"/>
      <sheetName val="INGRESO"/>
      <sheetName val="RES"/>
      <sheetName val="CENSO93"/>
      <sheetName val="FORMA-SE2"/>
      <sheetName val="Datos de Entrada"/>
      <sheetName val="1.2.1 RENDIMIENTO"/>
      <sheetName val="Plani"/>
      <sheetName val="Datos de la localidad"/>
      <sheetName val="Analisis de la T.C. - 2.2"/>
      <sheetName val="#¡REF"/>
      <sheetName val="QURR"/>
      <sheetName val="PLANILLA GENERAL"/>
      <sheetName val="LOCALIDADES"/>
      <sheetName val="Datos de la lkcalidad"/>
      <sheetName val="#¡RED"/>
      <sheetName val="CALCULO"/>
      <sheetName val="DATA"/>
      <sheetName val="PLANILLA LP 22.9 kV"/>
      <sheetName val="Hoja79"/>
      <sheetName val="Resumen-RS"/>
      <sheetName val="CC"/>
      <sheetName val="3. Manpower"/>
      <sheetName val="DATOS DE CAMPO"/>
      <sheetName val="FlujoTJ"/>
      <sheetName val="EVAL"/>
      <sheetName val="P-A-D"/>
      <sheetName val="C-WATT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Matriz"/>
      <sheetName val="Tipo de Cambio"/>
      <sheetName val="1_2_1_RENDIMIENTO"/>
      <sheetName val="Datos_de_Entrada"/>
      <sheetName val="Datos_de_la_localidad"/>
      <sheetName val="Analisis_de_la_T_C__-_2_2"/>
      <sheetName val="PLANILLA_GENERAL"/>
      <sheetName val="Datos_de_la_lkcalidad"/>
      <sheetName val="PLANILLA_LP_22_9_kV"/>
      <sheetName val="3__Manpower"/>
      <sheetName val="DATOS_DE_CAMPO"/>
      <sheetName val="DATOS TECNICOS SE SANTUARIO"/>
      <sheetName val="PROC MANT LT 1"/>
      <sheetName val="YTD Comments"/>
      <sheetName val="fp"/>
      <sheetName val="BasE"/>
      <sheetName val="Tipo_de_Cambio"/>
      <sheetName val="1_2_1_RENDIMIENTO1"/>
      <sheetName val="Datos_de_Entrada1"/>
      <sheetName val="Datos_de_la_localidad1"/>
      <sheetName val="Analisis_de_la_T_C__-_2_21"/>
      <sheetName val="PLANILLA_GENERAL1"/>
      <sheetName val="Datos_de_la_lkcalidad1"/>
      <sheetName val="PLANILLA_LP_22_9_kV1"/>
      <sheetName val="3__Manpower1"/>
      <sheetName val="DATOS_DE_CAMPO1"/>
      <sheetName val="Tipo_de_Cambio1"/>
      <sheetName val="ARRS"/>
      <sheetName val="OBRAS CIVILES"/>
      <sheetName val="Curva S diaria"/>
      <sheetName val="HIDRANDINA"/>
      <sheetName val="FORMA-LS3"/>
      <sheetName val="FORMA-LS1-LS2"/>
      <sheetName val="FORMA- RE1"/>
      <sheetName val="FORMA-RL1"/>
      <sheetName val="FORMA-ST1"/>
      <sheetName val="UNITARIOS-RP"/>
      <sheetName val="DATOS_TECNICOS_SE_SANTUARIO"/>
      <sheetName val="PROC_MANT_LT_1"/>
      <sheetName val="CuadroIyII"/>
      <sheetName val="Costos Alt2"/>
      <sheetName val="AnexoVI"/>
      <sheetName val="Precios Estruc."/>
      <sheetName val="TipoDocs"/>
      <sheetName val="Dptos"/>
      <sheetName val="TipoGastos"/>
      <sheetName val="Obras"/>
      <sheetName val="ptRP"/>
      <sheetName val="ret"/>
      <sheetName val="MATERIALES"/>
      <sheetName val="M d O"/>
      <sheetName val="TABLA PROVEEDORES"/>
      <sheetName val="RP_JIMBE2"/>
      <sheetName val="Proyecciones"/>
      <sheetName val="Tapa 29"/>
      <sheetName val="B_DATOS"/>
      <sheetName val="BT_DATOS"/>
      <sheetName val="RESUMEN"/>
      <sheetName val="MONTAJE R.S."/>
      <sheetName val="SUM_MON"/>
      <sheetName val="1"/>
      <sheetName val="APU-RS"/>
      <sheetName val="BD-MONTAJE_TRANSPORTE"/>
      <sheetName val="Datos Entrada"/>
      <sheetName val="INGRESO DE DATOS POR LOCALIDAD"/>
      <sheetName val="METRADO-TEMPORAL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3"/>
      <sheetName val="DT Palcaz"/>
      <sheetName val="ESTATUS"/>
      <sheetName val="Base Ret. y Pt."/>
      <sheetName val="U.A."/>
      <sheetName val="Detalle"/>
      <sheetName val="Desmonteras"/>
      <sheetName val="F-110"/>
      <sheetName val="PLAN RS"/>
      <sheetName val="BLP"/>
      <sheetName val="BRP"/>
      <sheetName val="BRS"/>
      <sheetName val="ACTA Pactacion Precios"/>
      <sheetName val="Comparacion de Precios"/>
      <sheetName val="MONTAJE"/>
      <sheetName val="GASTOS GENERALES"/>
      <sheetName val="Datos_de_Entrada2"/>
      <sheetName val="1_2_1_RENDIMIENTO2"/>
      <sheetName val="Datos_de_la_localidad2"/>
      <sheetName val="Analisis_de_la_T_C__-_2_22"/>
      <sheetName val="PLANILLA_GENERAL2"/>
      <sheetName val="Datos_de_la_lkcalidad2"/>
      <sheetName val="PLANILLA_LP_22_9_kV2"/>
      <sheetName val="TABLA_PROVEEDORES"/>
      <sheetName val="3__Manpower2"/>
      <sheetName val="DATOS_DE_CAMPO2"/>
      <sheetName val="Tipo_de_Cambio2"/>
      <sheetName val="YTD_Comments"/>
      <sheetName val="OBRAS_CIVILES"/>
      <sheetName val="FORMA-_RE1"/>
      <sheetName val="Curva_S_diaria"/>
      <sheetName val="Liquidación"/>
      <sheetName val="PPTO HUANCAYO CENTRO TDD"/>
      <sheetName val="DESMONTAJE CASAGRANDE"/>
      <sheetName val="PESOS"/>
      <sheetName val="LIMA-CANTA"/>
      <sheetName val="JORNADAS TRABAJO"/>
      <sheetName val="INC"/>
      <sheetName val="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Leyenda"/>
      <sheetName val="APU cn torca"/>
      <sheetName val="Esquema UTE (2)"/>
      <sheetName val="Tablas"/>
      <sheetName val="Flota"/>
      <sheetName val="Wind Loads"/>
      <sheetName val="B-DAT.1"/>
      <sheetName val="Resumen General"/>
      <sheetName val="B-DAT."/>
      <sheetName val="PANILLA"/>
      <sheetName val="IMPRESION"/>
      <sheetName val="C"/>
      <sheetName val="REP"/>
      <sheetName val="2-3 DUEÑ"/>
      <sheetName val="I"/>
      <sheetName val="F"/>
      <sheetName val="C - C"/>
      <sheetName val="C - I"/>
      <sheetName val="RESUMEN COMUNIDAD"/>
      <sheetName val="DATOS_TECNICOS_SE_SANTUARIO1"/>
      <sheetName val="PROC_MANT_LT_11"/>
      <sheetName val="Tapa_29"/>
      <sheetName val="M_d_O"/>
      <sheetName val="Costos_Alt2"/>
      <sheetName val="Precios_Estruc_"/>
      <sheetName val="MONTAJE_R_S_"/>
      <sheetName val="Datos_Entrada"/>
      <sheetName val="INGRESO_DE_DATOS_POR_LOCALIDAD"/>
      <sheetName val="DT_Palcaz"/>
      <sheetName val="Base_Ret__y_Pt_"/>
      <sheetName val="U_A_"/>
      <sheetName val="atriz"/>
      <sheetName val="³-A-D"/>
      <sheetName val="I-WATT"/>
      <sheetName val="FinData"/>
      <sheetName val="YTD_Comments1"/>
      <sheetName val="YTD_Comments2"/>
      <sheetName val="S&amp;U OF FUNDS"/>
      <sheetName val="BALANCE"/>
      <sheetName val="DETAL0598"/>
      <sheetName val="SUM. MONT. L.P."/>
      <sheetName val="SUM - MONT.R.P."/>
      <sheetName val="Sumin y M.E. RS"/>
      <sheetName val="APU-POSTES"/>
      <sheetName val="APU-TRANSP"/>
      <sheetName val="Base de Datos APU"/>
      <sheetName val="Metrado Armados"/>
      <sheetName val="P. U. de Sum"/>
      <sheetName val="TrasPost"/>
      <sheetName val="Desp LP"/>
      <sheetName val="Des RP"/>
      <sheetName val="TabMed"/>
      <sheetName val="C.U.SumMat"/>
      <sheetName val="C.U.Mont"/>
      <sheetName val="Aux. Disgregados"/>
      <sheetName val="PLAN_RS"/>
      <sheetName val="Datos_de_Entrada3"/>
      <sheetName val="1_2_1_RENDIMIENTO3"/>
      <sheetName val="Datos_de_la_localidad3"/>
      <sheetName val="Analisis_de_la_T_C__-_2_23"/>
      <sheetName val="PLANILLA_GENERAL3"/>
      <sheetName val="Datos_de_la_lkcalidad3"/>
      <sheetName val="PLANILLA_LP_22_9_kV3"/>
      <sheetName val="TABLA_PROVEEDORES1"/>
      <sheetName val="3__Manpower3"/>
      <sheetName val="DATOS_DE_CAMPO3"/>
      <sheetName val="Tipo_de_Cambio3"/>
      <sheetName val="OBRAS_CIVILES1"/>
      <sheetName val="FORMA-_RE11"/>
      <sheetName val="Curva_S_diaria1"/>
      <sheetName val="PPTO_HUANCAYO_CENTRO_TDD"/>
      <sheetName val="DESMONTAJE_CASAGRANDE"/>
      <sheetName val="GASTOS_GENERALES"/>
      <sheetName val="Resu Como"/>
      <sheetName val="Commodities LB01"/>
      <sheetName val="Curvas Com. LB01"/>
      <sheetName val="REPORTE HH"/>
      <sheetName val="Resu Look"/>
      <sheetName val="Anexo 1 LookAhead-LB01"/>
      <sheetName val="Resu Restricciones"/>
      <sheetName val="Anexo 2 PAC SEM23"/>
      <sheetName val="Anexo 2 PAC SEM24"/>
      <sheetName val="Anexo 2 PAC SEM26"/>
      <sheetName val="Anexo 2 PAC SEM25"/>
      <sheetName val="ESTADÍSTICAS"/>
      <sheetName val="Datos PAC"/>
      <sheetName val="Presupuesto "/>
      <sheetName val="Calendario Valorizado (2)"/>
      <sheetName val="CAOA Valorizado"/>
      <sheetName val="BDATOS"/>
      <sheetName val="10241EQLIST"/>
      <sheetName val="Resumen02"/>
      <sheetName val="PROG"/>
      <sheetName val="RES,MET,ADI1"/>
      <sheetName val="JORNADAS_TRABAJO"/>
      <sheetName val="APU_cn_torca"/>
      <sheetName val="Esquema_UTE_(2)"/>
      <sheetName val="Wind_Loads"/>
      <sheetName val="CAOA_Valorizado"/>
      <sheetName val="Entrega"/>
      <sheetName val="CRONOGRAMA"/>
      <sheetName val="Distrib. de anexos"/>
      <sheetName val="Resu_Como"/>
      <sheetName val="Commodities_LB01"/>
      <sheetName val="Curvas_Com__LB01"/>
      <sheetName val="REPORTE_HH"/>
      <sheetName val="Resu_Look"/>
      <sheetName val="Anexo_1_LookAhead-LB01"/>
      <sheetName val="Resu_Restricciones"/>
      <sheetName val="Anexo_2_PAC_SEM23"/>
      <sheetName val="Anexo_2_PAC_SEM24"/>
      <sheetName val="Anexo_2_PAC_SEM26"/>
      <sheetName val="Anexo_2_PAC_SEM25"/>
      <sheetName val="Datos_PAC"/>
      <sheetName val="Proy RELAVE"/>
      <sheetName val="Control de Facturacion y Pagos"/>
      <sheetName val="Comparativo Valorizaciones"/>
      <sheetName val="BASES"/>
      <sheetName val="batu hijau"/>
      <sheetName val="S&amp;U_OF_FUNDS"/>
      <sheetName val="bd_ll"/>
      <sheetName val="YTD_Comments3"/>
      <sheetName val="DATOS_TECNICOS_SE_SANTUARIO2"/>
      <sheetName val="PROC_MANT_LT_12"/>
      <sheetName val="Tapa_291"/>
      <sheetName val="Precios_Estruc_1"/>
      <sheetName val="Costos_Alt21"/>
      <sheetName val="Base_Ret__y_Pt_1"/>
      <sheetName val="U_A_1"/>
      <sheetName val="M_d_O1"/>
      <sheetName val="MONTAJE_R_S_1"/>
      <sheetName val="Datos_Entrada1"/>
      <sheetName val="INGRESO_DE_DATOS_POR_LOCALIDAD1"/>
      <sheetName val="DT_Palcaz1"/>
      <sheetName val="JORNADAS_TRABAJO1"/>
      <sheetName val="ACTA_Pactacion_Precios"/>
      <sheetName val="Comparacion_de_Precios"/>
      <sheetName val="Resu_Como1"/>
      <sheetName val="Commodities_LB011"/>
      <sheetName val="Curvas_Com__LB011"/>
      <sheetName val="REPORTE_HH1"/>
      <sheetName val="Resu_Look1"/>
      <sheetName val="Anexo_1_LookAhead-LB011"/>
      <sheetName val="Resu_Restricciones1"/>
      <sheetName val="Anexo_2_PAC_SEM231"/>
      <sheetName val="Anexo_2_PAC_SEM241"/>
      <sheetName val="Anexo_2_PAC_SEM261"/>
      <sheetName val="Anexo_2_PAC_SEM251"/>
      <sheetName val="Datos_PAC1"/>
      <sheetName val="B-DAT_1"/>
      <sheetName val="Resumen_General"/>
      <sheetName val="B-DAT_"/>
      <sheetName val="2-3_DUEÑ"/>
      <sheetName val="C_-_C"/>
      <sheetName val="C_-_I"/>
      <sheetName val="RESUMEN_COMUNIDAD"/>
      <sheetName val="1_2_1_RENDIMIENTO4"/>
      <sheetName val="Datos_de_Entrada4"/>
      <sheetName val="Datos_de_la_localidad4"/>
      <sheetName val="Analisis_de_la_T_C__-_2_24"/>
      <sheetName val="PLANILLA_GENERAL4"/>
      <sheetName val="Datos_de_la_lkcalidad4"/>
      <sheetName val="PLANILLA_LP_22_9_kV4"/>
      <sheetName val="3__Manpower4"/>
      <sheetName val="DATOS_DE_CAMPO4"/>
      <sheetName val="Tipo_de_Cambio4"/>
      <sheetName val="YTD_Comments4"/>
      <sheetName val="DATOS_TECNICOS_SE_SANTUARIO3"/>
      <sheetName val="PROC_MANT_LT_13"/>
      <sheetName val="OBRAS_CIVILES2"/>
      <sheetName val="Curva_S_diaria2"/>
      <sheetName val="FORMA-_RE12"/>
      <sheetName val="Costos_Alt22"/>
      <sheetName val="Precios_Estruc_2"/>
      <sheetName val="TABLA_PROVEEDORES2"/>
      <sheetName val="M_d_O2"/>
      <sheetName val="Tapa_292"/>
      <sheetName val="MONTAJE_R_S_2"/>
      <sheetName val="Datos_Entrada2"/>
      <sheetName val="INGRESO_DE_DATOS_POR_LOCALIDAD2"/>
      <sheetName val="DT_Palcaz2"/>
      <sheetName val="Base_Ret__y_Pt_2"/>
      <sheetName val="U_A_2"/>
      <sheetName val="PLAN_RS1"/>
      <sheetName val="ACTA_Pactacion_Precios1"/>
      <sheetName val="Comparacion_de_Precios1"/>
      <sheetName val="GASTOS_GENERALES1"/>
      <sheetName val="JORNADAS_TRABAJO2"/>
      <sheetName val="APU_cn_torca1"/>
      <sheetName val="Esquema_UTE_(2)1"/>
      <sheetName val="Wind_Loads1"/>
      <sheetName val="PPTO_HUANCAYO_CENTRO_TDD1"/>
      <sheetName val="DESMONTAJE_CASAGRANDE1"/>
      <sheetName val="S&amp;U_OF_FUNDS1"/>
      <sheetName val="B-DAT_11"/>
      <sheetName val="Resumen_General1"/>
      <sheetName val="B-DAT_2"/>
      <sheetName val="2-3_DUEÑ1"/>
      <sheetName val="C_-_C1"/>
      <sheetName val="C_-_I1"/>
      <sheetName val="RESUMEN_COMUNIDAD1"/>
      <sheetName val="SUM__MONT__L_P_"/>
      <sheetName val="SUM_-_MONT_R_P_"/>
      <sheetName val="Sumin_y_M_E__RS"/>
      <sheetName val="Base_de_Datos_APU"/>
      <sheetName val="Metrado_Armados"/>
      <sheetName val="P__U__de_Sum"/>
      <sheetName val="Desp_LP"/>
      <sheetName val="Des_RP"/>
      <sheetName val="C_U_SumMat"/>
      <sheetName val="C_U_Mont"/>
      <sheetName val="Aux__Disgregados"/>
      <sheetName val="Resu_Como2"/>
      <sheetName val="Commodities_LB012"/>
      <sheetName val="Curvas_Com__LB012"/>
      <sheetName val="REPORTE_HH2"/>
      <sheetName val="Resu_Look2"/>
      <sheetName val="Anexo_1_LookAhead-LB012"/>
      <sheetName val="Resu_Restricciones2"/>
      <sheetName val="Anexo_2_PAC_SEM232"/>
      <sheetName val="Anexo_2_PAC_SEM242"/>
      <sheetName val="Anexo_2_PAC_SEM262"/>
      <sheetName val="Anexo_2_PAC_SEM252"/>
      <sheetName val="Datos_PAC2"/>
      <sheetName val="INSTR"/>
    </sheetNames>
    <sheetDataSet>
      <sheetData sheetId="0" refreshError="1"/>
      <sheetData sheetId="1" refreshError="1">
        <row r="287">
          <cell r="A287" t="str">
            <v>PT_03</v>
          </cell>
          <cell r="B287">
            <v>0</v>
          </cell>
          <cell r="C287" t="str">
            <v>SI</v>
          </cell>
          <cell r="D287" t="str">
            <v>4.01</v>
          </cell>
          <cell r="E287">
            <v>0</v>
          </cell>
          <cell r="F287" t="str">
            <v xml:space="preserve">Conector de Cu tipo perno partido </v>
          </cell>
          <cell r="G287">
            <v>0</v>
          </cell>
          <cell r="H287">
            <v>0</v>
          </cell>
          <cell r="I287" t="str">
            <v>U</v>
          </cell>
          <cell r="J287">
            <v>12</v>
          </cell>
          <cell r="K287">
            <v>2.4900000000000002</v>
          </cell>
          <cell r="L287">
            <v>29.88</v>
          </cell>
          <cell r="M287">
            <v>0</v>
          </cell>
          <cell r="N287">
            <v>0</v>
          </cell>
          <cell r="O287">
            <v>0</v>
          </cell>
        </row>
        <row r="292">
          <cell r="D292" t="str">
            <v>5.00</v>
          </cell>
          <cell r="E292">
            <v>0</v>
          </cell>
          <cell r="F292" t="str">
            <v>EQUIPOS DE PROTECCION Y SECCIONAMIENTO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A293" t="str">
            <v>PROT_02</v>
          </cell>
          <cell r="B293">
            <v>0</v>
          </cell>
          <cell r="C293" t="str">
            <v>SI</v>
          </cell>
          <cell r="D293" t="str">
            <v>5.01</v>
          </cell>
          <cell r="E293">
            <v>0</v>
          </cell>
          <cell r="F293" t="str">
            <v>Seccionador fusible unipolar Cut-out 36 kV, 100 A, 150kV BIL</v>
          </cell>
          <cell r="G293">
            <v>0</v>
          </cell>
          <cell r="H293">
            <v>0</v>
          </cell>
          <cell r="I293" t="str">
            <v>U</v>
          </cell>
          <cell r="J293">
            <v>11</v>
          </cell>
          <cell r="K293">
            <v>226.24</v>
          </cell>
          <cell r="L293">
            <v>2488.64</v>
          </cell>
          <cell r="M293">
            <v>0</v>
          </cell>
          <cell r="N293">
            <v>0</v>
          </cell>
          <cell r="O293">
            <v>0</v>
          </cell>
        </row>
        <row r="294">
          <cell r="F294" t="str">
            <v>SUB TOTAL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2488.64</v>
          </cell>
          <cell r="N294">
            <v>0</v>
          </cell>
          <cell r="O29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>
        <row r="287">
          <cell r="B287">
            <v>0</v>
          </cell>
        </row>
      </sheetData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/>
      <sheetData sheetId="324">
        <row r="287">
          <cell r="B287">
            <v>0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 refreshError="1"/>
      <sheetData sheetId="339" refreshError="1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>
        <row r="287">
          <cell r="B287">
            <v>0</v>
          </cell>
        </row>
      </sheetData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>
        <row r="287">
          <cell r="B287">
            <v>0</v>
          </cell>
        </row>
      </sheetData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4">
    <pageSetUpPr fitToPage="1"/>
  </sheetPr>
  <dimension ref="A1:AV115"/>
  <sheetViews>
    <sheetView view="pageBreakPreview" topLeftCell="A42" zoomScale="85" zoomScaleSheetLayoutView="85" workbookViewId="0">
      <selection activeCell="F10" sqref="F10"/>
    </sheetView>
  </sheetViews>
  <sheetFormatPr defaultColWidth="11.42578125" defaultRowHeight="15.75"/>
  <cols>
    <col min="1" max="1" width="7.28515625" style="90" bestFit="1" customWidth="1"/>
    <col min="2" max="2" width="11.5703125" style="90" bestFit="1" customWidth="1"/>
    <col min="3" max="3" width="11.5703125" style="48" bestFit="1" customWidth="1"/>
    <col min="4" max="4" width="17.7109375" style="48" customWidth="1"/>
    <col min="5" max="5" width="24.7109375" style="48" customWidth="1"/>
    <col min="6" max="6" width="20.7109375" style="48" customWidth="1"/>
    <col min="7" max="7" width="18.7109375" style="48" bestFit="1" customWidth="1"/>
    <col min="8" max="8" width="18.5703125" style="48" customWidth="1"/>
    <col min="9" max="9" width="13" style="48" bestFit="1" customWidth="1"/>
    <col min="10" max="10" width="14.28515625" style="48" customWidth="1"/>
    <col min="11" max="11" width="11.28515625" style="48" bestFit="1" customWidth="1"/>
    <col min="12" max="12" width="10.7109375" style="48" customWidth="1"/>
    <col min="13" max="18" width="11.42578125" style="48"/>
    <col min="19" max="19" width="13.5703125" style="48" customWidth="1"/>
    <col min="20" max="21" width="11.42578125" style="48"/>
    <col min="22" max="22" width="20" style="48" customWidth="1"/>
    <col min="23" max="23" width="21.42578125" style="48" bestFit="1" customWidth="1"/>
    <col min="24" max="24" width="11.42578125" style="48"/>
    <col min="25" max="25" width="29" style="48" bestFit="1" customWidth="1"/>
    <col min="26" max="26" width="23.7109375" style="48" customWidth="1"/>
    <col min="27" max="27" width="11.42578125" style="48"/>
    <col min="28" max="28" width="16.28515625" style="48" bestFit="1" customWidth="1"/>
    <col min="29" max="45" width="11.42578125" style="48"/>
    <col min="46" max="46" width="11.7109375" style="48" bestFit="1" customWidth="1"/>
    <col min="47" max="16384" width="11.42578125" style="48"/>
  </cols>
  <sheetData>
    <row r="1" spans="1:43" ht="27.75" customHeight="1">
      <c r="A1" s="53"/>
      <c r="B1" s="53"/>
    </row>
    <row r="2" spans="1:43">
      <c r="A2" s="53"/>
      <c r="B2" s="53"/>
      <c r="C2" s="128" t="s">
        <v>37</v>
      </c>
      <c r="D2" s="129"/>
      <c r="E2" s="130"/>
      <c r="F2" s="55">
        <v>1.05</v>
      </c>
    </row>
    <row r="3" spans="1:43">
      <c r="A3" s="56"/>
      <c r="B3" s="56"/>
    </row>
    <row r="4" spans="1:43">
      <c r="A4" s="56"/>
      <c r="B4" s="56"/>
      <c r="I4" s="262" t="s">
        <v>102</v>
      </c>
    </row>
    <row r="5" spans="1:43" ht="16.5" thickBot="1">
      <c r="A5" s="56"/>
      <c r="B5" s="56"/>
      <c r="I5" s="453" t="s">
        <v>7</v>
      </c>
      <c r="J5" s="454"/>
      <c r="K5" s="454"/>
      <c r="L5" s="454"/>
      <c r="M5" s="454"/>
      <c r="N5" s="454"/>
      <c r="O5" s="455"/>
    </row>
    <row r="6" spans="1:43">
      <c r="A6" s="56"/>
      <c r="B6" s="56"/>
      <c r="I6" s="263">
        <v>1</v>
      </c>
      <c r="J6" s="264">
        <v>2</v>
      </c>
      <c r="K6" s="264">
        <v>3</v>
      </c>
      <c r="L6" s="264">
        <v>4</v>
      </c>
      <c r="M6" s="264">
        <v>5</v>
      </c>
      <c r="N6" s="263">
        <v>6</v>
      </c>
      <c r="O6" s="263">
        <v>7</v>
      </c>
      <c r="R6" s="59" t="s">
        <v>21</v>
      </c>
      <c r="S6" s="60"/>
      <c r="T6" s="61"/>
      <c r="U6" s="61"/>
      <c r="V6" s="61"/>
      <c r="W6" s="61"/>
      <c r="X6" s="62"/>
      <c r="Y6" s="63"/>
      <c r="AB6" s="48">
        <v>1</v>
      </c>
      <c r="AC6" s="48">
        <v>2</v>
      </c>
      <c r="AD6" s="48">
        <f>+AC6+1</f>
        <v>3</v>
      </c>
      <c r="AE6" s="48">
        <f t="shared" ref="AE6:AQ6" si="0">+AD6+1</f>
        <v>4</v>
      </c>
      <c r="AF6" s="48">
        <f t="shared" si="0"/>
        <v>5</v>
      </c>
      <c r="AG6" s="48">
        <f t="shared" si="0"/>
        <v>6</v>
      </c>
      <c r="AH6" s="48">
        <f t="shared" si="0"/>
        <v>7</v>
      </c>
      <c r="AI6" s="48">
        <f t="shared" si="0"/>
        <v>8</v>
      </c>
      <c r="AJ6" s="48">
        <f t="shared" si="0"/>
        <v>9</v>
      </c>
      <c r="AK6" s="48">
        <f t="shared" si="0"/>
        <v>10</v>
      </c>
      <c r="AL6" s="48">
        <f t="shared" si="0"/>
        <v>11</v>
      </c>
      <c r="AM6" s="48">
        <f t="shared" si="0"/>
        <v>12</v>
      </c>
      <c r="AN6" s="48">
        <f t="shared" si="0"/>
        <v>13</v>
      </c>
      <c r="AO6" s="48">
        <f t="shared" si="0"/>
        <v>14</v>
      </c>
      <c r="AP6" s="48">
        <f t="shared" si="0"/>
        <v>15</v>
      </c>
      <c r="AQ6" s="48">
        <f t="shared" si="0"/>
        <v>16</v>
      </c>
    </row>
    <row r="7" spans="1:43" ht="47.25">
      <c r="A7" s="56"/>
      <c r="B7" s="56"/>
      <c r="I7" s="28"/>
      <c r="J7" s="29" t="s">
        <v>100</v>
      </c>
      <c r="K7" s="29" t="s">
        <v>98</v>
      </c>
      <c r="L7" s="29" t="s">
        <v>99</v>
      </c>
      <c r="M7" s="29" t="s">
        <v>123</v>
      </c>
      <c r="N7" s="29" t="s">
        <v>101</v>
      </c>
      <c r="O7" s="76" t="s">
        <v>197</v>
      </c>
      <c r="R7" s="451" t="s">
        <v>38</v>
      </c>
      <c r="S7" s="452"/>
      <c r="T7" s="362" t="s">
        <v>41</v>
      </c>
      <c r="U7" s="362" t="s">
        <v>39</v>
      </c>
      <c r="V7" s="362" t="s">
        <v>40</v>
      </c>
      <c r="W7" s="362" t="s">
        <v>42</v>
      </c>
      <c r="X7" s="362" t="s">
        <v>43</v>
      </c>
      <c r="Y7" s="67"/>
      <c r="AC7" s="30" t="s">
        <v>79</v>
      </c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96" t="s">
        <v>262</v>
      </c>
    </row>
    <row r="8" spans="1:43" ht="47.25">
      <c r="A8" s="56"/>
      <c r="B8" s="56"/>
      <c r="I8" s="32" t="s">
        <v>5</v>
      </c>
      <c r="J8" s="33">
        <v>0.7</v>
      </c>
      <c r="K8" s="33">
        <v>2</v>
      </c>
      <c r="L8" s="34">
        <f>+J8*K8*J8</f>
        <v>0.97999999999999987</v>
      </c>
      <c r="M8" s="35">
        <f>0.8*0.3*1.15/2</f>
        <v>0.13799999999999998</v>
      </c>
      <c r="N8" s="36">
        <f>+M8+L8</f>
        <v>1.1179999999999999</v>
      </c>
      <c r="O8" s="36">
        <f>+N8-0.4*0.4*0.15</f>
        <v>1.0939999999999999</v>
      </c>
      <c r="Q8" s="272"/>
      <c r="R8" s="71"/>
      <c r="S8" s="72"/>
      <c r="T8" s="73"/>
      <c r="U8" s="73"/>
      <c r="V8" s="73"/>
      <c r="W8" s="73"/>
      <c r="X8" s="74"/>
      <c r="Y8" s="67"/>
      <c r="AC8" s="75" t="s">
        <v>85</v>
      </c>
      <c r="AD8" s="76" t="s">
        <v>44</v>
      </c>
      <c r="AE8" s="76" t="s">
        <v>45</v>
      </c>
      <c r="AF8" s="76" t="s">
        <v>46</v>
      </c>
      <c r="AG8" s="76" t="s">
        <v>47</v>
      </c>
      <c r="AH8" s="76" t="s">
        <v>38</v>
      </c>
      <c r="AI8" s="76" t="s">
        <v>48</v>
      </c>
      <c r="AJ8" s="76" t="s">
        <v>49</v>
      </c>
      <c r="AK8" s="76" t="s">
        <v>50</v>
      </c>
      <c r="AL8" s="76" t="s">
        <v>51</v>
      </c>
      <c r="AM8" s="76" t="s">
        <v>52</v>
      </c>
      <c r="AN8" s="76" t="s">
        <v>53</v>
      </c>
      <c r="AO8" s="76" t="s">
        <v>54</v>
      </c>
      <c r="AP8" s="76" t="s">
        <v>55</v>
      </c>
      <c r="AQ8" s="96" t="s">
        <v>80</v>
      </c>
    </row>
    <row r="9" spans="1:43" ht="16.5" thickBot="1">
      <c r="A9" s="56"/>
      <c r="B9" s="56"/>
      <c r="I9" s="32" t="s">
        <v>4</v>
      </c>
      <c r="J9" s="33">
        <v>0.7</v>
      </c>
      <c r="K9" s="33">
        <v>2.2000000000000002</v>
      </c>
      <c r="L9" s="34">
        <f>+J9*K9*J9</f>
        <v>1.0779999999999998</v>
      </c>
      <c r="M9" s="35">
        <v>0</v>
      </c>
      <c r="N9" s="36">
        <f>+M9+L9</f>
        <v>1.0779999999999998</v>
      </c>
      <c r="O9" s="36">
        <f>+N9-0.4*0.4*0.15</f>
        <v>1.0539999999999998</v>
      </c>
      <c r="Q9" s="272"/>
      <c r="R9" s="80" t="s">
        <v>56</v>
      </c>
      <c r="S9" s="81">
        <v>1</v>
      </c>
      <c r="T9" s="82">
        <v>2</v>
      </c>
      <c r="U9" s="82">
        <v>3</v>
      </c>
      <c r="V9" s="82">
        <v>4</v>
      </c>
      <c r="W9" s="82">
        <v>5</v>
      </c>
      <c r="X9" s="81">
        <v>6</v>
      </c>
      <c r="Y9" s="67"/>
      <c r="AC9" s="58">
        <v>1</v>
      </c>
      <c r="AD9" s="57">
        <f>1+AC9</f>
        <v>2</v>
      </c>
      <c r="AE9" s="57">
        <f t="shared" ref="AE9:AQ9" si="1">1+AD9</f>
        <v>3</v>
      </c>
      <c r="AF9" s="57">
        <f t="shared" si="1"/>
        <v>4</v>
      </c>
      <c r="AG9" s="57">
        <f t="shared" si="1"/>
        <v>5</v>
      </c>
      <c r="AH9" s="57">
        <f t="shared" si="1"/>
        <v>6</v>
      </c>
      <c r="AI9" s="57">
        <f t="shared" si="1"/>
        <v>7</v>
      </c>
      <c r="AJ9" s="57">
        <f t="shared" si="1"/>
        <v>8</v>
      </c>
      <c r="AK9" s="57">
        <f t="shared" si="1"/>
        <v>9</v>
      </c>
      <c r="AL9" s="57">
        <f t="shared" si="1"/>
        <v>10</v>
      </c>
      <c r="AM9" s="57">
        <f t="shared" si="1"/>
        <v>11</v>
      </c>
      <c r="AN9" s="57">
        <f t="shared" si="1"/>
        <v>12</v>
      </c>
      <c r="AO9" s="57">
        <f t="shared" si="1"/>
        <v>13</v>
      </c>
      <c r="AP9" s="57">
        <f t="shared" si="1"/>
        <v>14</v>
      </c>
      <c r="AQ9" s="97">
        <f t="shared" si="1"/>
        <v>15</v>
      </c>
    </row>
    <row r="10" spans="1:43">
      <c r="A10" s="56"/>
      <c r="B10" s="56"/>
      <c r="Q10" s="85"/>
      <c r="R10" s="80"/>
      <c r="S10" s="32" t="s">
        <v>1</v>
      </c>
      <c r="T10" s="33">
        <v>0.8</v>
      </c>
      <c r="U10" s="33">
        <v>2.8</v>
      </c>
      <c r="V10" s="34">
        <f>+U10*PI()*(T10/2)^2</f>
        <v>1.4074335088082275</v>
      </c>
      <c r="W10" s="86">
        <f>1.7*0.3*0.4</f>
        <v>0.20400000000000001</v>
      </c>
      <c r="X10" s="36">
        <f t="shared" ref="X10:X15" si="2">+W10+V10</f>
        <v>1.6114335088082274</v>
      </c>
      <c r="Y10" s="67"/>
      <c r="AB10" s="395" t="s">
        <v>371</v>
      </c>
      <c r="AC10" s="37" t="s">
        <v>76</v>
      </c>
      <c r="AD10" s="38">
        <v>13</v>
      </c>
      <c r="AE10" s="38">
        <v>200</v>
      </c>
      <c r="AF10" s="38">
        <v>180</v>
      </c>
      <c r="AG10" s="38">
        <f>+AF10+15*AD10</f>
        <v>375</v>
      </c>
      <c r="AH10" s="38" t="s">
        <v>56</v>
      </c>
      <c r="AI10" s="38" t="s">
        <v>78</v>
      </c>
      <c r="AJ10" s="39">
        <v>0.8</v>
      </c>
      <c r="AK10" s="40">
        <f>+AD10/10</f>
        <v>1.3</v>
      </c>
      <c r="AL10" s="41">
        <f>+AG10-(AK10/AD10)*(AG10-AF10)</f>
        <v>355.5</v>
      </c>
      <c r="AM10" s="39">
        <v>0.1</v>
      </c>
      <c r="AN10" s="39">
        <f>+AM10+AK10</f>
        <v>1.4000000000000001</v>
      </c>
      <c r="AO10" s="42">
        <f>+PI()*(AJ10^2)*(AK10+AM10)/4</f>
        <v>0.70371675440411374</v>
      </c>
      <c r="AP10" s="43">
        <f>+(PI()/12000000)*(AK10)*(AL10^2+AG10^2+AL10*AG10)</f>
        <v>0.13624382443767283</v>
      </c>
      <c r="AQ10" s="44">
        <f>+(AO10-AP10)</f>
        <v>0.56747292996644094</v>
      </c>
    </row>
    <row r="11" spans="1:43">
      <c r="A11" s="56"/>
      <c r="B11" s="56"/>
      <c r="E11" s="269" t="s">
        <v>184</v>
      </c>
      <c r="F11" s="270">
        <v>0.05</v>
      </c>
      <c r="I11" s="90"/>
      <c r="J11" s="90"/>
      <c r="K11" s="90"/>
      <c r="L11" s="90"/>
      <c r="M11" s="90"/>
      <c r="N11" s="90"/>
      <c r="Q11" s="85"/>
      <c r="R11" s="80"/>
      <c r="S11" s="32" t="s">
        <v>57</v>
      </c>
      <c r="T11" s="33">
        <v>0.8</v>
      </c>
      <c r="U11" s="33">
        <v>2.8</v>
      </c>
      <c r="V11" s="34">
        <f>+U11*PI()*(T11/2)^2*2</f>
        <v>2.814867017616455</v>
      </c>
      <c r="W11" s="86">
        <f>1.7*0.3*0.4*2</f>
        <v>0.40800000000000003</v>
      </c>
      <c r="X11" s="36">
        <f t="shared" si="2"/>
        <v>3.2228670176164549</v>
      </c>
      <c r="Y11" s="67"/>
      <c r="AB11" s="91" t="s">
        <v>346</v>
      </c>
      <c r="AC11" s="37" t="s">
        <v>77</v>
      </c>
      <c r="AD11" s="38">
        <v>13</v>
      </c>
      <c r="AE11" s="38">
        <v>300</v>
      </c>
      <c r="AF11" s="38">
        <v>180</v>
      </c>
      <c r="AG11" s="38">
        <f>+AF11+15*AD11</f>
        <v>375</v>
      </c>
      <c r="AH11" s="38" t="s">
        <v>56</v>
      </c>
      <c r="AI11" s="38" t="s">
        <v>78</v>
      </c>
      <c r="AJ11" s="39">
        <v>0.8</v>
      </c>
      <c r="AK11" s="40">
        <f>+AD11/10</f>
        <v>1.3</v>
      </c>
      <c r="AL11" s="41">
        <f>+AG11-(AK11/AD11)*(AG11-AF11)</f>
        <v>355.5</v>
      </c>
      <c r="AM11" s="39">
        <v>0.1</v>
      </c>
      <c r="AN11" s="39">
        <f>+AM11+AK11</f>
        <v>1.4000000000000001</v>
      </c>
      <c r="AO11" s="42">
        <f>+PI()*(AJ11^2)*(AK11+AM11)/4</f>
        <v>0.70371675440411374</v>
      </c>
      <c r="AP11" s="43">
        <f>+(PI()/12000000)*(AK11)*(AL11^2+AG11^2+AL11*AG11)</f>
        <v>0.13624382443767283</v>
      </c>
      <c r="AQ11" s="44">
        <f>+(AO11-AP11)</f>
        <v>0.56747292996644094</v>
      </c>
    </row>
    <row r="12" spans="1:43">
      <c r="A12" s="56"/>
      <c r="B12" s="56"/>
      <c r="Q12" s="85"/>
      <c r="R12" s="80"/>
      <c r="S12" s="32" t="s">
        <v>198</v>
      </c>
      <c r="T12" s="33">
        <v>0.8</v>
      </c>
      <c r="U12" s="33">
        <v>2.8</v>
      </c>
      <c r="V12" s="34">
        <f>+U12*PI()*(T12/2)^2*3</f>
        <v>4.2223005264246822</v>
      </c>
      <c r="W12" s="86">
        <f>1.7*0.3*0.4*2+4.2*0.3*0.4</f>
        <v>0.91200000000000003</v>
      </c>
      <c r="X12" s="36">
        <f t="shared" si="2"/>
        <v>5.1343005264246822</v>
      </c>
      <c r="Y12" s="67"/>
      <c r="AB12" s="91"/>
      <c r="AC12" s="37"/>
      <c r="AD12" s="38"/>
      <c r="AE12" s="38"/>
      <c r="AF12" s="38"/>
      <c r="AG12" s="38"/>
      <c r="AH12" s="38"/>
      <c r="AI12" s="38"/>
      <c r="AJ12" s="39"/>
      <c r="AK12" s="40"/>
      <c r="AL12" s="41"/>
      <c r="AM12" s="39"/>
      <c r="AN12" s="39"/>
      <c r="AO12" s="42"/>
      <c r="AP12" s="43"/>
      <c r="AQ12" s="44"/>
    </row>
    <row r="13" spans="1:43">
      <c r="A13" s="56"/>
      <c r="B13" s="56"/>
      <c r="Q13" s="85"/>
      <c r="R13" s="80"/>
      <c r="S13" s="32" t="s">
        <v>58</v>
      </c>
      <c r="T13" s="33">
        <v>0.8</v>
      </c>
      <c r="U13" s="33">
        <v>2.8</v>
      </c>
      <c r="V13" s="34">
        <f>+U13*PI()*(T13/2)^2*2</f>
        <v>2.814867017616455</v>
      </c>
      <c r="W13" s="352">
        <f>1.7*0.3*0.4*2</f>
        <v>0.40800000000000003</v>
      </c>
      <c r="X13" s="36">
        <f t="shared" si="2"/>
        <v>3.2228670176164549</v>
      </c>
      <c r="Y13" s="67"/>
      <c r="AB13" s="91"/>
      <c r="AC13" s="37"/>
      <c r="AD13" s="38"/>
      <c r="AE13" s="38"/>
      <c r="AF13" s="38"/>
      <c r="AG13" s="38"/>
      <c r="AH13" s="38"/>
      <c r="AI13" s="38"/>
      <c r="AJ13" s="39"/>
      <c r="AK13" s="40"/>
      <c r="AL13" s="41"/>
      <c r="AM13" s="39"/>
      <c r="AN13" s="39"/>
      <c r="AO13" s="42"/>
      <c r="AP13" s="43"/>
      <c r="AQ13" s="44"/>
    </row>
    <row r="14" spans="1:43">
      <c r="A14" s="56"/>
      <c r="B14" s="56"/>
      <c r="Q14" s="85"/>
      <c r="R14" s="80"/>
      <c r="S14" s="32" t="s">
        <v>370</v>
      </c>
      <c r="T14" s="33"/>
      <c r="U14" s="33"/>
      <c r="V14" s="34">
        <f>0.4*0.4*0.4</f>
        <v>6.4000000000000015E-2</v>
      </c>
      <c r="W14" s="86"/>
      <c r="X14" s="36">
        <f t="shared" si="2"/>
        <v>6.4000000000000015E-2</v>
      </c>
      <c r="Y14" s="67"/>
      <c r="AB14" s="91"/>
      <c r="AC14" s="37"/>
      <c r="AD14" s="38"/>
      <c r="AE14" s="38"/>
      <c r="AF14" s="38"/>
      <c r="AG14" s="38"/>
      <c r="AH14" s="38"/>
      <c r="AI14" s="38"/>
      <c r="AJ14" s="39"/>
      <c r="AK14" s="40"/>
      <c r="AL14" s="41"/>
      <c r="AM14" s="39"/>
      <c r="AN14" s="39"/>
      <c r="AO14" s="42"/>
      <c r="AP14" s="43"/>
      <c r="AQ14" s="44"/>
    </row>
    <row r="15" spans="1:43">
      <c r="A15" s="56"/>
      <c r="B15" s="56"/>
      <c r="Q15" s="85"/>
      <c r="R15" s="80"/>
      <c r="S15" s="32" t="s">
        <v>233</v>
      </c>
      <c r="T15" s="33"/>
      <c r="U15" s="33"/>
      <c r="V15" s="34">
        <f>0.4*0.4*0.4*2</f>
        <v>0.12800000000000003</v>
      </c>
      <c r="W15" s="86"/>
      <c r="X15" s="36">
        <f t="shared" si="2"/>
        <v>0.12800000000000003</v>
      </c>
      <c r="Y15" s="67"/>
      <c r="AB15" s="91"/>
      <c r="AC15" s="37"/>
      <c r="AD15" s="38"/>
      <c r="AE15" s="38"/>
      <c r="AF15" s="38"/>
      <c r="AG15" s="38"/>
      <c r="AH15" s="38"/>
      <c r="AI15" s="38"/>
      <c r="AJ15" s="39"/>
      <c r="AK15" s="40"/>
      <c r="AL15" s="41"/>
      <c r="AM15" s="39"/>
      <c r="AN15" s="39"/>
      <c r="AO15" s="42"/>
      <c r="AP15" s="43"/>
      <c r="AQ15" s="44"/>
    </row>
    <row r="16" spans="1:43">
      <c r="A16" s="56"/>
      <c r="B16" s="56"/>
      <c r="Q16" s="85"/>
      <c r="R16" s="80"/>
      <c r="S16" s="32"/>
      <c r="T16" s="33"/>
      <c r="U16" s="33"/>
      <c r="V16" s="34"/>
      <c r="W16" s="86"/>
      <c r="X16" s="36">
        <v>0</v>
      </c>
      <c r="Y16" s="67"/>
      <c r="AB16" s="91"/>
      <c r="AC16" s="37"/>
      <c r="AD16" s="38"/>
      <c r="AE16" s="38"/>
      <c r="AF16" s="38"/>
      <c r="AG16" s="38"/>
      <c r="AH16" s="38"/>
      <c r="AI16" s="38"/>
      <c r="AJ16" s="39"/>
      <c r="AK16" s="40"/>
      <c r="AL16" s="41"/>
      <c r="AM16" s="39"/>
      <c r="AN16" s="39"/>
      <c r="AO16" s="42"/>
      <c r="AP16" s="43"/>
      <c r="AQ16" s="44"/>
    </row>
    <row r="17" spans="1:43">
      <c r="A17" s="56"/>
      <c r="B17" s="56"/>
      <c r="Q17" s="85"/>
      <c r="R17" s="80"/>
      <c r="S17" s="32" t="s">
        <v>59</v>
      </c>
      <c r="T17" s="33"/>
      <c r="U17" s="33"/>
      <c r="V17" s="34"/>
      <c r="W17" s="86"/>
      <c r="X17" s="36">
        <v>0</v>
      </c>
      <c r="Y17" s="67"/>
      <c r="AB17" s="91"/>
      <c r="AC17" s="37"/>
      <c r="AD17" s="38"/>
      <c r="AE17" s="38"/>
      <c r="AF17" s="38"/>
      <c r="AG17" s="38"/>
      <c r="AH17" s="38"/>
      <c r="AI17" s="38"/>
      <c r="AJ17" s="39"/>
      <c r="AK17" s="40"/>
      <c r="AL17" s="41"/>
      <c r="AM17" s="39"/>
      <c r="AN17" s="39"/>
      <c r="AO17" s="42"/>
      <c r="AP17" s="43"/>
      <c r="AQ17" s="44"/>
    </row>
    <row r="18" spans="1:43">
      <c r="A18" s="56"/>
      <c r="B18" s="56"/>
      <c r="Q18" s="85"/>
      <c r="R18" s="80"/>
      <c r="S18" s="32">
        <v>0</v>
      </c>
      <c r="T18" s="33"/>
      <c r="U18" s="33"/>
      <c r="V18" s="34">
        <f>+V16*3</f>
        <v>0</v>
      </c>
      <c r="W18" s="34"/>
      <c r="X18" s="92">
        <v>0</v>
      </c>
      <c r="Y18" s="67"/>
      <c r="AB18" s="91"/>
      <c r="AC18" s="37"/>
      <c r="AD18" s="38"/>
      <c r="AE18" s="38"/>
      <c r="AF18" s="38"/>
      <c r="AG18" s="38"/>
      <c r="AH18" s="38"/>
      <c r="AI18" s="38"/>
      <c r="AJ18" s="39"/>
      <c r="AK18" s="39"/>
      <c r="AL18" s="41"/>
      <c r="AM18" s="39"/>
      <c r="AN18" s="39"/>
      <c r="AO18" s="42"/>
      <c r="AP18" s="43"/>
      <c r="AQ18" s="44"/>
    </row>
    <row r="19" spans="1:43" ht="16.5" thickBot="1">
      <c r="A19" s="56"/>
      <c r="B19" s="56"/>
      <c r="Q19" s="85"/>
      <c r="R19" s="93"/>
      <c r="S19" s="394" t="s">
        <v>261</v>
      </c>
      <c r="T19" s="391"/>
      <c r="U19" s="391"/>
      <c r="V19" s="392">
        <v>0</v>
      </c>
      <c r="W19" s="392"/>
      <c r="X19" s="393">
        <v>0</v>
      </c>
      <c r="Y19" s="95"/>
      <c r="AB19" s="91"/>
      <c r="AC19" s="45"/>
      <c r="AD19" s="38"/>
      <c r="AE19" s="38"/>
      <c r="AF19" s="38"/>
      <c r="AG19" s="38"/>
      <c r="AH19" s="38"/>
      <c r="AI19" s="38"/>
      <c r="AJ19" s="39"/>
      <c r="AK19" s="39"/>
      <c r="AL19" s="41"/>
      <c r="AM19" s="39"/>
      <c r="AN19" s="39"/>
      <c r="AO19" s="42"/>
      <c r="AP19" s="43"/>
      <c r="AQ19" s="44"/>
    </row>
    <row r="20" spans="1:43">
      <c r="A20" s="56"/>
      <c r="B20" s="56"/>
      <c r="AB20" s="91"/>
      <c r="AQ20" s="67"/>
    </row>
    <row r="21" spans="1:43">
      <c r="A21" s="56"/>
      <c r="B21" s="56"/>
      <c r="AB21" s="91"/>
      <c r="AQ21" s="67"/>
    </row>
    <row r="22" spans="1:43" ht="16.5" thickBot="1">
      <c r="A22" s="56"/>
      <c r="B22" s="56"/>
      <c r="C22" s="90"/>
      <c r="AB22" s="91"/>
      <c r="AC22" s="30" t="s">
        <v>79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46" t="s">
        <v>146</v>
      </c>
    </row>
    <row r="23" spans="1:43" ht="47.25">
      <c r="A23" s="56"/>
      <c r="B23" s="56"/>
      <c r="C23" s="90"/>
      <c r="I23" s="226" t="s">
        <v>124</v>
      </c>
      <c r="R23" s="256" t="s">
        <v>94</v>
      </c>
      <c r="S23" s="257"/>
      <c r="T23" s="257"/>
      <c r="U23" s="257"/>
      <c r="V23" s="258"/>
      <c r="W23" s="254"/>
      <c r="X23" s="259" t="s">
        <v>189</v>
      </c>
      <c r="Y23" s="260"/>
      <c r="Z23" s="261"/>
      <c r="AB23" s="91"/>
      <c r="AC23" s="75" t="s">
        <v>85</v>
      </c>
      <c r="AD23" s="76" t="s">
        <v>44</v>
      </c>
      <c r="AE23" s="76" t="s">
        <v>45</v>
      </c>
      <c r="AF23" s="76" t="s">
        <v>46</v>
      </c>
      <c r="AG23" s="76" t="s">
        <v>47</v>
      </c>
      <c r="AH23" s="76" t="s">
        <v>38</v>
      </c>
      <c r="AI23" s="76" t="s">
        <v>48</v>
      </c>
      <c r="AJ23" s="76" t="s">
        <v>49</v>
      </c>
      <c r="AK23" s="76" t="s">
        <v>50</v>
      </c>
      <c r="AL23" s="76" t="s">
        <v>51</v>
      </c>
      <c r="AM23" s="76" t="s">
        <v>52</v>
      </c>
      <c r="AN23" s="76" t="s">
        <v>53</v>
      </c>
      <c r="AO23" s="76" t="s">
        <v>54</v>
      </c>
      <c r="AP23" s="76" t="s">
        <v>55</v>
      </c>
      <c r="AQ23" s="96" t="s">
        <v>80</v>
      </c>
    </row>
    <row r="24" spans="1:43">
      <c r="A24" s="56"/>
      <c r="B24" s="56"/>
      <c r="C24" s="90"/>
      <c r="I24" s="122" t="s">
        <v>125</v>
      </c>
      <c r="J24" s="123">
        <v>84</v>
      </c>
      <c r="R24" s="255">
        <v>1</v>
      </c>
      <c r="S24" s="57">
        <v>2</v>
      </c>
      <c r="T24" s="57">
        <v>3</v>
      </c>
      <c r="U24" s="57">
        <v>4</v>
      </c>
      <c r="V24" s="97">
        <v>5</v>
      </c>
      <c r="W24" s="53"/>
      <c r="X24" s="57">
        <v>1</v>
      </c>
      <c r="Y24" s="57">
        <v>2</v>
      </c>
      <c r="Z24" s="57">
        <v>3</v>
      </c>
      <c r="AB24" s="91"/>
      <c r="AC24" s="58">
        <v>1</v>
      </c>
      <c r="AD24" s="57">
        <f>1+AC24</f>
        <v>2</v>
      </c>
      <c r="AE24" s="57">
        <f t="shared" ref="AE24:AQ24" si="3">1+AD24</f>
        <v>3</v>
      </c>
      <c r="AF24" s="57">
        <f t="shared" si="3"/>
        <v>4</v>
      </c>
      <c r="AG24" s="57">
        <f t="shared" si="3"/>
        <v>5</v>
      </c>
      <c r="AH24" s="57">
        <f t="shared" si="3"/>
        <v>6</v>
      </c>
      <c r="AI24" s="57">
        <f t="shared" si="3"/>
        <v>7</v>
      </c>
      <c r="AJ24" s="57">
        <f t="shared" si="3"/>
        <v>8</v>
      </c>
      <c r="AK24" s="57">
        <f t="shared" si="3"/>
        <v>9</v>
      </c>
      <c r="AL24" s="57">
        <f t="shared" si="3"/>
        <v>10</v>
      </c>
      <c r="AM24" s="57">
        <f t="shared" si="3"/>
        <v>11</v>
      </c>
      <c r="AN24" s="57">
        <f t="shared" si="3"/>
        <v>12</v>
      </c>
      <c r="AO24" s="57">
        <f t="shared" si="3"/>
        <v>13</v>
      </c>
      <c r="AP24" s="57">
        <f t="shared" si="3"/>
        <v>14</v>
      </c>
      <c r="AQ24" s="97">
        <f t="shared" si="3"/>
        <v>15</v>
      </c>
    </row>
    <row r="25" spans="1:43" ht="16.5" thickBot="1">
      <c r="A25" s="56"/>
      <c r="B25" s="56"/>
      <c r="C25" s="90"/>
      <c r="I25" s="122" t="s">
        <v>126</v>
      </c>
      <c r="J25" s="123">
        <v>16</v>
      </c>
      <c r="R25" s="64" t="s">
        <v>35</v>
      </c>
      <c r="S25" s="64" t="s">
        <v>26</v>
      </c>
      <c r="T25" s="65" t="s">
        <v>87</v>
      </c>
      <c r="U25" s="65" t="s">
        <v>88</v>
      </c>
      <c r="V25" s="66" t="s">
        <v>89</v>
      </c>
      <c r="W25" s="53"/>
      <c r="X25" s="253" t="s">
        <v>190</v>
      </c>
      <c r="Y25" s="253" t="s">
        <v>191</v>
      </c>
      <c r="Z25" s="253" t="s">
        <v>192</v>
      </c>
      <c r="AB25" s="91"/>
      <c r="AC25" s="37"/>
      <c r="AD25" s="38"/>
      <c r="AE25" s="38"/>
      <c r="AF25" s="38"/>
      <c r="AG25" s="38"/>
      <c r="AH25" s="38"/>
      <c r="AI25" s="38"/>
      <c r="AJ25" s="39"/>
      <c r="AK25" s="40"/>
      <c r="AL25" s="41"/>
      <c r="AM25" s="39"/>
      <c r="AN25" s="39"/>
      <c r="AO25" s="42"/>
      <c r="AP25" s="43"/>
      <c r="AQ25" s="44"/>
    </row>
    <row r="26" spans="1:43" ht="16.5" thickBot="1">
      <c r="A26" s="56"/>
      <c r="B26" s="56"/>
      <c r="C26" s="90"/>
      <c r="I26" s="122" t="s">
        <v>127</v>
      </c>
      <c r="J26" s="123">
        <v>0</v>
      </c>
      <c r="R26" s="68">
        <v>10</v>
      </c>
      <c r="S26" s="68">
        <v>1</v>
      </c>
      <c r="T26" s="69">
        <v>0</v>
      </c>
      <c r="U26" s="69" t="s">
        <v>90</v>
      </c>
      <c r="V26" s="70" t="s">
        <v>91</v>
      </c>
      <c r="W26" s="56"/>
      <c r="X26" s="58">
        <v>7.62</v>
      </c>
      <c r="Y26" s="58" t="s">
        <v>193</v>
      </c>
      <c r="Z26" s="58" t="s">
        <v>196</v>
      </c>
      <c r="AB26" s="91"/>
      <c r="AC26" s="37"/>
      <c r="AD26" s="38"/>
      <c r="AE26" s="38"/>
      <c r="AF26" s="38"/>
      <c r="AG26" s="38"/>
      <c r="AH26" s="38"/>
      <c r="AI26" s="38"/>
      <c r="AJ26" s="39"/>
      <c r="AK26" s="40"/>
      <c r="AL26" s="41"/>
      <c r="AM26" s="39"/>
      <c r="AN26" s="39"/>
      <c r="AO26" s="42"/>
      <c r="AP26" s="43"/>
      <c r="AQ26" s="44"/>
    </row>
    <row r="27" spans="1:43">
      <c r="A27" s="56"/>
      <c r="B27" s="56"/>
      <c r="C27" s="90"/>
      <c r="I27" s="124" t="s">
        <v>128</v>
      </c>
      <c r="J27" s="125">
        <v>90</v>
      </c>
      <c r="R27" s="77">
        <v>20</v>
      </c>
      <c r="S27" s="77">
        <v>2</v>
      </c>
      <c r="T27" s="78">
        <v>0</v>
      </c>
      <c r="U27" s="78" t="s">
        <v>90</v>
      </c>
      <c r="V27" s="79" t="s">
        <v>95</v>
      </c>
      <c r="W27" s="56"/>
      <c r="X27" s="58">
        <v>10</v>
      </c>
      <c r="Y27" s="58" t="s">
        <v>193</v>
      </c>
      <c r="Z27" s="58" t="s">
        <v>196</v>
      </c>
      <c r="AB27" s="91"/>
      <c r="AC27" s="37"/>
      <c r="AD27" s="38"/>
      <c r="AE27" s="38"/>
      <c r="AF27" s="38"/>
      <c r="AG27" s="38"/>
      <c r="AH27" s="38"/>
      <c r="AI27" s="38"/>
      <c r="AJ27" s="39"/>
      <c r="AK27" s="40"/>
      <c r="AL27" s="41"/>
      <c r="AM27" s="39"/>
      <c r="AN27" s="39"/>
      <c r="AO27" s="42"/>
      <c r="AP27" s="43"/>
      <c r="AQ27" s="44"/>
    </row>
    <row r="28" spans="1:43">
      <c r="A28" s="56"/>
      <c r="B28" s="56"/>
      <c r="C28" s="90"/>
      <c r="I28" s="124" t="s">
        <v>129</v>
      </c>
      <c r="J28" s="125">
        <v>10</v>
      </c>
      <c r="R28" s="83">
        <v>21</v>
      </c>
      <c r="S28" s="83">
        <v>2</v>
      </c>
      <c r="T28" s="58">
        <v>1</v>
      </c>
      <c r="U28" s="55" t="s">
        <v>92</v>
      </c>
      <c r="V28" s="84" t="s">
        <v>95</v>
      </c>
      <c r="W28" s="56"/>
      <c r="X28" s="58">
        <v>13.2</v>
      </c>
      <c r="Y28" s="58" t="s">
        <v>194</v>
      </c>
      <c r="Z28" s="58" t="s">
        <v>195</v>
      </c>
      <c r="AB28" s="91"/>
      <c r="AC28" s="37"/>
      <c r="AD28" s="38"/>
      <c r="AE28" s="38"/>
      <c r="AF28" s="38"/>
      <c r="AG28" s="38"/>
      <c r="AH28" s="38"/>
      <c r="AI28" s="38"/>
      <c r="AJ28" s="39"/>
      <c r="AK28" s="40"/>
      <c r="AL28" s="41"/>
      <c r="AM28" s="39"/>
      <c r="AN28" s="39"/>
      <c r="AO28" s="42"/>
      <c r="AP28" s="43"/>
      <c r="AQ28" s="44"/>
    </row>
    <row r="29" spans="1:43" ht="16.5" thickBot="1">
      <c r="A29" s="56"/>
      <c r="B29" s="56"/>
      <c r="C29" s="90"/>
      <c r="I29" s="124" t="s">
        <v>130</v>
      </c>
      <c r="J29" s="125">
        <v>0</v>
      </c>
      <c r="R29" s="87">
        <v>22</v>
      </c>
      <c r="S29" s="87">
        <v>2</v>
      </c>
      <c r="T29" s="88">
        <v>2</v>
      </c>
      <c r="U29" s="88" t="s">
        <v>92</v>
      </c>
      <c r="V29" s="89" t="s">
        <v>95</v>
      </c>
      <c r="W29" s="56"/>
      <c r="X29" s="58">
        <v>22.9</v>
      </c>
      <c r="Y29" s="58" t="s">
        <v>194</v>
      </c>
      <c r="Z29" s="58" t="s">
        <v>195</v>
      </c>
      <c r="AB29" s="91"/>
      <c r="AC29" s="37"/>
      <c r="AD29" s="38"/>
      <c r="AE29" s="38"/>
      <c r="AF29" s="38"/>
      <c r="AG29" s="38"/>
      <c r="AH29" s="38"/>
      <c r="AI29" s="38"/>
      <c r="AJ29" s="39"/>
      <c r="AK29" s="40"/>
      <c r="AL29" s="41"/>
      <c r="AM29" s="39"/>
      <c r="AN29" s="39"/>
      <c r="AO29" s="42"/>
      <c r="AP29" s="43"/>
      <c r="AQ29" s="44"/>
    </row>
    <row r="30" spans="1:43">
      <c r="A30" s="56"/>
      <c r="B30" s="56"/>
      <c r="C30" s="267" t="s">
        <v>203</v>
      </c>
      <c r="D30" s="129"/>
      <c r="E30" s="129"/>
      <c r="F30" s="268" t="b">
        <v>1</v>
      </c>
      <c r="I30" s="54" t="s">
        <v>175</v>
      </c>
      <c r="J30" s="126">
        <v>90</v>
      </c>
      <c r="R30" s="77">
        <v>30</v>
      </c>
      <c r="S30" s="77">
        <v>3</v>
      </c>
      <c r="T30" s="78">
        <v>0</v>
      </c>
      <c r="U30" s="78" t="s">
        <v>93</v>
      </c>
      <c r="V30" s="79" t="s">
        <v>96</v>
      </c>
      <c r="W30" s="56"/>
      <c r="AB30" s="91"/>
      <c r="AC30" s="37"/>
      <c r="AD30" s="38"/>
      <c r="AE30" s="38"/>
      <c r="AF30" s="38"/>
      <c r="AG30" s="38"/>
      <c r="AH30" s="38"/>
      <c r="AI30" s="38"/>
      <c r="AJ30" s="39"/>
      <c r="AK30" s="40"/>
      <c r="AL30" s="41"/>
      <c r="AM30" s="39"/>
      <c r="AN30" s="39"/>
      <c r="AO30" s="42"/>
      <c r="AP30" s="43"/>
      <c r="AQ30" s="44"/>
    </row>
    <row r="31" spans="1:43">
      <c r="A31" s="56"/>
      <c r="B31" s="56"/>
      <c r="C31" s="128" t="s">
        <v>183</v>
      </c>
      <c r="D31" s="129"/>
      <c r="E31" s="129"/>
      <c r="F31" s="271" t="b">
        <v>1</v>
      </c>
      <c r="I31" s="54" t="s">
        <v>176</v>
      </c>
      <c r="J31" s="126">
        <v>10</v>
      </c>
      <c r="R31" s="83">
        <v>31</v>
      </c>
      <c r="S31" s="83">
        <v>3</v>
      </c>
      <c r="T31" s="58">
        <v>1</v>
      </c>
      <c r="U31" s="58" t="s">
        <v>93</v>
      </c>
      <c r="V31" s="84" t="s">
        <v>96</v>
      </c>
      <c r="W31" s="56"/>
      <c r="AB31" s="91"/>
      <c r="AC31" s="37"/>
      <c r="AD31" s="38"/>
      <c r="AE31" s="38"/>
      <c r="AF31" s="38"/>
      <c r="AG31" s="38"/>
      <c r="AH31" s="38"/>
      <c r="AI31" s="38"/>
      <c r="AJ31" s="39"/>
      <c r="AK31" s="40"/>
      <c r="AL31" s="41"/>
      <c r="AM31" s="39"/>
      <c r="AN31" s="39"/>
      <c r="AO31" s="42"/>
      <c r="AP31" s="43"/>
      <c r="AQ31" s="44"/>
    </row>
    <row r="32" spans="1:43" ht="16.5" thickBot="1">
      <c r="A32" s="56"/>
      <c r="B32" s="56"/>
      <c r="I32" s="54" t="s">
        <v>177</v>
      </c>
      <c r="J32" s="126">
        <v>0</v>
      </c>
      <c r="R32" s="87">
        <v>32</v>
      </c>
      <c r="S32" s="87">
        <v>3</v>
      </c>
      <c r="T32" s="88">
        <v>2</v>
      </c>
      <c r="U32" s="88" t="s">
        <v>93</v>
      </c>
      <c r="V32" s="89" t="s">
        <v>96</v>
      </c>
      <c r="W32" s="56"/>
      <c r="AB32" s="91"/>
      <c r="AC32" s="37"/>
      <c r="AD32" s="38"/>
      <c r="AE32" s="38"/>
      <c r="AF32" s="38"/>
      <c r="AG32" s="38"/>
      <c r="AH32" s="38"/>
      <c r="AI32" s="38"/>
      <c r="AJ32" s="39"/>
      <c r="AK32" s="40"/>
      <c r="AL32" s="41"/>
      <c r="AM32" s="39"/>
      <c r="AN32" s="39"/>
      <c r="AO32" s="42"/>
      <c r="AP32" s="43"/>
      <c r="AQ32" s="44"/>
    </row>
    <row r="33" spans="1:43">
      <c r="A33" s="56"/>
      <c r="B33" s="56"/>
      <c r="C33" s="128" t="s">
        <v>204</v>
      </c>
      <c r="D33" s="129"/>
      <c r="E33" s="129"/>
      <c r="F33" s="237" t="s">
        <v>206</v>
      </c>
      <c r="I33" s="122" t="s">
        <v>178</v>
      </c>
      <c r="J33" s="123"/>
      <c r="R33" s="77">
        <v>40</v>
      </c>
      <c r="S33" s="77">
        <v>4</v>
      </c>
      <c r="T33" s="78">
        <v>0</v>
      </c>
      <c r="U33" s="78" t="s">
        <v>90</v>
      </c>
      <c r="V33" s="79" t="s">
        <v>95</v>
      </c>
      <c r="W33" s="56"/>
      <c r="AB33" s="91"/>
      <c r="AC33" s="45"/>
      <c r="AD33" s="38"/>
      <c r="AE33" s="38"/>
      <c r="AF33" s="38"/>
      <c r="AG33" s="38"/>
      <c r="AH33" s="38"/>
      <c r="AI33" s="38"/>
      <c r="AJ33" s="39"/>
      <c r="AK33" s="39"/>
      <c r="AL33" s="41"/>
      <c r="AM33" s="39"/>
      <c r="AN33" s="39"/>
      <c r="AO33" s="47"/>
      <c r="AP33" s="43"/>
      <c r="AQ33" s="44"/>
    </row>
    <row r="34" spans="1:43">
      <c r="A34" s="56"/>
      <c r="B34" s="56"/>
      <c r="I34" s="122" t="s">
        <v>179</v>
      </c>
      <c r="J34" s="123"/>
      <c r="R34" s="83">
        <v>41</v>
      </c>
      <c r="S34" s="83">
        <v>4</v>
      </c>
      <c r="T34" s="58">
        <v>1</v>
      </c>
      <c r="U34" s="55" t="s">
        <v>92</v>
      </c>
      <c r="V34" s="84" t="s">
        <v>95</v>
      </c>
      <c r="W34" s="56"/>
      <c r="AB34" s="91"/>
      <c r="AC34" s="45"/>
      <c r="AD34" s="38"/>
      <c r="AE34" s="38"/>
      <c r="AF34" s="38"/>
      <c r="AG34" s="38"/>
      <c r="AH34" s="38"/>
      <c r="AI34" s="38"/>
      <c r="AJ34" s="39"/>
      <c r="AK34" s="39"/>
      <c r="AL34" s="41"/>
      <c r="AM34" s="39"/>
      <c r="AN34" s="39"/>
      <c r="AO34" s="47"/>
      <c r="AP34" s="43"/>
      <c r="AQ34" s="44"/>
    </row>
    <row r="35" spans="1:43" ht="16.5" thickBot="1">
      <c r="A35" s="56"/>
      <c r="B35" s="56"/>
      <c r="C35" s="57" t="s">
        <v>33</v>
      </c>
      <c r="D35" s="58">
        <v>95</v>
      </c>
      <c r="I35" s="122" t="s">
        <v>180</v>
      </c>
      <c r="J35" s="123"/>
      <c r="R35" s="87">
        <v>42</v>
      </c>
      <c r="S35" s="87">
        <v>4</v>
      </c>
      <c r="T35" s="88">
        <v>2</v>
      </c>
      <c r="U35" s="88" t="s">
        <v>92</v>
      </c>
      <c r="V35" s="89" t="s">
        <v>95</v>
      </c>
      <c r="W35" s="56"/>
      <c r="AB35" s="91"/>
      <c r="AQ35" s="67"/>
    </row>
    <row r="36" spans="1:43">
      <c r="A36" s="56"/>
      <c r="B36" s="56"/>
      <c r="C36" s="57" t="s">
        <v>34</v>
      </c>
      <c r="D36" s="58">
        <v>5</v>
      </c>
      <c r="I36" s="124" t="s">
        <v>131</v>
      </c>
      <c r="J36" s="125"/>
      <c r="R36" s="77">
        <v>50</v>
      </c>
      <c r="S36" s="77">
        <v>5</v>
      </c>
      <c r="T36" s="78">
        <v>0</v>
      </c>
      <c r="U36" s="78" t="s">
        <v>90</v>
      </c>
      <c r="V36" s="79" t="s">
        <v>95</v>
      </c>
      <c r="W36" s="56"/>
      <c r="AB36" s="91"/>
      <c r="AC36" s="30" t="s">
        <v>79</v>
      </c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96" t="s">
        <v>263</v>
      </c>
    </row>
    <row r="37" spans="1:43" ht="47.25">
      <c r="A37" s="56"/>
      <c r="B37" s="56"/>
      <c r="C37" s="57" t="s">
        <v>97</v>
      </c>
      <c r="D37" s="58">
        <f>VLOOKUP(Heaths!$B$7&amp;DATOS!$C37,PORCENTAJE_ROCA,2,FALSE)</f>
        <v>0</v>
      </c>
      <c r="I37" s="124" t="s">
        <v>132</v>
      </c>
      <c r="J37" s="125"/>
      <c r="R37" s="83">
        <v>51</v>
      </c>
      <c r="S37" s="83">
        <v>5</v>
      </c>
      <c r="T37" s="58">
        <v>1</v>
      </c>
      <c r="U37" s="55" t="s">
        <v>92</v>
      </c>
      <c r="V37" s="84" t="s">
        <v>95</v>
      </c>
      <c r="W37" s="56"/>
      <c r="AB37" s="91"/>
      <c r="AC37" s="75" t="s">
        <v>85</v>
      </c>
      <c r="AD37" s="76" t="s">
        <v>44</v>
      </c>
      <c r="AE37" s="76" t="s">
        <v>45</v>
      </c>
      <c r="AF37" s="76" t="s">
        <v>46</v>
      </c>
      <c r="AG37" s="76" t="s">
        <v>47</v>
      </c>
      <c r="AH37" s="76" t="s">
        <v>38</v>
      </c>
      <c r="AI37" s="76" t="s">
        <v>48</v>
      </c>
      <c r="AJ37" s="76" t="s">
        <v>49</v>
      </c>
      <c r="AK37" s="76" t="s">
        <v>50</v>
      </c>
      <c r="AL37" s="76" t="s">
        <v>51</v>
      </c>
      <c r="AM37" s="76" t="s">
        <v>52</v>
      </c>
      <c r="AN37" s="76" t="s">
        <v>53</v>
      </c>
      <c r="AO37" s="76" t="s">
        <v>54</v>
      </c>
      <c r="AP37" s="76" t="s">
        <v>55</v>
      </c>
      <c r="AQ37" s="96" t="s">
        <v>80</v>
      </c>
    </row>
    <row r="38" spans="1:43" ht="16.5" thickBot="1">
      <c r="A38" s="56"/>
      <c r="B38" s="56"/>
      <c r="H38" s="98"/>
      <c r="I38" s="124" t="s">
        <v>133</v>
      </c>
      <c r="J38" s="125"/>
      <c r="R38" s="87">
        <v>52</v>
      </c>
      <c r="S38" s="87">
        <v>5</v>
      </c>
      <c r="T38" s="88">
        <v>2</v>
      </c>
      <c r="U38" s="88" t="s">
        <v>92</v>
      </c>
      <c r="V38" s="89" t="s">
        <v>95</v>
      </c>
      <c r="W38" s="56"/>
      <c r="AB38" s="91"/>
      <c r="AC38" s="58">
        <v>1</v>
      </c>
      <c r="AD38" s="57">
        <f>1+AC38</f>
        <v>2</v>
      </c>
      <c r="AE38" s="57">
        <f t="shared" ref="AE38:AQ38" si="4">1+AD38</f>
        <v>3</v>
      </c>
      <c r="AF38" s="57">
        <f t="shared" si="4"/>
        <v>4</v>
      </c>
      <c r="AG38" s="57">
        <f t="shared" si="4"/>
        <v>5</v>
      </c>
      <c r="AH38" s="57">
        <f t="shared" si="4"/>
        <v>6</v>
      </c>
      <c r="AI38" s="57">
        <f t="shared" si="4"/>
        <v>7</v>
      </c>
      <c r="AJ38" s="57">
        <f t="shared" si="4"/>
        <v>8</v>
      </c>
      <c r="AK38" s="57">
        <f t="shared" si="4"/>
        <v>9</v>
      </c>
      <c r="AL38" s="57">
        <f t="shared" si="4"/>
        <v>10</v>
      </c>
      <c r="AM38" s="57">
        <f t="shared" si="4"/>
        <v>11</v>
      </c>
      <c r="AN38" s="57">
        <f t="shared" si="4"/>
        <v>12</v>
      </c>
      <c r="AO38" s="57">
        <f t="shared" si="4"/>
        <v>13</v>
      </c>
      <c r="AP38" s="57">
        <f t="shared" si="4"/>
        <v>14</v>
      </c>
      <c r="AQ38" s="97">
        <f t="shared" si="4"/>
        <v>15</v>
      </c>
    </row>
    <row r="39" spans="1:43">
      <c r="A39" s="56"/>
      <c r="B39" s="56"/>
      <c r="AB39" s="91" t="s">
        <v>76</v>
      </c>
      <c r="AC39" s="37" t="s">
        <v>76</v>
      </c>
      <c r="AD39" s="38">
        <v>11</v>
      </c>
      <c r="AE39" s="38">
        <v>200</v>
      </c>
      <c r="AF39" s="38">
        <v>150</v>
      </c>
      <c r="AG39" s="38">
        <f>+AF39+15*AD39</f>
        <v>315</v>
      </c>
      <c r="AH39" s="38" t="s">
        <v>56</v>
      </c>
      <c r="AI39" s="38" t="s">
        <v>78</v>
      </c>
      <c r="AJ39" s="39">
        <v>0.8</v>
      </c>
      <c r="AK39" s="40">
        <f>+ROUNDUP(AD39/10+0.6,1)</f>
        <v>1.7</v>
      </c>
      <c r="AL39" s="41">
        <f>+AG39-(AK39/AD39)*(AG39-AF39)</f>
        <v>289.5</v>
      </c>
      <c r="AM39" s="39"/>
      <c r="AN39" s="39">
        <f>+AM39+AK39</f>
        <v>1.7</v>
      </c>
      <c r="AO39" s="42">
        <f>+PI()*(AJ39^2)*(AK39+AM39)/4</f>
        <v>0.85451320177642376</v>
      </c>
      <c r="AP39" s="43">
        <f>+(PI()/12000000)*(AK39)*(AL39^2+AG39^2+AL39*AG39)</f>
        <v>0.12204751701481492</v>
      </c>
      <c r="AQ39" s="44">
        <f>+(AO39-AP39)</f>
        <v>0.73246568476160889</v>
      </c>
    </row>
    <row r="40" spans="1:43">
      <c r="A40" s="56"/>
      <c r="B40" s="56"/>
      <c r="AB40" s="91" t="s">
        <v>77</v>
      </c>
      <c r="AC40" s="37" t="s">
        <v>77</v>
      </c>
      <c r="AD40" s="38">
        <v>11</v>
      </c>
      <c r="AE40" s="38">
        <v>300</v>
      </c>
      <c r="AF40" s="38">
        <v>150</v>
      </c>
      <c r="AG40" s="38">
        <f>+AF40+15*AD40</f>
        <v>315</v>
      </c>
      <c r="AH40" s="38" t="s">
        <v>56</v>
      </c>
      <c r="AI40" s="38" t="s">
        <v>78</v>
      </c>
      <c r="AJ40" s="39">
        <v>0.8</v>
      </c>
      <c r="AK40" s="40">
        <f>+ROUNDUP(AD40/10+0.6,1)</f>
        <v>1.7</v>
      </c>
      <c r="AL40" s="41">
        <f>+AG40-(AK40/AD40)*(AG40-AF40)</f>
        <v>289.5</v>
      </c>
      <c r="AM40" s="39"/>
      <c r="AN40" s="39">
        <f>+AM40+AK40</f>
        <v>1.7</v>
      </c>
      <c r="AO40" s="42">
        <f>+PI()*(AJ40^2)*(AK40+AM40)/4</f>
        <v>0.85451320177642376</v>
      </c>
      <c r="AP40" s="43">
        <f>+(PI()/12000000)*(AK40)*(AL40^2+AG40^2+AL40*AG40)</f>
        <v>0.12204751701481492</v>
      </c>
      <c r="AQ40" s="44">
        <f>+(AO40-AP40)</f>
        <v>0.73246568476160889</v>
      </c>
    </row>
    <row r="41" spans="1:43">
      <c r="A41" s="56"/>
      <c r="B41" s="56"/>
      <c r="AB41" s="91" t="s">
        <v>62</v>
      </c>
      <c r="AC41" s="37" t="s">
        <v>62</v>
      </c>
      <c r="AD41" s="38">
        <v>12</v>
      </c>
      <c r="AE41" s="38">
        <v>200</v>
      </c>
      <c r="AF41" s="38">
        <v>150</v>
      </c>
      <c r="AG41" s="38">
        <f>+AF41+15*AD41</f>
        <v>330</v>
      </c>
      <c r="AH41" s="38" t="s">
        <v>56</v>
      </c>
      <c r="AI41" s="38" t="s">
        <v>78</v>
      </c>
      <c r="AJ41" s="39">
        <v>0.8</v>
      </c>
      <c r="AK41" s="40">
        <f>+ROUNDUP(AD41/10+0.6,1)</f>
        <v>1.8</v>
      </c>
      <c r="AL41" s="41">
        <f>+AG41-(AK41/AD41)*(AG41-AF41)</f>
        <v>303</v>
      </c>
      <c r="AM41" s="39"/>
      <c r="AN41" s="39">
        <f>+AM41+AK41</f>
        <v>1.8</v>
      </c>
      <c r="AO41" s="42">
        <f>+PI()*(AJ41^2)*(AK41+AM41)/4</f>
        <v>0.90477868423386054</v>
      </c>
      <c r="AP41" s="43">
        <f>+(PI()/12000000)*(AK41)*(AL41^2+AG41^2+AL41*AG41)</f>
        <v>0.14170106540126959</v>
      </c>
      <c r="AQ41" s="44">
        <f>+(AO41-AP41)</f>
        <v>0.76307761883259095</v>
      </c>
    </row>
    <row r="42" spans="1:43">
      <c r="A42" s="56"/>
      <c r="B42" s="56"/>
      <c r="AB42" s="91" t="s">
        <v>28</v>
      </c>
      <c r="AC42" s="37" t="s">
        <v>28</v>
      </c>
      <c r="AD42" s="38">
        <v>12</v>
      </c>
      <c r="AE42" s="38">
        <v>300</v>
      </c>
      <c r="AF42" s="38">
        <v>165</v>
      </c>
      <c r="AG42" s="38">
        <f>+AF42+15*AD42</f>
        <v>345</v>
      </c>
      <c r="AH42" s="38" t="s">
        <v>56</v>
      </c>
      <c r="AI42" s="38" t="s">
        <v>78</v>
      </c>
      <c r="AJ42" s="39">
        <v>0.8</v>
      </c>
      <c r="AK42" s="40">
        <f>+ROUNDUP(AD42/10+0.6,1)</f>
        <v>1.8</v>
      </c>
      <c r="AL42" s="41">
        <f>+AG42-(AK42/AD42)*(AG42-AF42)</f>
        <v>318</v>
      </c>
      <c r="AM42" s="39"/>
      <c r="AN42" s="39">
        <f>+AM42+AK42</f>
        <v>1.8</v>
      </c>
      <c r="AO42" s="42">
        <f>+PI()*(AJ42^2)*(AK42+AM42)/4</f>
        <v>0.90477868423386054</v>
      </c>
      <c r="AP42" s="43">
        <f>+(PI()/12000000)*(AK42)*(AL42^2+AG42^2+AL42*AG42)</f>
        <v>0.15544239166807133</v>
      </c>
      <c r="AQ42" s="44">
        <f>+(AO42-AP42)</f>
        <v>0.74933629256578915</v>
      </c>
    </row>
    <row r="43" spans="1:43">
      <c r="A43" s="56"/>
      <c r="B43" s="56"/>
      <c r="AB43" s="91"/>
      <c r="AC43" s="37"/>
      <c r="AD43" s="38"/>
      <c r="AE43" s="38"/>
      <c r="AF43" s="38"/>
      <c r="AG43" s="38"/>
      <c r="AH43" s="38"/>
      <c r="AI43" s="38"/>
      <c r="AJ43" s="39"/>
      <c r="AK43" s="40"/>
      <c r="AL43" s="41"/>
      <c r="AM43" s="39"/>
      <c r="AN43" s="39"/>
      <c r="AO43" s="42"/>
      <c r="AP43" s="43"/>
      <c r="AQ43" s="44"/>
    </row>
    <row r="44" spans="1:43">
      <c r="A44" s="56"/>
      <c r="B44" s="56"/>
      <c r="I44" s="48">
        <v>1</v>
      </c>
      <c r="J44" s="48">
        <v>2</v>
      </c>
      <c r="K44" s="48">
        <v>3</v>
      </c>
      <c r="L44" s="48">
        <v>4</v>
      </c>
      <c r="M44" s="48">
        <v>5</v>
      </c>
      <c r="N44" s="48">
        <v>6</v>
      </c>
      <c r="O44" s="48">
        <v>7</v>
      </c>
      <c r="P44" s="48">
        <v>8</v>
      </c>
      <c r="AB44" s="91"/>
      <c r="AC44" s="37"/>
      <c r="AD44" s="38"/>
      <c r="AE44" s="38"/>
      <c r="AF44" s="38"/>
      <c r="AG44" s="38"/>
      <c r="AH44" s="38"/>
      <c r="AI44" s="38"/>
      <c r="AJ44" s="39"/>
      <c r="AK44" s="40"/>
      <c r="AL44" s="41"/>
      <c r="AM44" s="39"/>
      <c r="AN44" s="39"/>
      <c r="AO44" s="42"/>
      <c r="AP44" s="43"/>
      <c r="AQ44" s="44"/>
    </row>
    <row r="45" spans="1:43">
      <c r="A45" s="56"/>
      <c r="B45" s="56"/>
      <c r="I45" s="326" t="s">
        <v>221</v>
      </c>
      <c r="J45" s="327"/>
      <c r="K45" s="327"/>
      <c r="L45" s="327"/>
      <c r="M45" s="327"/>
      <c r="N45" s="327"/>
      <c r="O45" s="328"/>
      <c r="P45" s="328"/>
      <c r="AB45" s="91"/>
      <c r="AC45" s="37"/>
      <c r="AD45" s="38"/>
      <c r="AE45" s="38"/>
      <c r="AF45" s="38"/>
      <c r="AG45" s="38"/>
      <c r="AH45" s="38"/>
      <c r="AI45" s="38"/>
      <c r="AJ45" s="39"/>
      <c r="AK45" s="40"/>
      <c r="AL45" s="41"/>
      <c r="AM45" s="39"/>
      <c r="AN45" s="39"/>
      <c r="AO45" s="42"/>
      <c r="AP45" s="43"/>
      <c r="AQ45" s="44"/>
    </row>
    <row r="46" spans="1:43">
      <c r="A46" s="56"/>
      <c r="B46" s="56"/>
      <c r="I46" s="329" t="s">
        <v>222</v>
      </c>
      <c r="J46" s="329">
        <v>1.01</v>
      </c>
      <c r="K46" s="329">
        <v>1.04</v>
      </c>
      <c r="L46" s="329">
        <v>1.05</v>
      </c>
      <c r="M46" s="329">
        <v>1.07</v>
      </c>
      <c r="N46" s="329">
        <v>1.08</v>
      </c>
      <c r="O46" s="389" t="s">
        <v>246</v>
      </c>
      <c r="P46" s="389" t="s">
        <v>250</v>
      </c>
      <c r="AB46" s="91"/>
      <c r="AC46" s="37"/>
      <c r="AD46" s="38"/>
      <c r="AE46" s="38"/>
      <c r="AF46" s="38"/>
      <c r="AG46" s="38"/>
      <c r="AH46" s="38"/>
      <c r="AI46" s="38"/>
      <c r="AJ46" s="39"/>
      <c r="AK46" s="40"/>
      <c r="AL46" s="41"/>
      <c r="AM46" s="39"/>
      <c r="AN46" s="39"/>
      <c r="AO46" s="42"/>
      <c r="AP46" s="43"/>
      <c r="AQ46" s="44"/>
    </row>
    <row r="47" spans="1:43">
      <c r="A47" s="56"/>
      <c r="B47" s="56"/>
      <c r="I47" s="363">
        <v>1</v>
      </c>
      <c r="J47" s="364">
        <f>+$K57/$J57</f>
        <v>2.8571428571428571E-2</v>
      </c>
      <c r="K47" s="364">
        <f>+$L57/$J57</f>
        <v>2.8571428571428571E-2</v>
      </c>
      <c r="L47" s="364">
        <f>+$M57/$J57</f>
        <v>2.8571428571428571E-2</v>
      </c>
      <c r="M47" s="364">
        <f>+N57</f>
        <v>1</v>
      </c>
      <c r="N47" s="364">
        <f>+$O57/$J57</f>
        <v>2.8571428571428571E-2</v>
      </c>
      <c r="O47" s="364">
        <f>+$P57/$J57</f>
        <v>2.8571428571428571E-2</v>
      </c>
      <c r="P47" s="397">
        <f>+$Q57/$J57</f>
        <v>2.8571428571428571E-2</v>
      </c>
      <c r="AB47" s="91"/>
      <c r="AC47" s="37"/>
      <c r="AD47" s="38"/>
      <c r="AE47" s="38"/>
      <c r="AF47" s="38"/>
      <c r="AG47" s="38"/>
      <c r="AH47" s="38"/>
      <c r="AI47" s="38"/>
      <c r="AJ47" s="39"/>
      <c r="AK47" s="353"/>
      <c r="AL47" s="41"/>
      <c r="AM47" s="39"/>
      <c r="AN47" s="39"/>
      <c r="AO47" s="47"/>
      <c r="AP47" s="43"/>
      <c r="AQ47" s="44"/>
    </row>
    <row r="48" spans="1:43">
      <c r="A48" s="56"/>
      <c r="B48" s="56"/>
      <c r="I48" s="365">
        <v>2</v>
      </c>
      <c r="J48" s="366"/>
      <c r="K48" s="366"/>
      <c r="L48" s="366"/>
      <c r="M48" s="366"/>
      <c r="N48" s="366"/>
      <c r="O48" s="367"/>
      <c r="P48" s="367"/>
      <c r="AB48" s="91"/>
      <c r="AC48" s="45"/>
      <c r="AD48" s="38"/>
      <c r="AE48" s="38"/>
      <c r="AF48" s="38"/>
      <c r="AG48" s="38"/>
      <c r="AH48" s="38"/>
      <c r="AI48" s="38"/>
      <c r="AJ48" s="39"/>
      <c r="AK48" s="353"/>
      <c r="AL48" s="41"/>
      <c r="AM48" s="39"/>
      <c r="AN48" s="39"/>
      <c r="AO48" s="47"/>
      <c r="AP48" s="43"/>
      <c r="AQ48" s="44"/>
    </row>
    <row r="49" spans="1:48">
      <c r="A49" s="56"/>
      <c r="B49" s="56"/>
      <c r="I49" s="365">
        <v>3</v>
      </c>
      <c r="J49" s="366"/>
      <c r="K49" s="366"/>
      <c r="L49" s="366"/>
      <c r="M49" s="366"/>
      <c r="N49" s="366"/>
      <c r="O49" s="367"/>
      <c r="P49" s="367"/>
      <c r="AB49" s="91"/>
      <c r="AQ49" s="67"/>
    </row>
    <row r="50" spans="1:48">
      <c r="A50" s="56"/>
      <c r="B50" s="56"/>
      <c r="I50" s="365">
        <v>4</v>
      </c>
      <c r="J50" s="366"/>
      <c r="K50" s="366"/>
      <c r="L50" s="366"/>
      <c r="M50" s="366"/>
      <c r="N50" s="366"/>
      <c r="O50" s="367"/>
      <c r="P50" s="367"/>
      <c r="AB50" s="91"/>
      <c r="AC50" s="30" t="s">
        <v>81</v>
      </c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96" t="s">
        <v>263</v>
      </c>
    </row>
    <row r="51" spans="1:48" ht="47.25">
      <c r="A51" s="56"/>
      <c r="B51" s="56"/>
      <c r="I51" s="368">
        <v>5</v>
      </c>
      <c r="J51" s="369"/>
      <c r="K51" s="369"/>
      <c r="L51" s="369"/>
      <c r="M51" s="369"/>
      <c r="N51" s="369"/>
      <c r="O51" s="370"/>
      <c r="P51" s="370"/>
      <c r="AB51" s="91"/>
      <c r="AC51" s="75" t="s">
        <v>86</v>
      </c>
      <c r="AD51" s="76" t="s">
        <v>44</v>
      </c>
      <c r="AE51" s="76" t="s">
        <v>82</v>
      </c>
      <c r="AF51" s="76" t="s">
        <v>46</v>
      </c>
      <c r="AG51" s="76" t="s">
        <v>47</v>
      </c>
      <c r="AH51" s="76" t="s">
        <v>38</v>
      </c>
      <c r="AI51" s="76" t="s">
        <v>48</v>
      </c>
      <c r="AJ51" s="76" t="s">
        <v>49</v>
      </c>
      <c r="AK51" s="76" t="s">
        <v>50</v>
      </c>
      <c r="AL51" s="76" t="s">
        <v>51</v>
      </c>
      <c r="AM51" s="76" t="s">
        <v>52</v>
      </c>
      <c r="AN51" s="76" t="s">
        <v>53</v>
      </c>
      <c r="AO51" s="76" t="s">
        <v>54</v>
      </c>
      <c r="AP51" s="76" t="s">
        <v>55</v>
      </c>
      <c r="AQ51" s="96" t="s">
        <v>80</v>
      </c>
      <c r="AS51" s="76" t="s">
        <v>83</v>
      </c>
      <c r="AT51" s="48" t="s">
        <v>84</v>
      </c>
    </row>
    <row r="52" spans="1:48">
      <c r="A52" s="56"/>
      <c r="B52" s="56"/>
      <c r="I52" s="371">
        <v>6</v>
      </c>
      <c r="J52" s="372"/>
      <c r="K52" s="372"/>
      <c r="L52" s="372"/>
      <c r="M52" s="372"/>
      <c r="N52" s="372"/>
      <c r="O52" s="373"/>
      <c r="P52" s="373"/>
      <c r="AB52" s="91"/>
      <c r="AC52" s="75">
        <v>1</v>
      </c>
      <c r="AD52" s="76">
        <f t="shared" ref="AD52:AQ52" si="5">1+AC52</f>
        <v>2</v>
      </c>
      <c r="AE52" s="76">
        <f t="shared" si="5"/>
        <v>3</v>
      </c>
      <c r="AF52" s="76">
        <f t="shared" si="5"/>
        <v>4</v>
      </c>
      <c r="AG52" s="76">
        <f t="shared" si="5"/>
        <v>5</v>
      </c>
      <c r="AH52" s="76">
        <f t="shared" si="5"/>
        <v>6</v>
      </c>
      <c r="AI52" s="76">
        <f t="shared" si="5"/>
        <v>7</v>
      </c>
      <c r="AJ52" s="76">
        <f t="shared" si="5"/>
        <v>8</v>
      </c>
      <c r="AK52" s="76">
        <f t="shared" si="5"/>
        <v>9</v>
      </c>
      <c r="AL52" s="76">
        <f t="shared" si="5"/>
        <v>10</v>
      </c>
      <c r="AM52" s="76">
        <f t="shared" si="5"/>
        <v>11</v>
      </c>
      <c r="AN52" s="76">
        <f t="shared" si="5"/>
        <v>12</v>
      </c>
      <c r="AO52" s="76">
        <f t="shared" si="5"/>
        <v>13</v>
      </c>
      <c r="AP52" s="76">
        <f t="shared" si="5"/>
        <v>14</v>
      </c>
      <c r="AQ52" s="96">
        <f t="shared" si="5"/>
        <v>15</v>
      </c>
      <c r="AS52" s="76">
        <v>16</v>
      </c>
    </row>
    <row r="53" spans="1:48">
      <c r="A53" s="56"/>
      <c r="B53" s="56"/>
      <c r="AB53" s="91" t="s">
        <v>378</v>
      </c>
      <c r="AC53" s="37" t="s">
        <v>378</v>
      </c>
      <c r="AD53" s="38" t="str">
        <f>LEFT(AB53,2)</f>
        <v>13</v>
      </c>
      <c r="AE53" s="38"/>
      <c r="AF53" s="49">
        <v>140</v>
      </c>
      <c r="AG53" s="49">
        <v>240</v>
      </c>
      <c r="AH53" s="38" t="s">
        <v>56</v>
      </c>
      <c r="AI53" s="38" t="s">
        <v>78</v>
      </c>
      <c r="AJ53" s="39">
        <v>0.8</v>
      </c>
      <c r="AK53" s="40">
        <v>1.7</v>
      </c>
      <c r="AL53" s="50">
        <f>+AF53+(AS53-AF53)/(AD53-1.8288)*(AD53-1.7)</f>
        <v>219.19965584509572</v>
      </c>
      <c r="AM53" s="39">
        <v>0.1</v>
      </c>
      <c r="AN53" s="39">
        <f>+AM53+AK53</f>
        <v>1.8</v>
      </c>
      <c r="AO53" s="42">
        <f>+PI()*(AJ53^2)*(AK53+AM53)/4</f>
        <v>0.90477868423386054</v>
      </c>
      <c r="AP53" s="43">
        <f>+(PI()/12000000)*(AK53)*(AL53^2+AG53^2+AL53*AG53)</f>
        <v>7.0433431584207118E-2</v>
      </c>
      <c r="AQ53" s="44">
        <f>+(AO53-AP53)</f>
        <v>0.83434525264965342</v>
      </c>
      <c r="AS53" s="49">
        <v>218.29691994484364</v>
      </c>
      <c r="AT53" s="52">
        <f>+(AG53-AF53)/(AD53*1000)</f>
        <v>7.6923076923076927E-3</v>
      </c>
      <c r="AV53" s="38">
        <f>0.3048*LEFT(AB53,2)</f>
        <v>3.9624000000000001</v>
      </c>
    </row>
    <row r="54" spans="1:48">
      <c r="A54" s="56"/>
      <c r="B54" s="56"/>
      <c r="J54" s="48">
        <v>1</v>
      </c>
      <c r="K54" s="48">
        <v>2</v>
      </c>
      <c r="L54" s="48">
        <v>3</v>
      </c>
      <c r="M54" s="48">
        <v>4</v>
      </c>
      <c r="N54" s="48">
        <v>5</v>
      </c>
      <c r="O54" s="48">
        <v>6</v>
      </c>
      <c r="P54" s="48">
        <v>7</v>
      </c>
      <c r="Q54" s="48">
        <v>8</v>
      </c>
      <c r="AB54" s="91"/>
      <c r="AC54" s="37"/>
      <c r="AD54" s="38"/>
      <c r="AE54" s="38"/>
      <c r="AF54" s="49"/>
      <c r="AG54" s="49"/>
      <c r="AH54" s="38"/>
      <c r="AI54" s="38"/>
      <c r="AJ54" s="39"/>
      <c r="AK54" s="40"/>
      <c r="AL54" s="50"/>
      <c r="AM54" s="39"/>
      <c r="AN54" s="39"/>
      <c r="AO54" s="42"/>
      <c r="AP54" s="43"/>
      <c r="AQ54" s="44"/>
      <c r="AS54" s="49">
        <v>234.4670621629802</v>
      </c>
      <c r="AT54" s="52" t="e">
        <f>+(AG54-AF54)/(AD54*1000)</f>
        <v>#DIV/0!</v>
      </c>
      <c r="AV54" s="38" t="e">
        <f>0.3048*LEFT(AB54,2)</f>
        <v>#VALUE!</v>
      </c>
    </row>
    <row r="55" spans="1:48" ht="32.25" customHeight="1">
      <c r="A55" s="56"/>
      <c r="B55" s="56"/>
      <c r="C55">
        <v>1</v>
      </c>
      <c r="D55" s="117" t="s">
        <v>257</v>
      </c>
      <c r="E55"/>
      <c r="F55"/>
      <c r="G55"/>
      <c r="I55" s="453" t="s">
        <v>240</v>
      </c>
      <c r="J55" s="454"/>
      <c r="K55" s="454"/>
      <c r="L55" s="454"/>
      <c r="M55" s="454"/>
      <c r="N55" s="454"/>
      <c r="O55" s="454"/>
      <c r="P55" s="454"/>
      <c r="Q55" s="455"/>
      <c r="AB55" s="91"/>
      <c r="AC55" s="37"/>
      <c r="AD55" s="38"/>
      <c r="AE55" s="38"/>
      <c r="AF55" s="49"/>
      <c r="AG55" s="49"/>
      <c r="AH55" s="38"/>
      <c r="AI55" s="38"/>
      <c r="AJ55" s="39"/>
      <c r="AK55" s="40"/>
      <c r="AL55" s="50"/>
      <c r="AM55" s="39"/>
      <c r="AN55" s="39"/>
      <c r="AO55" s="42"/>
      <c r="AP55" s="43"/>
      <c r="AQ55" s="44"/>
      <c r="AS55" s="49">
        <v>231.23303371935287</v>
      </c>
      <c r="AT55" s="52" t="e">
        <f>+(AG55-AF55)/(AD55*1000)</f>
        <v>#DIV/0!</v>
      </c>
      <c r="AV55" s="38" t="e">
        <f>0.3048*LEFT(AB55,2)</f>
        <v>#VALUE!</v>
      </c>
    </row>
    <row r="56" spans="1:48" ht="47.25">
      <c r="A56" s="56"/>
      <c r="B56" s="56"/>
      <c r="C56"/>
      <c r="D56" s="117"/>
      <c r="E56"/>
      <c r="F56"/>
      <c r="G56"/>
      <c r="I56" s="329" t="s">
        <v>222</v>
      </c>
      <c r="J56" s="329" t="s">
        <v>241</v>
      </c>
      <c r="K56" s="329" t="s">
        <v>243</v>
      </c>
      <c r="L56" s="329" t="s">
        <v>248</v>
      </c>
      <c r="M56" s="329" t="s">
        <v>242</v>
      </c>
      <c r="N56" s="329" t="s">
        <v>244</v>
      </c>
      <c r="O56" s="329" t="s">
        <v>245</v>
      </c>
      <c r="P56" s="329" t="s">
        <v>247</v>
      </c>
      <c r="Q56" s="329" t="s">
        <v>249</v>
      </c>
      <c r="AB56" s="91"/>
      <c r="AC56" s="37"/>
      <c r="AD56" s="38"/>
      <c r="AE56" s="38"/>
      <c r="AF56" s="49"/>
      <c r="AG56" s="49"/>
      <c r="AH56" s="38"/>
      <c r="AI56" s="38"/>
      <c r="AJ56" s="39"/>
      <c r="AK56" s="40"/>
      <c r="AL56" s="50"/>
      <c r="AM56" s="39"/>
      <c r="AN56" s="39"/>
      <c r="AO56" s="42"/>
      <c r="AP56" s="43"/>
      <c r="AQ56" s="44"/>
      <c r="AS56" s="49">
        <v>250.63720438111679</v>
      </c>
      <c r="AT56" s="52"/>
    </row>
    <row r="57" spans="1:48">
      <c r="A57" s="56"/>
      <c r="B57" s="56"/>
      <c r="C57"/>
      <c r="D57"/>
      <c r="E57"/>
      <c r="F57"/>
      <c r="G57"/>
      <c r="I57" s="363">
        <v>1</v>
      </c>
      <c r="J57" s="330">
        <v>35</v>
      </c>
      <c r="K57" s="374">
        <v>1</v>
      </c>
      <c r="L57" s="374">
        <v>1</v>
      </c>
      <c r="M57" s="375">
        <v>1</v>
      </c>
      <c r="N57" s="376">
        <v>1</v>
      </c>
      <c r="O57" s="331">
        <v>1</v>
      </c>
      <c r="P57" s="331">
        <v>1</v>
      </c>
      <c r="Q57" s="331">
        <v>1</v>
      </c>
      <c r="AB57" s="91"/>
      <c r="AC57" s="37"/>
      <c r="AD57" s="38"/>
      <c r="AE57" s="38"/>
      <c r="AF57" s="49"/>
      <c r="AG57" s="49"/>
      <c r="AH57" s="38"/>
      <c r="AI57" s="38"/>
      <c r="AJ57" s="39"/>
      <c r="AK57" s="354"/>
      <c r="AL57" s="50"/>
      <c r="AM57" s="39"/>
      <c r="AN57" s="39"/>
      <c r="AO57" s="51"/>
      <c r="AP57" s="43"/>
      <c r="AQ57" s="44"/>
      <c r="AS57" s="49"/>
      <c r="AT57" s="52"/>
    </row>
    <row r="58" spans="1:48">
      <c r="A58" s="56"/>
      <c r="B58" s="56"/>
      <c r="I58" s="365">
        <v>2</v>
      </c>
      <c r="J58" s="377"/>
      <c r="K58" s="378"/>
      <c r="L58" s="378"/>
      <c r="M58" s="378"/>
      <c r="N58" s="379"/>
      <c r="O58" s="380"/>
      <c r="P58" s="380"/>
      <c r="Q58" s="380"/>
      <c r="AB58" s="91"/>
      <c r="AC58" s="37"/>
      <c r="AD58" s="38"/>
      <c r="AE58" s="38"/>
      <c r="AF58" s="49"/>
      <c r="AG58" s="49"/>
      <c r="AH58" s="38"/>
      <c r="AI58" s="38"/>
      <c r="AJ58" s="39"/>
      <c r="AK58" s="354"/>
      <c r="AL58" s="50"/>
      <c r="AM58" s="39"/>
      <c r="AN58" s="39"/>
      <c r="AO58" s="51"/>
      <c r="AP58" s="43"/>
      <c r="AQ58" s="44"/>
      <c r="AS58" s="49"/>
      <c r="AT58" s="52"/>
    </row>
    <row r="59" spans="1:48">
      <c r="A59" s="56"/>
      <c r="B59" s="56"/>
      <c r="I59" s="365">
        <v>3</v>
      </c>
      <c r="J59" s="377"/>
      <c r="K59" s="378"/>
      <c r="L59" s="378"/>
      <c r="M59" s="378"/>
      <c r="N59" s="379"/>
      <c r="O59" s="380"/>
      <c r="P59" s="380"/>
      <c r="Q59" s="380"/>
      <c r="AB59" s="91"/>
      <c r="AC59" s="45"/>
      <c r="AD59" s="38"/>
      <c r="AE59" s="38"/>
      <c r="AF59" s="38"/>
      <c r="AG59" s="38"/>
      <c r="AH59" s="38"/>
      <c r="AI59" s="38"/>
      <c r="AJ59" s="39"/>
      <c r="AK59" s="353"/>
      <c r="AL59" s="41"/>
      <c r="AM59" s="39"/>
      <c r="AN59" s="39"/>
      <c r="AO59" s="47"/>
      <c r="AP59" s="43"/>
      <c r="AQ59" s="44"/>
      <c r="AS59" s="49"/>
      <c r="AT59" s="52"/>
    </row>
    <row r="60" spans="1:48">
      <c r="A60" s="56"/>
      <c r="B60" s="56"/>
      <c r="I60" s="365">
        <v>4</v>
      </c>
      <c r="J60" s="381"/>
      <c r="K60" s="378"/>
      <c r="L60" s="378"/>
      <c r="M60" s="378"/>
      <c r="N60" s="379"/>
      <c r="O60" s="380"/>
      <c r="P60" s="380"/>
      <c r="Q60" s="380"/>
      <c r="AB60" s="91"/>
      <c r="AC60" s="45"/>
      <c r="AD60" s="38"/>
      <c r="AE60" s="38"/>
      <c r="AF60" s="38"/>
      <c r="AG60" s="38"/>
      <c r="AH60" s="38"/>
      <c r="AI60" s="38"/>
      <c r="AJ60" s="39"/>
      <c r="AK60" s="353"/>
      <c r="AL60" s="41"/>
      <c r="AM60" s="39"/>
      <c r="AN60" s="39"/>
      <c r="AO60" s="47"/>
      <c r="AP60" s="43"/>
      <c r="AQ60" s="44"/>
      <c r="AS60" s="49"/>
      <c r="AT60" s="52"/>
    </row>
    <row r="61" spans="1:48" ht="16.5" thickBot="1">
      <c r="A61" s="56"/>
      <c r="B61" s="56"/>
      <c r="I61" s="368">
        <v>5</v>
      </c>
      <c r="J61" s="381"/>
      <c r="K61" s="382"/>
      <c r="L61" s="382"/>
      <c r="M61" s="382"/>
      <c r="N61" s="383"/>
      <c r="O61" s="384"/>
      <c r="P61" s="384"/>
      <c r="Q61" s="384"/>
      <c r="AB61" s="93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5"/>
    </row>
    <row r="62" spans="1:48">
      <c r="A62" s="56"/>
      <c r="B62" s="56"/>
      <c r="I62" s="371">
        <v>6</v>
      </c>
      <c r="J62" s="385"/>
      <c r="K62" s="386"/>
      <c r="L62" s="386"/>
      <c r="M62" s="386"/>
      <c r="N62" s="387"/>
      <c r="O62" s="388"/>
      <c r="P62" s="388"/>
      <c r="Q62" s="388"/>
    </row>
    <row r="63" spans="1:48">
      <c r="A63" s="56"/>
      <c r="B63" s="56"/>
    </row>
    <row r="64" spans="1:48">
      <c r="A64" s="56"/>
      <c r="B64" s="56"/>
    </row>
    <row r="65" spans="1:2">
      <c r="A65" s="56"/>
      <c r="B65" s="56"/>
    </row>
    <row r="66" spans="1:2">
      <c r="A66" s="56"/>
      <c r="B66" s="56"/>
    </row>
    <row r="67" spans="1:2">
      <c r="A67" s="56"/>
      <c r="B67" s="56"/>
    </row>
    <row r="68" spans="1:2">
      <c r="A68" s="56"/>
      <c r="B68" s="56"/>
    </row>
    <row r="76" spans="1:2">
      <c r="A76" s="56"/>
      <c r="B76" s="56"/>
    </row>
    <row r="77" spans="1:2">
      <c r="A77" s="56"/>
      <c r="B77" s="56"/>
    </row>
    <row r="78" spans="1:2">
      <c r="A78" s="56"/>
      <c r="B78" s="56"/>
    </row>
    <row r="79" spans="1:2">
      <c r="A79" s="56"/>
      <c r="B79" s="56"/>
    </row>
    <row r="80" spans="1:2">
      <c r="A80" s="56"/>
      <c r="B80" s="56"/>
    </row>
    <row r="81" spans="1:2">
      <c r="A81" s="56"/>
      <c r="B81" s="56"/>
    </row>
    <row r="82" spans="1:2">
      <c r="A82" s="56"/>
      <c r="B82" s="56"/>
    </row>
    <row r="83" spans="1:2">
      <c r="A83" s="56"/>
      <c r="B83" s="56"/>
    </row>
    <row r="84" spans="1:2">
      <c r="A84" s="56"/>
      <c r="B84" s="56"/>
    </row>
    <row r="85" spans="1:2">
      <c r="A85" s="56"/>
      <c r="B85" s="56"/>
    </row>
    <row r="86" spans="1:2">
      <c r="A86" s="56"/>
      <c r="B86" s="56"/>
    </row>
    <row r="87" spans="1:2">
      <c r="A87" s="56"/>
      <c r="B87" s="56"/>
    </row>
    <row r="88" spans="1:2">
      <c r="A88" s="56"/>
      <c r="B88" s="56"/>
    </row>
    <row r="89" spans="1:2">
      <c r="A89" s="56"/>
      <c r="B89" s="56"/>
    </row>
    <row r="90" spans="1:2">
      <c r="A90" s="56"/>
      <c r="B90" s="56"/>
    </row>
    <row r="91" spans="1:2">
      <c r="A91" s="56"/>
      <c r="B91" s="56"/>
    </row>
    <row r="92" spans="1:2">
      <c r="A92" s="56"/>
      <c r="B92" s="56"/>
    </row>
    <row r="93" spans="1:2">
      <c r="A93" s="56"/>
      <c r="B93" s="56"/>
    </row>
    <row r="94" spans="1:2">
      <c r="A94" s="56"/>
      <c r="B94" s="56"/>
    </row>
    <row r="95" spans="1:2">
      <c r="A95" s="56"/>
      <c r="B95" s="56"/>
    </row>
    <row r="96" spans="1:2">
      <c r="A96" s="56"/>
      <c r="B96" s="56"/>
    </row>
    <row r="97" spans="1:2">
      <c r="A97" s="56"/>
      <c r="B97" s="56"/>
    </row>
    <row r="98" spans="1:2">
      <c r="A98" s="56"/>
      <c r="B98" s="56"/>
    </row>
    <row r="99" spans="1:2">
      <c r="A99" s="56"/>
      <c r="B99" s="56"/>
    </row>
    <row r="100" spans="1:2">
      <c r="A100" s="56"/>
      <c r="B100" s="56"/>
    </row>
    <row r="101" spans="1:2">
      <c r="A101" s="56"/>
      <c r="B101" s="56"/>
    </row>
    <row r="102" spans="1:2">
      <c r="A102" s="56"/>
      <c r="B102" s="56"/>
    </row>
    <row r="103" spans="1:2">
      <c r="A103" s="56"/>
      <c r="B103" s="56"/>
    </row>
    <row r="104" spans="1:2">
      <c r="A104" s="56"/>
      <c r="B104" s="56"/>
    </row>
    <row r="105" spans="1:2">
      <c r="A105" s="56"/>
      <c r="B105" s="56"/>
    </row>
    <row r="106" spans="1:2">
      <c r="A106" s="56"/>
      <c r="B106" s="56"/>
    </row>
    <row r="107" spans="1:2">
      <c r="A107" s="56"/>
      <c r="B107" s="56"/>
    </row>
    <row r="108" spans="1:2">
      <c r="A108" s="56"/>
      <c r="B108" s="56"/>
    </row>
    <row r="109" spans="1:2">
      <c r="A109" s="56"/>
      <c r="B109" s="56"/>
    </row>
    <row r="110" spans="1:2">
      <c r="A110" s="56"/>
      <c r="B110" s="56"/>
    </row>
    <row r="111" spans="1:2">
      <c r="A111" s="56"/>
      <c r="B111" s="56"/>
    </row>
    <row r="112" spans="1:2">
      <c r="A112" s="56"/>
      <c r="B112" s="56"/>
    </row>
    <row r="113" spans="1:2">
      <c r="A113" s="56"/>
      <c r="B113" s="56"/>
    </row>
    <row r="114" spans="1:2">
      <c r="A114" s="56"/>
      <c r="B114" s="56"/>
    </row>
    <row r="115" spans="1:2">
      <c r="A115" s="99"/>
      <c r="B115" s="56"/>
    </row>
  </sheetData>
  <mergeCells count="3">
    <mergeCell ref="R7:S7"/>
    <mergeCell ref="I5:O5"/>
    <mergeCell ref="I55:Q55"/>
  </mergeCells>
  <conditionalFormatting sqref="E11:F11">
    <cfRule type="expression" dxfId="58" priority="3" stopIfTrue="1">
      <formula>$F$31=TRUE</formula>
    </cfRule>
    <cfRule type="expression" dxfId="57" priority="4" stopIfTrue="1">
      <formula>$F$31=FALSE</formula>
    </cfRule>
  </conditionalFormatting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tabColor rgb="FFFFFF00"/>
  </sheetPr>
  <dimension ref="A1:EE187"/>
  <sheetViews>
    <sheetView showGridLines="0" zoomScale="85" zoomScaleNormal="85" zoomScaleSheetLayoutView="1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E11" sqref="E11"/>
    </sheetView>
  </sheetViews>
  <sheetFormatPr defaultColWidth="11.42578125" defaultRowHeight="12.75"/>
  <cols>
    <col min="1" max="1" width="8.28515625" style="115" customWidth="1"/>
    <col min="2" max="2" width="7.140625" style="113" customWidth="1"/>
    <col min="3" max="3" width="6" style="115" customWidth="1"/>
    <col min="4" max="4" width="2.28515625" style="115" customWidth="1"/>
    <col min="5" max="5" width="58.7109375" style="115" customWidth="1"/>
    <col min="6" max="6" width="7.28515625" style="116" customWidth="1"/>
    <col min="7" max="8" width="7.42578125" style="103" customWidth="1"/>
    <col min="9" max="21" width="7.28515625" style="103" customWidth="1"/>
    <col min="22" max="22" width="8.85546875" style="103" customWidth="1"/>
    <col min="23" max="23" width="10" style="103" hidden="1" customWidth="1"/>
    <col min="24" max="24" width="10" style="103" customWidth="1"/>
    <col min="25" max="38" width="10" style="103" hidden="1" customWidth="1"/>
    <col min="39" max="46" width="7.28515625" style="103" hidden="1" customWidth="1"/>
    <col min="47" max="47" width="7.140625" style="103" hidden="1" customWidth="1"/>
    <col min="48" max="48" width="7.28515625" style="103" hidden="1" customWidth="1"/>
    <col min="49" max="51" width="10" style="103" hidden="1" customWidth="1"/>
    <col min="52" max="52" width="10" style="103" customWidth="1"/>
    <col min="53" max="55" width="10" style="103" hidden="1" customWidth="1"/>
    <col min="56" max="58" width="10" style="103" customWidth="1"/>
    <col min="59" max="59" width="14.28515625" style="103" bestFit="1" customWidth="1"/>
    <col min="60" max="63" width="11.42578125" style="103" customWidth="1"/>
    <col min="64" max="66" width="7.28515625" style="103" customWidth="1"/>
    <col min="67" max="67" width="13.85546875" style="103" bestFit="1" customWidth="1"/>
    <col min="68" max="68" width="13.42578125" style="103" bestFit="1" customWidth="1"/>
    <col min="69" max="70" width="13.85546875" style="103" bestFit="1" customWidth="1"/>
    <col min="71" max="71" width="14.5703125" style="103" bestFit="1" customWidth="1"/>
    <col min="72" max="72" width="14.28515625" style="103" bestFit="1" customWidth="1"/>
    <col min="73" max="74" width="14.5703125" style="103" bestFit="1" customWidth="1"/>
    <col min="75" max="75" width="13.85546875" style="103" bestFit="1" customWidth="1"/>
    <col min="76" max="76" width="13.5703125" style="103" customWidth="1"/>
    <col min="77" max="77" width="13.85546875" style="103" bestFit="1" customWidth="1"/>
    <col min="78" max="78" width="13.85546875" style="103" customWidth="1"/>
    <col min="79" max="79" width="13.85546875" style="103" bestFit="1" customWidth="1"/>
    <col min="80" max="80" width="13.5703125" style="103" customWidth="1"/>
    <col min="81" max="81" width="13.85546875" style="103" bestFit="1" customWidth="1"/>
    <col min="82" max="82" width="13.85546875" style="103" customWidth="1"/>
    <col min="83" max="83" width="17.28515625" style="103" bestFit="1" customWidth="1"/>
    <col min="84" max="84" width="15.42578125" style="103" hidden="1" customWidth="1"/>
    <col min="85" max="88" width="20" style="103" hidden="1" customWidth="1"/>
    <col min="89" max="89" width="17.7109375" style="103" hidden="1" customWidth="1"/>
    <col min="90" max="90" width="15.85546875" style="103" hidden="1" customWidth="1"/>
    <col min="91" max="91" width="16.7109375" style="103" hidden="1" customWidth="1"/>
    <col min="92" max="92" width="15" style="103" hidden="1" customWidth="1"/>
    <col min="93" max="95" width="13.42578125" style="103" hidden="1" customWidth="1"/>
    <col min="96" max="97" width="4.42578125" style="103" hidden="1" customWidth="1"/>
    <col min="98" max="106" width="8.28515625" style="103" hidden="1" customWidth="1"/>
    <col min="107" max="107" width="4" style="103" hidden="1" customWidth="1"/>
    <col min="108" max="108" width="11.42578125" style="2"/>
    <col min="109" max="116" width="0" style="2" hidden="1" customWidth="1"/>
    <col min="117" max="123" width="11.42578125" style="2"/>
    <col min="124" max="135" width="0" style="2" hidden="1" customWidth="1"/>
    <col min="136" max="16384" width="11.42578125" style="2"/>
  </cols>
  <sheetData>
    <row r="1" spans="1:135" s="103" customFormat="1">
      <c r="A1" s="297" t="s">
        <v>27</v>
      </c>
      <c r="B1" s="299"/>
      <c r="C1" s="300" t="s">
        <v>105</v>
      </c>
      <c r="D1" s="301"/>
      <c r="E1" s="302"/>
      <c r="F1" s="298" t="s">
        <v>36</v>
      </c>
      <c r="G1" s="414" t="s">
        <v>6</v>
      </c>
      <c r="H1" s="415" t="s">
        <v>108</v>
      </c>
      <c r="I1" s="414" t="s">
        <v>25</v>
      </c>
      <c r="J1" s="414" t="s">
        <v>109</v>
      </c>
      <c r="K1" s="414" t="s">
        <v>24</v>
      </c>
      <c r="L1" s="414" t="s">
        <v>64</v>
      </c>
      <c r="M1" s="415" t="s">
        <v>110</v>
      </c>
      <c r="N1" s="415" t="s">
        <v>202</v>
      </c>
      <c r="O1" s="414" t="s">
        <v>385</v>
      </c>
      <c r="P1" s="414" t="s">
        <v>2</v>
      </c>
      <c r="Q1" s="414" t="s">
        <v>111</v>
      </c>
      <c r="R1" s="414" t="s">
        <v>269</v>
      </c>
      <c r="S1" s="414" t="s">
        <v>225</v>
      </c>
      <c r="T1" s="414" t="s">
        <v>293</v>
      </c>
      <c r="U1" s="414" t="s">
        <v>238</v>
      </c>
      <c r="V1" s="402" t="s">
        <v>226</v>
      </c>
      <c r="W1" s="340" t="s">
        <v>227</v>
      </c>
      <c r="X1" s="303" t="s">
        <v>59</v>
      </c>
      <c r="Y1" s="340" t="s">
        <v>112</v>
      </c>
      <c r="Z1" s="346" t="s">
        <v>113</v>
      </c>
      <c r="AA1" s="303" t="s">
        <v>114</v>
      </c>
      <c r="AB1" s="340" t="s">
        <v>115</v>
      </c>
      <c r="AC1" s="357" t="s">
        <v>116</v>
      </c>
      <c r="AD1" s="357" t="s">
        <v>201</v>
      </c>
      <c r="AE1" s="357" t="s">
        <v>217</v>
      </c>
      <c r="AF1" s="357" t="s">
        <v>205</v>
      </c>
      <c r="AG1" s="402" t="s">
        <v>230</v>
      </c>
      <c r="AH1" s="357" t="s">
        <v>229</v>
      </c>
      <c r="AI1" s="357" t="s">
        <v>231</v>
      </c>
      <c r="AJ1" s="357" t="s">
        <v>117</v>
      </c>
      <c r="AK1" s="357" t="s">
        <v>294</v>
      </c>
      <c r="AL1" s="358" t="s">
        <v>118</v>
      </c>
      <c r="AM1" s="303" t="s">
        <v>232</v>
      </c>
      <c r="AN1" s="303" t="s">
        <v>119</v>
      </c>
      <c r="AO1" s="303" t="s">
        <v>228</v>
      </c>
      <c r="AP1" s="303" t="s">
        <v>200</v>
      </c>
      <c r="AQ1" s="303" t="s">
        <v>295</v>
      </c>
      <c r="AR1" s="303" t="s">
        <v>296</v>
      </c>
      <c r="AS1" s="303" t="s">
        <v>120</v>
      </c>
      <c r="AT1" s="303" t="s">
        <v>297</v>
      </c>
      <c r="AU1" s="303" t="s">
        <v>298</v>
      </c>
      <c r="AV1" s="303" t="s">
        <v>299</v>
      </c>
      <c r="AW1" s="303" t="s">
        <v>300</v>
      </c>
      <c r="AX1" s="303" t="s">
        <v>301</v>
      </c>
      <c r="AY1" s="340" t="s">
        <v>302</v>
      </c>
      <c r="AZ1" s="303" t="s">
        <v>2</v>
      </c>
      <c r="BA1" s="340" t="s">
        <v>303</v>
      </c>
      <c r="BB1" s="341" t="s">
        <v>304</v>
      </c>
      <c r="BC1" s="303" t="s">
        <v>305</v>
      </c>
      <c r="BD1" s="416" t="s">
        <v>306</v>
      </c>
      <c r="BE1" s="416" t="s">
        <v>307</v>
      </c>
      <c r="BF1" s="416" t="s">
        <v>308</v>
      </c>
      <c r="BG1" s="416" t="s">
        <v>309</v>
      </c>
      <c r="BH1" s="416" t="s">
        <v>310</v>
      </c>
      <c r="BI1" s="416" t="s">
        <v>311</v>
      </c>
      <c r="BJ1" s="416" t="s">
        <v>312</v>
      </c>
      <c r="BK1" s="416" t="s">
        <v>313</v>
      </c>
      <c r="BL1" s="416" t="s">
        <v>314</v>
      </c>
      <c r="BM1" s="416" t="s">
        <v>315</v>
      </c>
      <c r="BN1" s="416"/>
      <c r="BO1" s="416" t="s">
        <v>316</v>
      </c>
      <c r="BP1" s="416" t="s">
        <v>317</v>
      </c>
      <c r="BQ1" s="416" t="s">
        <v>318</v>
      </c>
      <c r="BR1" s="416" t="s">
        <v>319</v>
      </c>
      <c r="BS1" s="416" t="s">
        <v>383</v>
      </c>
      <c r="BT1" s="416" t="s">
        <v>320</v>
      </c>
      <c r="BU1" s="416" t="s">
        <v>379</v>
      </c>
      <c r="BV1" s="416" t="s">
        <v>321</v>
      </c>
      <c r="BW1" s="416" t="s">
        <v>322</v>
      </c>
      <c r="BX1" s="416" t="s">
        <v>323</v>
      </c>
      <c r="BY1" s="416" t="s">
        <v>324</v>
      </c>
      <c r="BZ1" s="416" t="s">
        <v>325</v>
      </c>
      <c r="CA1" s="416" t="s">
        <v>326</v>
      </c>
      <c r="CB1" s="416" t="s">
        <v>327</v>
      </c>
      <c r="CC1" s="416" t="s">
        <v>328</v>
      </c>
      <c r="CD1" s="416" t="s">
        <v>329</v>
      </c>
      <c r="CE1" s="303" t="s">
        <v>384</v>
      </c>
      <c r="CF1" s="303" t="s">
        <v>330</v>
      </c>
      <c r="CG1" s="340" t="s">
        <v>331</v>
      </c>
      <c r="CH1" s="340" t="s">
        <v>332</v>
      </c>
      <c r="CI1" s="303" t="s">
        <v>333</v>
      </c>
      <c r="CJ1" s="303" t="s">
        <v>334</v>
      </c>
      <c r="CK1" s="303" t="s">
        <v>335</v>
      </c>
      <c r="CL1" s="303" t="s">
        <v>336</v>
      </c>
      <c r="CM1" s="303" t="s">
        <v>337</v>
      </c>
      <c r="CN1" s="303" t="s">
        <v>338</v>
      </c>
      <c r="CO1" s="303" t="s">
        <v>339</v>
      </c>
      <c r="CP1" s="303" t="s">
        <v>76</v>
      </c>
      <c r="CQ1" s="340" t="s">
        <v>77</v>
      </c>
      <c r="CR1" s="314" t="s">
        <v>62</v>
      </c>
      <c r="CS1" s="314" t="s">
        <v>28</v>
      </c>
      <c r="CT1" s="314" t="s">
        <v>340</v>
      </c>
      <c r="CU1" s="314" t="s">
        <v>341</v>
      </c>
      <c r="CV1" s="314" t="s">
        <v>342</v>
      </c>
      <c r="CW1" s="314" t="s">
        <v>343</v>
      </c>
      <c r="CX1" s="314" t="s">
        <v>344</v>
      </c>
      <c r="CY1" s="314" t="s">
        <v>345</v>
      </c>
      <c r="CZ1" s="314" t="s">
        <v>346</v>
      </c>
      <c r="DA1" s="314" t="s">
        <v>347</v>
      </c>
      <c r="DB1" s="314" t="s">
        <v>348</v>
      </c>
      <c r="DC1" s="314" t="s">
        <v>349</v>
      </c>
      <c r="DD1" s="103" t="s">
        <v>350</v>
      </c>
      <c r="DE1" s="103" t="s">
        <v>351</v>
      </c>
      <c r="DF1" s="103" t="s">
        <v>0</v>
      </c>
      <c r="DG1" s="103" t="s">
        <v>352</v>
      </c>
      <c r="DH1" s="103" t="s">
        <v>63</v>
      </c>
      <c r="DI1" s="103" t="s">
        <v>376</v>
      </c>
      <c r="DJ1" s="103" t="s">
        <v>358</v>
      </c>
      <c r="DK1" s="103" t="s">
        <v>357</v>
      </c>
      <c r="DL1" s="103">
        <v>0</v>
      </c>
      <c r="DM1" s="103" t="s">
        <v>353</v>
      </c>
      <c r="DN1" s="103" t="s">
        <v>354</v>
      </c>
      <c r="DO1" s="103" t="s">
        <v>355</v>
      </c>
      <c r="DP1" s="103" t="s">
        <v>356</v>
      </c>
      <c r="DQ1" s="103" t="s">
        <v>5</v>
      </c>
      <c r="DR1" s="103" t="s">
        <v>4</v>
      </c>
      <c r="DS1" s="103" t="s">
        <v>234</v>
      </c>
      <c r="DT1" s="103" t="s">
        <v>358</v>
      </c>
      <c r="DU1" s="103" t="s">
        <v>359</v>
      </c>
      <c r="DV1" s="103" t="s">
        <v>360</v>
      </c>
      <c r="DW1" s="103" t="s">
        <v>361</v>
      </c>
      <c r="DX1" s="103" t="s">
        <v>362</v>
      </c>
      <c r="DY1" s="103" t="s">
        <v>363</v>
      </c>
      <c r="DZ1" s="103" t="s">
        <v>364</v>
      </c>
      <c r="EA1" s="103" t="s">
        <v>365</v>
      </c>
      <c r="EB1" s="103" t="s">
        <v>366</v>
      </c>
      <c r="EC1" s="103" t="s">
        <v>367</v>
      </c>
      <c r="ED1" s="103" t="s">
        <v>368</v>
      </c>
      <c r="EE1" s="103" t="s">
        <v>369</v>
      </c>
    </row>
    <row r="2" spans="1:135">
      <c r="A2" s="114"/>
      <c r="B2" s="361">
        <v>2</v>
      </c>
      <c r="C2" s="114"/>
      <c r="D2" s="114"/>
      <c r="E2" s="114"/>
      <c r="F2" s="27"/>
      <c r="G2" s="317"/>
      <c r="H2" s="355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8"/>
      <c r="AW2" s="318"/>
      <c r="AX2" s="318"/>
      <c r="AY2" s="318"/>
      <c r="AZ2" s="318"/>
      <c r="BA2" s="318"/>
      <c r="BB2" s="318"/>
      <c r="BC2" s="318"/>
      <c r="BD2" s="318"/>
      <c r="BE2" s="318"/>
      <c r="BF2" s="318"/>
      <c r="BG2" s="318"/>
      <c r="BH2" s="318"/>
      <c r="BI2" s="318"/>
      <c r="BJ2" s="318"/>
      <c r="BK2" s="318"/>
      <c r="BL2" s="318"/>
      <c r="BM2" s="318"/>
      <c r="BN2" s="318"/>
      <c r="BO2" s="318"/>
      <c r="BP2" s="318"/>
      <c r="BQ2" s="318"/>
      <c r="BR2" s="318"/>
      <c r="BS2" s="318"/>
      <c r="BT2" s="318"/>
      <c r="BU2" s="318"/>
      <c r="BV2" s="318"/>
      <c r="BW2" s="318"/>
      <c r="BX2" s="318"/>
      <c r="BY2" s="318"/>
      <c r="BZ2" s="318"/>
      <c r="CA2" s="318"/>
      <c r="CB2" s="318"/>
      <c r="CC2" s="318"/>
      <c r="CD2" s="318"/>
      <c r="CE2" s="318"/>
      <c r="CF2" s="318"/>
      <c r="CG2" s="318"/>
      <c r="CH2" s="318"/>
      <c r="CI2" s="318"/>
      <c r="CJ2" s="318"/>
      <c r="CK2" s="318"/>
      <c r="CL2" s="318"/>
      <c r="CM2" s="318"/>
      <c r="CN2" s="318"/>
      <c r="CO2" s="318"/>
      <c r="CP2" s="318"/>
      <c r="CQ2" s="318"/>
      <c r="CR2" s="318"/>
      <c r="CS2" s="318"/>
      <c r="CT2" s="318"/>
      <c r="CU2" s="318"/>
      <c r="CV2" s="318"/>
      <c r="CW2" s="318"/>
      <c r="CX2" s="318"/>
      <c r="CY2" s="318"/>
      <c r="CZ2" s="318"/>
      <c r="DA2" s="318"/>
      <c r="DB2" s="318"/>
      <c r="DC2" s="319"/>
    </row>
    <row r="3" spans="1:135">
      <c r="A3" s="412">
        <v>1</v>
      </c>
      <c r="B3" s="410">
        <v>3</v>
      </c>
      <c r="C3" s="408" t="s">
        <v>270</v>
      </c>
      <c r="D3" s="105"/>
      <c r="E3" s="105"/>
      <c r="F3" s="27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5"/>
      <c r="BY3" s="315"/>
      <c r="BZ3" s="315"/>
      <c r="CA3" s="315"/>
      <c r="CB3" s="315"/>
      <c r="CC3" s="315"/>
      <c r="CD3" s="315"/>
      <c r="CE3" s="315"/>
      <c r="CF3" s="315"/>
      <c r="CG3" s="315"/>
      <c r="CH3" s="315"/>
      <c r="CI3" s="315"/>
      <c r="CJ3" s="315"/>
      <c r="CK3" s="315"/>
      <c r="CL3" s="315"/>
      <c r="CM3" s="315"/>
      <c r="CN3" s="315"/>
      <c r="CO3" s="315"/>
      <c r="CP3" s="315"/>
      <c r="CQ3" s="315"/>
      <c r="CR3" s="315"/>
      <c r="CS3" s="315"/>
      <c r="CT3" s="315"/>
      <c r="CU3" s="315"/>
      <c r="CV3" s="315"/>
      <c r="CW3" s="315"/>
      <c r="CX3" s="315"/>
      <c r="CY3" s="315"/>
      <c r="CZ3" s="315"/>
      <c r="DA3" s="315"/>
      <c r="DB3" s="315"/>
      <c r="DC3" s="316"/>
    </row>
    <row r="4" spans="1:135">
      <c r="A4" s="413">
        <v>1.01</v>
      </c>
      <c r="B4" s="411">
        <v>4</v>
      </c>
      <c r="C4" s="409" t="s">
        <v>381</v>
      </c>
      <c r="D4" s="23"/>
      <c r="E4" s="23"/>
      <c r="F4" s="27" t="s">
        <v>17</v>
      </c>
      <c r="G4" s="304"/>
      <c r="H4" s="315"/>
      <c r="I4" s="304"/>
      <c r="J4" s="304"/>
      <c r="K4" s="304"/>
      <c r="L4" s="304"/>
      <c r="M4" s="304"/>
      <c r="N4" s="315"/>
      <c r="O4" s="304"/>
      <c r="P4" s="304"/>
      <c r="Q4" s="304">
        <v>1</v>
      </c>
      <c r="R4" s="304">
        <v>1</v>
      </c>
      <c r="S4" s="304"/>
      <c r="T4" s="304"/>
      <c r="U4" s="304"/>
      <c r="V4" s="304"/>
      <c r="W4" s="304"/>
      <c r="X4" s="304"/>
      <c r="Y4" s="304"/>
      <c r="Z4" s="304"/>
      <c r="AA4" s="304"/>
      <c r="AB4" s="304"/>
      <c r="AC4" s="304"/>
      <c r="AD4" s="304"/>
      <c r="AE4" s="304"/>
      <c r="AF4" s="304"/>
      <c r="AG4" s="304"/>
      <c r="AH4" s="304"/>
      <c r="AI4" s="304"/>
      <c r="AJ4" s="304"/>
      <c r="AK4" s="304"/>
      <c r="AL4" s="304"/>
      <c r="AM4" s="304"/>
      <c r="AN4" s="304"/>
      <c r="AO4" s="304"/>
      <c r="AP4" s="304"/>
      <c r="AQ4" s="304"/>
      <c r="AR4" s="304"/>
      <c r="AS4" s="304"/>
      <c r="AT4" s="304"/>
      <c r="AU4" s="304"/>
      <c r="AV4" s="304"/>
      <c r="AW4" s="304"/>
      <c r="AX4" s="304"/>
      <c r="AY4" s="304"/>
      <c r="AZ4" s="304"/>
      <c r="BA4" s="304"/>
      <c r="BB4" s="304"/>
      <c r="BC4" s="304"/>
      <c r="BD4" s="304"/>
      <c r="BE4" s="304"/>
      <c r="BF4" s="304"/>
      <c r="BG4" s="304"/>
      <c r="BH4" s="304"/>
      <c r="BI4" s="304"/>
      <c r="BJ4" s="304"/>
      <c r="BK4" s="304"/>
      <c r="BL4" s="304"/>
      <c r="BM4" s="304"/>
      <c r="BN4" s="304"/>
      <c r="BO4" s="304"/>
      <c r="BP4" s="304"/>
      <c r="BQ4" s="304"/>
      <c r="BR4" s="304"/>
      <c r="BS4" s="304"/>
      <c r="BT4" s="304"/>
      <c r="BU4" s="304"/>
      <c r="BV4" s="304"/>
      <c r="BW4" s="304"/>
      <c r="BX4" s="304"/>
      <c r="BY4" s="304"/>
      <c r="BZ4" s="304"/>
      <c r="CA4" s="304"/>
      <c r="CB4" s="304"/>
      <c r="CC4" s="304"/>
      <c r="CD4" s="304"/>
      <c r="CE4" s="304"/>
      <c r="CF4" s="304"/>
      <c r="CG4" s="304"/>
      <c r="CH4" s="304"/>
      <c r="CI4" s="304"/>
      <c r="CJ4" s="304"/>
      <c r="CK4" s="304"/>
      <c r="CL4" s="304"/>
      <c r="CM4" s="304"/>
      <c r="CN4" s="304"/>
      <c r="CO4" s="304"/>
      <c r="CP4" s="304"/>
      <c r="CQ4" s="304"/>
      <c r="CR4" s="304"/>
      <c r="CS4" s="304"/>
      <c r="CT4" s="304"/>
      <c r="CU4" s="304"/>
      <c r="CV4" s="304"/>
      <c r="CW4" s="304"/>
      <c r="CX4" s="304"/>
      <c r="CY4" s="304"/>
      <c r="CZ4" s="304"/>
      <c r="DA4" s="304"/>
      <c r="DB4" s="304"/>
      <c r="DC4" s="306"/>
    </row>
    <row r="5" spans="1:135" ht="12.75" customHeight="1">
      <c r="A5" s="413"/>
      <c r="B5" s="410">
        <v>5</v>
      </c>
      <c r="C5" s="409" t="s">
        <v>104</v>
      </c>
      <c r="D5" s="409"/>
      <c r="E5" s="111"/>
      <c r="F5" s="27"/>
      <c r="G5" s="307"/>
      <c r="H5" s="315"/>
      <c r="I5" s="307"/>
      <c r="J5" s="307"/>
      <c r="K5" s="307"/>
      <c r="L5" s="307"/>
      <c r="M5" s="307"/>
      <c r="N5" s="315"/>
      <c r="O5" s="307"/>
      <c r="P5" s="307">
        <v>1</v>
      </c>
      <c r="Q5" s="307"/>
      <c r="R5" s="307"/>
      <c r="S5" s="307"/>
      <c r="T5" s="307"/>
      <c r="U5" s="307"/>
      <c r="V5" s="307"/>
      <c r="W5" s="304"/>
      <c r="X5" s="304"/>
      <c r="Y5" s="304"/>
      <c r="Z5" s="304"/>
      <c r="AA5" s="304"/>
      <c r="AB5" s="304"/>
      <c r="AC5" s="307"/>
      <c r="AD5" s="307"/>
      <c r="AE5" s="307"/>
      <c r="AF5" s="307"/>
      <c r="AG5" s="307"/>
      <c r="AH5" s="307"/>
      <c r="AI5" s="307"/>
      <c r="AJ5" s="307"/>
      <c r="AK5" s="307"/>
      <c r="AL5" s="307"/>
      <c r="AM5" s="307"/>
      <c r="AN5" s="307"/>
      <c r="AO5" s="307"/>
      <c r="AP5" s="307"/>
      <c r="AQ5" s="307"/>
      <c r="AR5" s="307"/>
      <c r="AS5" s="307"/>
      <c r="AT5" s="307"/>
      <c r="AU5" s="307"/>
      <c r="AV5" s="307"/>
      <c r="AW5" s="307"/>
      <c r="AX5" s="307"/>
      <c r="AY5" s="307"/>
      <c r="AZ5" s="307"/>
      <c r="BA5" s="307"/>
      <c r="BB5" s="307"/>
      <c r="BC5" s="304"/>
      <c r="BD5" s="304"/>
      <c r="BE5" s="304"/>
      <c r="BF5" s="304"/>
      <c r="BG5" s="304"/>
      <c r="BH5" s="307"/>
      <c r="BI5" s="307"/>
      <c r="BJ5" s="307"/>
      <c r="BK5" s="307"/>
      <c r="BL5" s="307"/>
      <c r="BM5" s="307"/>
      <c r="BN5" s="307"/>
      <c r="BO5" s="307"/>
      <c r="BP5" s="307"/>
      <c r="BQ5" s="307"/>
      <c r="BR5" s="307"/>
      <c r="BS5" s="307">
        <v>6</v>
      </c>
      <c r="BT5" s="307"/>
      <c r="BU5" s="307"/>
      <c r="BV5" s="307"/>
      <c r="BW5" s="307"/>
      <c r="BX5" s="307">
        <v>3</v>
      </c>
      <c r="BY5" s="307"/>
      <c r="BZ5" s="307"/>
      <c r="CA5" s="307"/>
      <c r="CB5" s="307"/>
      <c r="CC5" s="307"/>
      <c r="CD5" s="307"/>
      <c r="CE5" s="307">
        <v>6</v>
      </c>
      <c r="CF5" s="307"/>
      <c r="CG5" s="307"/>
      <c r="CH5" s="307"/>
      <c r="CI5" s="307"/>
      <c r="CJ5" s="307"/>
      <c r="CK5" s="307"/>
      <c r="CL5" s="307"/>
      <c r="CM5" s="307"/>
      <c r="CN5" s="307"/>
      <c r="CO5" s="307"/>
      <c r="CP5" s="307"/>
      <c r="CQ5" s="307"/>
      <c r="CR5" s="307"/>
      <c r="CS5" s="307"/>
      <c r="CT5" s="307"/>
      <c r="CU5" s="307"/>
      <c r="CV5" s="307"/>
      <c r="CW5" s="307"/>
      <c r="CX5" s="307"/>
      <c r="CY5" s="307"/>
      <c r="CZ5" s="307"/>
      <c r="DA5" s="307"/>
      <c r="DB5" s="307"/>
      <c r="DC5" s="308"/>
    </row>
    <row r="6" spans="1:135">
      <c r="A6" s="412">
        <v>2</v>
      </c>
      <c r="B6" s="410">
        <v>6</v>
      </c>
      <c r="C6" s="408" t="s">
        <v>386</v>
      </c>
      <c r="D6" s="105"/>
      <c r="E6" s="105"/>
      <c r="F6" s="27"/>
      <c r="G6" s="315"/>
      <c r="H6" s="315"/>
      <c r="I6" s="315"/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315"/>
      <c r="AA6" s="315"/>
      <c r="AB6" s="315"/>
      <c r="AC6" s="315"/>
      <c r="AD6" s="315"/>
      <c r="AE6" s="315"/>
      <c r="AF6" s="315"/>
      <c r="AG6" s="315"/>
      <c r="AH6" s="315"/>
      <c r="AI6" s="315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5"/>
      <c r="AU6" s="315"/>
      <c r="AV6" s="315"/>
      <c r="AW6" s="315"/>
      <c r="AX6" s="315"/>
      <c r="AY6" s="315"/>
      <c r="AZ6" s="315"/>
      <c r="BA6" s="315"/>
      <c r="BB6" s="315"/>
      <c r="BC6" s="315"/>
      <c r="BD6" s="315"/>
      <c r="BE6" s="315"/>
      <c r="BF6" s="315"/>
      <c r="BG6" s="315"/>
      <c r="BH6" s="315"/>
      <c r="BI6" s="315"/>
      <c r="BJ6" s="315"/>
      <c r="BK6" s="315"/>
      <c r="BL6" s="315"/>
      <c r="BM6" s="315"/>
      <c r="BN6" s="315"/>
      <c r="BO6" s="315"/>
      <c r="BP6" s="315"/>
      <c r="BQ6" s="315"/>
      <c r="BR6" s="315"/>
      <c r="BS6" s="315"/>
      <c r="BT6" s="315"/>
      <c r="BU6" s="315"/>
      <c r="BV6" s="315"/>
      <c r="BW6" s="315"/>
      <c r="BX6" s="315"/>
      <c r="BY6" s="315"/>
      <c r="BZ6" s="315"/>
      <c r="CA6" s="315"/>
      <c r="CB6" s="315"/>
      <c r="CC6" s="315"/>
      <c r="CD6" s="315"/>
      <c r="CE6" s="315"/>
      <c r="CF6" s="315"/>
      <c r="CG6" s="315"/>
      <c r="CH6" s="315"/>
      <c r="CI6" s="315"/>
      <c r="CJ6" s="315"/>
      <c r="CK6" s="315"/>
      <c r="CL6" s="315"/>
      <c r="CM6" s="315"/>
      <c r="CN6" s="315"/>
      <c r="CO6" s="315"/>
      <c r="CP6" s="315"/>
      <c r="CQ6" s="315"/>
      <c r="CR6" s="315"/>
      <c r="CS6" s="315"/>
      <c r="CT6" s="315"/>
      <c r="CU6" s="315"/>
      <c r="CV6" s="315"/>
      <c r="CW6" s="315"/>
      <c r="CX6" s="315"/>
      <c r="CY6" s="315"/>
      <c r="CZ6" s="315"/>
      <c r="DA6" s="315"/>
      <c r="DB6" s="315"/>
      <c r="DC6" s="316"/>
    </row>
    <row r="7" spans="1:135">
      <c r="A7" s="413">
        <v>2.0099999999999998</v>
      </c>
      <c r="B7" s="411">
        <v>7</v>
      </c>
      <c r="C7" s="409" t="s">
        <v>387</v>
      </c>
      <c r="D7" s="23"/>
      <c r="E7" s="23"/>
      <c r="F7" s="27" t="s">
        <v>17</v>
      </c>
      <c r="G7" s="304"/>
      <c r="H7" s="315"/>
      <c r="I7" s="304"/>
      <c r="J7" s="304"/>
      <c r="K7" s="304"/>
      <c r="L7" s="304"/>
      <c r="M7" s="304"/>
      <c r="N7" s="315"/>
      <c r="O7" s="304"/>
      <c r="P7" s="304"/>
      <c r="Q7" s="304"/>
      <c r="R7" s="304"/>
      <c r="S7" s="304"/>
      <c r="T7" s="304"/>
      <c r="U7" s="304"/>
      <c r="V7" s="304"/>
      <c r="W7" s="304"/>
      <c r="X7" s="304"/>
      <c r="Y7" s="304"/>
      <c r="Z7" s="304"/>
      <c r="AA7" s="304"/>
      <c r="AB7" s="304"/>
      <c r="AC7" s="304"/>
      <c r="AD7" s="304"/>
      <c r="AE7" s="304"/>
      <c r="AF7" s="304"/>
      <c r="AG7" s="304"/>
      <c r="AH7" s="304"/>
      <c r="AI7" s="304"/>
      <c r="AJ7" s="304">
        <v>1</v>
      </c>
      <c r="AK7" s="304">
        <v>2</v>
      </c>
      <c r="AL7" s="304">
        <v>2</v>
      </c>
      <c r="AM7" s="304"/>
      <c r="AN7" s="304"/>
      <c r="AO7" s="304"/>
      <c r="AP7" s="304"/>
      <c r="AQ7" s="304"/>
      <c r="AR7" s="304">
        <v>1</v>
      </c>
      <c r="AS7" s="304"/>
      <c r="AT7" s="304"/>
      <c r="AU7" s="304"/>
      <c r="AV7" s="304"/>
      <c r="AW7" s="304"/>
      <c r="AX7" s="304"/>
      <c r="AY7" s="304"/>
      <c r="AZ7" s="304"/>
      <c r="BA7" s="304"/>
      <c r="BB7" s="304"/>
      <c r="BC7" s="304"/>
      <c r="BD7" s="304"/>
      <c r="BE7" s="304"/>
      <c r="BF7" s="304"/>
      <c r="BG7" s="304"/>
      <c r="BH7" s="304"/>
      <c r="BI7" s="304"/>
      <c r="BJ7" s="304"/>
      <c r="BK7" s="304"/>
      <c r="BL7" s="304"/>
      <c r="BM7" s="304"/>
      <c r="BN7" s="304"/>
      <c r="BO7" s="304"/>
      <c r="BP7" s="304"/>
      <c r="BQ7" s="304"/>
      <c r="BR7" s="304">
        <v>1</v>
      </c>
      <c r="BS7" s="304"/>
      <c r="BT7" s="304"/>
      <c r="BU7" s="304"/>
      <c r="BV7" s="304"/>
      <c r="BW7" s="304"/>
      <c r="BX7" s="304"/>
      <c r="BY7" s="304">
        <v>2</v>
      </c>
      <c r="BZ7" s="304"/>
      <c r="CA7" s="304"/>
      <c r="CB7" s="304">
        <v>2</v>
      </c>
      <c r="CC7" s="304">
        <v>1</v>
      </c>
      <c r="CD7" s="304"/>
      <c r="CE7" s="304"/>
      <c r="CF7" s="304"/>
      <c r="CG7" s="304"/>
      <c r="CH7" s="304"/>
      <c r="CI7" s="304"/>
      <c r="CJ7" s="304"/>
      <c r="CK7" s="304"/>
      <c r="CL7" s="304"/>
      <c r="CM7" s="304"/>
      <c r="CN7" s="304"/>
      <c r="CO7" s="304"/>
      <c r="CP7" s="304"/>
      <c r="CQ7" s="304"/>
      <c r="CR7" s="304"/>
      <c r="CS7" s="304"/>
      <c r="CT7" s="304"/>
      <c r="CU7" s="304"/>
      <c r="CV7" s="304"/>
      <c r="CW7" s="304"/>
      <c r="CX7" s="304"/>
      <c r="CY7" s="304"/>
      <c r="CZ7" s="304"/>
      <c r="DA7" s="304"/>
      <c r="DB7" s="304"/>
      <c r="DC7" s="306"/>
    </row>
    <row r="8" spans="1:135">
      <c r="A8" s="413"/>
      <c r="B8" s="410">
        <v>8</v>
      </c>
      <c r="C8" s="417" t="s">
        <v>104</v>
      </c>
      <c r="D8" s="409"/>
      <c r="E8" s="111"/>
      <c r="F8" s="27"/>
      <c r="G8" s="304"/>
      <c r="H8" s="315"/>
      <c r="I8" s="304"/>
      <c r="J8" s="304"/>
      <c r="K8" s="304"/>
      <c r="L8" s="304"/>
      <c r="M8" s="304"/>
      <c r="N8" s="315"/>
      <c r="O8" s="304"/>
      <c r="P8" s="304"/>
      <c r="Q8" s="304"/>
      <c r="R8" s="304"/>
      <c r="S8" s="304"/>
      <c r="T8" s="304"/>
      <c r="U8" s="304"/>
      <c r="V8" s="304"/>
      <c r="W8" s="304"/>
      <c r="X8" s="304"/>
      <c r="Y8" s="304">
        <v>1</v>
      </c>
      <c r="Z8" s="304">
        <v>2</v>
      </c>
      <c r="AA8" s="304"/>
      <c r="AB8" s="304"/>
      <c r="AC8" s="304">
        <v>2</v>
      </c>
      <c r="AD8" s="304"/>
      <c r="AE8" s="304">
        <v>2</v>
      </c>
      <c r="AF8" s="304">
        <v>2</v>
      </c>
      <c r="AG8" s="304">
        <v>1</v>
      </c>
      <c r="AH8" s="304"/>
      <c r="AI8" s="304"/>
      <c r="AJ8" s="304"/>
      <c r="AK8" s="304"/>
      <c r="AL8" s="304"/>
      <c r="AM8" s="304">
        <v>2</v>
      </c>
      <c r="AN8" s="304">
        <v>1</v>
      </c>
      <c r="AO8" s="304">
        <v>1</v>
      </c>
      <c r="AP8" s="304">
        <v>3</v>
      </c>
      <c r="AQ8" s="304"/>
      <c r="AR8" s="304"/>
      <c r="AS8" s="304"/>
      <c r="AT8" s="304"/>
      <c r="AU8" s="304"/>
      <c r="AV8" s="304"/>
      <c r="AW8" s="304"/>
      <c r="AX8" s="304"/>
      <c r="AY8" s="304"/>
      <c r="AZ8" s="304"/>
      <c r="BA8" s="304"/>
      <c r="BB8" s="304"/>
      <c r="BC8" s="304"/>
      <c r="BD8" s="304">
        <v>2</v>
      </c>
      <c r="BE8" s="304">
        <v>2</v>
      </c>
      <c r="BF8" s="304">
        <v>1</v>
      </c>
      <c r="BG8" s="304">
        <v>1</v>
      </c>
      <c r="BH8" s="304">
        <v>2</v>
      </c>
      <c r="BI8" s="304"/>
      <c r="BJ8" s="304"/>
      <c r="BK8" s="304">
        <v>2</v>
      </c>
      <c r="BL8" s="304">
        <v>2</v>
      </c>
      <c r="BM8" s="304"/>
      <c r="BN8" s="304"/>
      <c r="BO8" s="304">
        <v>2</v>
      </c>
      <c r="BP8" s="304">
        <v>2</v>
      </c>
      <c r="BQ8" s="304">
        <v>2</v>
      </c>
      <c r="BR8" s="304">
        <v>1</v>
      </c>
      <c r="BS8" s="304"/>
      <c r="BT8" s="304">
        <v>3</v>
      </c>
      <c r="BU8" s="304">
        <v>3</v>
      </c>
      <c r="BV8" s="304"/>
      <c r="BW8" s="304"/>
      <c r="BX8" s="304"/>
      <c r="BY8" s="304">
        <v>2</v>
      </c>
      <c r="BZ8" s="304"/>
      <c r="CA8" s="304">
        <v>1</v>
      </c>
      <c r="CB8" s="304">
        <v>2</v>
      </c>
      <c r="CC8" s="304">
        <v>1</v>
      </c>
      <c r="CD8" s="304"/>
      <c r="CE8" s="304"/>
      <c r="CF8" s="304"/>
      <c r="CG8" s="304"/>
      <c r="CH8" s="304"/>
      <c r="CI8" s="304"/>
      <c r="CJ8" s="304"/>
      <c r="CK8" s="304"/>
      <c r="CL8" s="304"/>
      <c r="CM8" s="304"/>
      <c r="CN8" s="304"/>
      <c r="CO8" s="304"/>
      <c r="CP8" s="304"/>
      <c r="CQ8" s="304"/>
      <c r="CR8" s="304"/>
      <c r="CS8" s="304"/>
      <c r="CT8" s="304"/>
      <c r="CU8" s="304"/>
      <c r="CV8" s="304"/>
      <c r="CW8" s="304"/>
      <c r="CX8" s="304"/>
      <c r="CY8" s="304"/>
      <c r="CZ8" s="304"/>
      <c r="DA8" s="304"/>
      <c r="DB8" s="304"/>
      <c r="DC8" s="306"/>
    </row>
    <row r="9" spans="1:135">
      <c r="A9" s="412">
        <v>3</v>
      </c>
      <c r="B9" s="410">
        <v>9</v>
      </c>
      <c r="C9" s="408" t="s">
        <v>66</v>
      </c>
      <c r="D9" s="105"/>
      <c r="E9" s="105"/>
      <c r="F9" s="27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>
        <v>1</v>
      </c>
      <c r="R9" s="315">
        <v>1</v>
      </c>
      <c r="S9" s="315"/>
      <c r="T9" s="315"/>
      <c r="U9" s="315"/>
      <c r="V9" s="315"/>
      <c r="W9" s="315"/>
      <c r="X9" s="315"/>
      <c r="Y9" s="315"/>
      <c r="Z9" s="315"/>
      <c r="AA9" s="315"/>
      <c r="AB9" s="315"/>
      <c r="AC9" s="315"/>
      <c r="AD9" s="315"/>
      <c r="AE9" s="315"/>
      <c r="AF9" s="315"/>
      <c r="AG9" s="315"/>
      <c r="AH9" s="315"/>
      <c r="AI9" s="315"/>
      <c r="AJ9" s="315"/>
      <c r="AK9" s="315"/>
      <c r="AL9" s="315"/>
      <c r="AM9" s="315"/>
      <c r="AN9" s="315"/>
      <c r="AO9" s="315"/>
      <c r="AP9" s="315"/>
      <c r="AQ9" s="315"/>
      <c r="AR9" s="315"/>
      <c r="AS9" s="315"/>
      <c r="AT9" s="315"/>
      <c r="AU9" s="315"/>
      <c r="AV9" s="315"/>
      <c r="AW9" s="315"/>
      <c r="AX9" s="315"/>
      <c r="AY9" s="315"/>
      <c r="AZ9" s="315"/>
      <c r="BA9" s="315"/>
      <c r="BB9" s="315"/>
      <c r="BC9" s="315"/>
      <c r="BD9" s="315"/>
      <c r="BE9" s="315"/>
      <c r="BF9" s="315"/>
      <c r="BG9" s="315"/>
      <c r="BH9" s="315"/>
      <c r="BI9" s="315"/>
      <c r="BJ9" s="315"/>
      <c r="BK9" s="315"/>
      <c r="BL9" s="315"/>
      <c r="BM9" s="315"/>
      <c r="BN9" s="315"/>
      <c r="BO9" s="315"/>
      <c r="BP9" s="315"/>
      <c r="BQ9" s="315"/>
      <c r="BR9" s="315"/>
      <c r="BS9" s="315"/>
      <c r="BT9" s="315"/>
      <c r="BU9" s="315"/>
      <c r="BV9" s="315"/>
      <c r="BW9" s="315"/>
      <c r="BX9" s="315"/>
      <c r="BY9" s="315"/>
      <c r="BZ9" s="315"/>
      <c r="CA9" s="315"/>
      <c r="CB9" s="315"/>
      <c r="CC9" s="315"/>
      <c r="CD9" s="315"/>
      <c r="CE9" s="315"/>
      <c r="CF9" s="315"/>
      <c r="CG9" s="315"/>
      <c r="CH9" s="315"/>
      <c r="CI9" s="315"/>
      <c r="CJ9" s="315"/>
      <c r="CK9" s="315"/>
      <c r="CL9" s="315"/>
      <c r="CM9" s="315"/>
      <c r="CN9" s="315"/>
      <c r="CO9" s="315"/>
      <c r="CP9" s="315"/>
      <c r="CQ9" s="315"/>
      <c r="CR9" s="315"/>
      <c r="CS9" s="315"/>
      <c r="CT9" s="315"/>
      <c r="CU9" s="315"/>
      <c r="CV9" s="315"/>
      <c r="CW9" s="315"/>
      <c r="CX9" s="315"/>
      <c r="CY9" s="315"/>
      <c r="CZ9" s="315"/>
      <c r="DA9" s="315"/>
      <c r="DB9" s="315"/>
      <c r="DC9" s="316"/>
    </row>
    <row r="10" spans="1:135">
      <c r="A10" s="413">
        <v>3.01</v>
      </c>
      <c r="B10" s="411">
        <v>10</v>
      </c>
      <c r="C10" s="409" t="s">
        <v>388</v>
      </c>
      <c r="D10" s="23"/>
      <c r="E10" s="23"/>
      <c r="F10" s="27" t="s">
        <v>17</v>
      </c>
      <c r="G10" s="304">
        <v>1</v>
      </c>
      <c r="H10" s="315">
        <v>2</v>
      </c>
      <c r="I10" s="304"/>
      <c r="J10" s="304"/>
      <c r="K10" s="304">
        <v>1</v>
      </c>
      <c r="L10" s="304"/>
      <c r="M10" s="304">
        <v>1</v>
      </c>
      <c r="N10" s="315"/>
      <c r="O10" s="304"/>
      <c r="P10" s="304">
        <v>1</v>
      </c>
      <c r="Q10" s="304"/>
      <c r="R10" s="304">
        <v>1</v>
      </c>
      <c r="S10" s="304">
        <v>1</v>
      </c>
      <c r="T10" s="304">
        <v>1</v>
      </c>
      <c r="U10" s="304">
        <v>1</v>
      </c>
      <c r="V10" s="304">
        <v>1</v>
      </c>
      <c r="W10" s="304">
        <v>1</v>
      </c>
      <c r="X10" s="304"/>
      <c r="Y10" s="304">
        <v>2</v>
      </c>
      <c r="Z10" s="304">
        <v>4</v>
      </c>
      <c r="AA10" s="304"/>
      <c r="AB10" s="304"/>
      <c r="AC10" s="304"/>
      <c r="AD10" s="304"/>
      <c r="AE10" s="304"/>
      <c r="AF10" s="304">
        <v>2</v>
      </c>
      <c r="AG10" s="304">
        <v>2</v>
      </c>
      <c r="AH10" s="304">
        <v>2</v>
      </c>
      <c r="AI10" s="304">
        <v>2</v>
      </c>
      <c r="AJ10" s="304">
        <v>2</v>
      </c>
      <c r="AK10" s="304">
        <v>4</v>
      </c>
      <c r="AL10" s="304"/>
      <c r="AM10" s="304">
        <v>2</v>
      </c>
      <c r="AN10" s="304">
        <v>2</v>
      </c>
      <c r="AO10" s="304"/>
      <c r="AP10" s="304">
        <v>2</v>
      </c>
      <c r="AQ10" s="304">
        <v>2</v>
      </c>
      <c r="AR10" s="304"/>
      <c r="AS10" s="304">
        <v>2</v>
      </c>
      <c r="AT10" s="304">
        <v>2</v>
      </c>
      <c r="AU10" s="304"/>
      <c r="AV10" s="304"/>
      <c r="AW10" s="304"/>
      <c r="AX10" s="304"/>
      <c r="AY10" s="304"/>
      <c r="AZ10" s="304">
        <v>1</v>
      </c>
      <c r="BA10" s="304"/>
      <c r="BB10" s="304"/>
      <c r="BC10" s="304"/>
      <c r="BD10" s="304"/>
      <c r="BE10" s="304">
        <v>6</v>
      </c>
      <c r="BF10" s="304">
        <v>3</v>
      </c>
      <c r="BG10" s="304">
        <v>3</v>
      </c>
      <c r="BH10" s="304">
        <v>6</v>
      </c>
      <c r="BI10" s="304"/>
      <c r="BJ10" s="304"/>
      <c r="BK10" s="304">
        <v>1</v>
      </c>
      <c r="BL10" s="304">
        <v>1</v>
      </c>
      <c r="BM10" s="304"/>
      <c r="BN10" s="304"/>
      <c r="BO10" s="304"/>
      <c r="BP10" s="304">
        <v>3</v>
      </c>
      <c r="BQ10" s="304">
        <v>3</v>
      </c>
      <c r="BR10" s="304">
        <v>3</v>
      </c>
      <c r="BS10" s="304">
        <v>6</v>
      </c>
      <c r="BT10" s="304"/>
      <c r="BU10" s="304">
        <v>3</v>
      </c>
      <c r="BV10" s="304"/>
      <c r="BW10" s="304">
        <v>3</v>
      </c>
      <c r="BX10" s="304">
        <v>3</v>
      </c>
      <c r="BY10" s="304"/>
      <c r="BZ10" s="304">
        <v>3</v>
      </c>
      <c r="CA10" s="304">
        <v>3</v>
      </c>
      <c r="CB10" s="304">
        <v>6</v>
      </c>
      <c r="CC10" s="304"/>
      <c r="CD10" s="304">
        <v>3</v>
      </c>
      <c r="CE10" s="304">
        <v>3</v>
      </c>
      <c r="CF10" s="304"/>
      <c r="CG10" s="304"/>
      <c r="CH10" s="304"/>
      <c r="CI10" s="304"/>
      <c r="CJ10" s="304"/>
      <c r="CK10" s="304"/>
      <c r="CL10" s="304"/>
      <c r="CM10" s="304"/>
      <c r="CN10" s="304"/>
      <c r="CO10" s="304"/>
      <c r="CP10" s="304"/>
      <c r="CQ10" s="304"/>
      <c r="CR10" s="304"/>
      <c r="CS10" s="304"/>
      <c r="CT10" s="304"/>
      <c r="CU10" s="304"/>
      <c r="CV10" s="304"/>
      <c r="CW10" s="304"/>
      <c r="CX10" s="304"/>
      <c r="CY10" s="304"/>
      <c r="CZ10" s="304"/>
      <c r="DA10" s="304"/>
      <c r="DB10" s="304"/>
      <c r="DC10" s="306"/>
    </row>
    <row r="11" spans="1:135">
      <c r="A11" s="413">
        <v>3.0199999999999996</v>
      </c>
      <c r="B11" s="411">
        <v>11</v>
      </c>
      <c r="C11" s="409" t="s">
        <v>389</v>
      </c>
      <c r="D11" s="23"/>
      <c r="E11" s="23"/>
      <c r="F11" s="27" t="s">
        <v>17</v>
      </c>
      <c r="G11" s="304">
        <v>1</v>
      </c>
      <c r="H11" s="315">
        <v>2</v>
      </c>
      <c r="I11" s="304"/>
      <c r="J11" s="304"/>
      <c r="K11" s="304">
        <v>1</v>
      </c>
      <c r="L11" s="304"/>
      <c r="M11" s="304">
        <v>1</v>
      </c>
      <c r="N11" s="315"/>
      <c r="O11" s="304"/>
      <c r="P11" s="304"/>
      <c r="Q11" s="304"/>
      <c r="R11" s="304">
        <v>1</v>
      </c>
      <c r="S11" s="304"/>
      <c r="T11" s="304"/>
      <c r="U11" s="304">
        <v>1</v>
      </c>
      <c r="V11" s="304"/>
      <c r="W11" s="304"/>
      <c r="X11" s="304"/>
      <c r="Y11" s="304"/>
      <c r="Z11" s="304"/>
      <c r="AA11" s="304"/>
      <c r="AB11" s="304"/>
      <c r="AC11" s="304"/>
      <c r="AD11" s="304"/>
      <c r="AE11" s="304"/>
      <c r="AF11" s="304"/>
      <c r="AG11" s="304">
        <v>1</v>
      </c>
      <c r="AH11" s="304"/>
      <c r="AI11" s="304">
        <v>1</v>
      </c>
      <c r="AJ11" s="304"/>
      <c r="AK11" s="304"/>
      <c r="AL11" s="304"/>
      <c r="AM11" s="304"/>
      <c r="AN11" s="304"/>
      <c r="AO11" s="304"/>
      <c r="AP11" s="304"/>
      <c r="AQ11" s="304"/>
      <c r="AR11" s="304"/>
      <c r="AS11" s="304">
        <v>2</v>
      </c>
      <c r="AT11" s="304">
        <v>2</v>
      </c>
      <c r="AU11" s="304"/>
      <c r="AV11" s="304"/>
      <c r="AW11" s="304"/>
      <c r="AX11" s="304"/>
      <c r="AY11" s="304"/>
      <c r="AZ11" s="304"/>
      <c r="BA11" s="304"/>
      <c r="BB11" s="304"/>
      <c r="BC11" s="304"/>
      <c r="BD11" s="304"/>
      <c r="BE11" s="304">
        <v>2</v>
      </c>
      <c r="BF11" s="304">
        <v>1</v>
      </c>
      <c r="BG11" s="304">
        <v>1</v>
      </c>
      <c r="BH11" s="304">
        <v>2</v>
      </c>
      <c r="BI11" s="304"/>
      <c r="BJ11" s="304"/>
      <c r="BK11" s="304">
        <v>1</v>
      </c>
      <c r="BL11" s="304">
        <v>1</v>
      </c>
      <c r="BM11" s="304"/>
      <c r="BN11" s="304"/>
      <c r="BO11" s="304"/>
      <c r="BP11" s="304">
        <v>1</v>
      </c>
      <c r="BQ11" s="304">
        <v>1</v>
      </c>
      <c r="BR11" s="304"/>
      <c r="BS11" s="304"/>
      <c r="BT11" s="304"/>
      <c r="BU11" s="304">
        <v>1</v>
      </c>
      <c r="BV11" s="304"/>
      <c r="BW11" s="304"/>
      <c r="BX11" s="304"/>
      <c r="BY11" s="304"/>
      <c r="BZ11" s="304">
        <v>1</v>
      </c>
      <c r="CA11" s="304"/>
      <c r="CB11" s="304">
        <v>6</v>
      </c>
      <c r="CC11" s="304"/>
      <c r="CD11" s="304"/>
      <c r="CE11" s="304"/>
      <c r="CF11" s="304"/>
      <c r="CG11" s="304"/>
      <c r="CH11" s="304"/>
      <c r="CI11" s="304"/>
      <c r="CJ11" s="304"/>
      <c r="CK11" s="304"/>
      <c r="CL11" s="304"/>
      <c r="CM11" s="304"/>
      <c r="CN11" s="304"/>
      <c r="CO11" s="304"/>
      <c r="CP11" s="304"/>
      <c r="CQ11" s="304"/>
      <c r="CR11" s="304"/>
      <c r="CS11" s="304"/>
      <c r="CT11" s="304"/>
      <c r="CU11" s="304"/>
      <c r="CV11" s="304"/>
      <c r="CW11" s="304"/>
      <c r="CX11" s="304"/>
      <c r="CY11" s="304"/>
      <c r="CZ11" s="304"/>
      <c r="DA11" s="304"/>
      <c r="DB11" s="304"/>
      <c r="DC11" s="306"/>
    </row>
    <row r="12" spans="1:135">
      <c r="A12" s="413"/>
      <c r="B12" s="411">
        <v>12</v>
      </c>
      <c r="C12" s="409" t="s">
        <v>104</v>
      </c>
      <c r="D12" s="23"/>
      <c r="E12" s="23"/>
      <c r="F12" s="27"/>
      <c r="G12" s="304"/>
      <c r="H12" s="315"/>
      <c r="I12" s="304"/>
      <c r="J12" s="304"/>
      <c r="K12" s="304"/>
      <c r="L12" s="304"/>
      <c r="M12" s="304"/>
      <c r="N12" s="315"/>
      <c r="O12" s="304"/>
      <c r="P12" s="304"/>
      <c r="Q12" s="304"/>
      <c r="R12" s="304"/>
      <c r="S12" s="304"/>
      <c r="T12" s="304"/>
      <c r="U12" s="304"/>
      <c r="V12" s="304"/>
      <c r="W12" s="304"/>
      <c r="X12" s="304"/>
      <c r="Y12" s="304"/>
      <c r="Z12" s="304"/>
      <c r="AA12" s="304"/>
      <c r="AB12" s="304"/>
      <c r="AC12" s="304"/>
      <c r="AD12" s="304"/>
      <c r="AE12" s="304"/>
      <c r="AF12" s="304"/>
      <c r="AG12" s="304"/>
      <c r="AH12" s="304"/>
      <c r="AI12" s="304"/>
      <c r="AJ12" s="304"/>
      <c r="AK12" s="304"/>
      <c r="AL12" s="304"/>
      <c r="AM12" s="304"/>
      <c r="AN12" s="304"/>
      <c r="AO12" s="304"/>
      <c r="AP12" s="304"/>
      <c r="AQ12" s="304"/>
      <c r="AR12" s="304"/>
      <c r="AS12" s="304"/>
      <c r="AT12" s="304"/>
      <c r="AU12" s="304"/>
      <c r="AV12" s="304"/>
      <c r="AW12" s="304"/>
      <c r="AX12" s="304"/>
      <c r="AY12" s="304"/>
      <c r="AZ12" s="304"/>
      <c r="BA12" s="304"/>
      <c r="BB12" s="304"/>
      <c r="BC12" s="304"/>
      <c r="BD12" s="304"/>
      <c r="BE12" s="304"/>
      <c r="BF12" s="304"/>
      <c r="BG12" s="304"/>
      <c r="BH12" s="304"/>
      <c r="BI12" s="304"/>
      <c r="BJ12" s="304"/>
      <c r="BK12" s="304"/>
      <c r="BL12" s="304"/>
      <c r="BM12" s="304"/>
      <c r="BN12" s="304"/>
      <c r="BO12" s="304"/>
      <c r="BP12" s="304"/>
      <c r="BQ12" s="304"/>
      <c r="BR12" s="304"/>
      <c r="BS12" s="304"/>
      <c r="BT12" s="304"/>
      <c r="BU12" s="304"/>
      <c r="BV12" s="304"/>
      <c r="BW12" s="304"/>
      <c r="BX12" s="304"/>
      <c r="BY12" s="304"/>
      <c r="BZ12" s="304"/>
      <c r="CA12" s="304"/>
      <c r="CB12" s="304"/>
      <c r="CC12" s="304"/>
      <c r="CD12" s="304"/>
      <c r="CE12" s="304"/>
      <c r="CF12" s="304"/>
      <c r="CG12" s="304"/>
      <c r="CH12" s="304"/>
      <c r="CI12" s="304"/>
      <c r="CJ12" s="304"/>
      <c r="CK12" s="304"/>
      <c r="CL12" s="304"/>
      <c r="CM12" s="304"/>
      <c r="CN12" s="304"/>
      <c r="CO12" s="304"/>
      <c r="CP12" s="304"/>
      <c r="CQ12" s="304"/>
      <c r="CR12" s="304"/>
      <c r="CS12" s="304"/>
      <c r="CT12" s="304"/>
      <c r="CU12" s="304"/>
      <c r="CV12" s="304"/>
      <c r="CW12" s="304"/>
      <c r="CX12" s="304"/>
      <c r="CY12" s="304"/>
      <c r="CZ12" s="304"/>
      <c r="DA12" s="304"/>
      <c r="DB12" s="304"/>
      <c r="DC12" s="306"/>
    </row>
    <row r="13" spans="1:135">
      <c r="A13" s="412">
        <v>4</v>
      </c>
      <c r="B13" s="410">
        <v>13</v>
      </c>
      <c r="C13" s="408" t="s">
        <v>390</v>
      </c>
      <c r="D13" s="105"/>
      <c r="E13" s="105"/>
      <c r="F13" s="27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  <c r="Z13" s="315"/>
      <c r="AA13" s="315"/>
      <c r="AB13" s="315"/>
      <c r="AC13" s="315"/>
      <c r="AD13" s="315"/>
      <c r="AE13" s="315"/>
      <c r="AF13" s="315"/>
      <c r="AG13" s="315"/>
      <c r="AH13" s="315"/>
      <c r="AI13" s="315"/>
      <c r="AJ13" s="315"/>
      <c r="AK13" s="315"/>
      <c r="AL13" s="315"/>
      <c r="AM13" s="315"/>
      <c r="AN13" s="315"/>
      <c r="AO13" s="315"/>
      <c r="AP13" s="315"/>
      <c r="AQ13" s="315"/>
      <c r="AR13" s="315"/>
      <c r="AS13" s="315"/>
      <c r="AT13" s="315"/>
      <c r="AU13" s="315"/>
      <c r="AV13" s="315"/>
      <c r="AW13" s="315"/>
      <c r="AX13" s="315"/>
      <c r="AY13" s="315"/>
      <c r="AZ13" s="315"/>
      <c r="BA13" s="315"/>
      <c r="BB13" s="315"/>
      <c r="BC13" s="315"/>
      <c r="BD13" s="315"/>
      <c r="BE13" s="315"/>
      <c r="BF13" s="315"/>
      <c r="BG13" s="315"/>
      <c r="BH13" s="315"/>
      <c r="BI13" s="315"/>
      <c r="BJ13" s="315"/>
      <c r="BK13" s="315"/>
      <c r="BL13" s="315"/>
      <c r="BM13" s="315"/>
      <c r="BN13" s="315"/>
      <c r="BO13" s="315"/>
      <c r="BP13" s="315"/>
      <c r="BQ13" s="315"/>
      <c r="BR13" s="315"/>
      <c r="BS13" s="315"/>
      <c r="BT13" s="315"/>
      <c r="BU13" s="315"/>
      <c r="BV13" s="315"/>
      <c r="BW13" s="315"/>
      <c r="BX13" s="315"/>
      <c r="BY13" s="315"/>
      <c r="BZ13" s="315"/>
      <c r="CA13" s="315"/>
      <c r="CB13" s="315"/>
      <c r="CC13" s="315"/>
      <c r="CD13" s="315"/>
      <c r="CE13" s="315"/>
      <c r="CF13" s="315"/>
      <c r="CG13" s="315"/>
      <c r="CH13" s="315"/>
      <c r="CI13" s="315"/>
      <c r="CJ13" s="315"/>
      <c r="CK13" s="315"/>
      <c r="CL13" s="315"/>
      <c r="CM13" s="315"/>
      <c r="CN13" s="315"/>
      <c r="CO13" s="315"/>
      <c r="CP13" s="315"/>
      <c r="CQ13" s="315"/>
      <c r="CR13" s="315"/>
      <c r="CS13" s="315"/>
      <c r="CT13" s="315"/>
      <c r="CU13" s="315"/>
      <c r="CV13" s="315"/>
      <c r="CW13" s="315"/>
      <c r="CX13" s="315"/>
      <c r="CY13" s="315"/>
      <c r="CZ13" s="315"/>
      <c r="DA13" s="315"/>
      <c r="DB13" s="315"/>
      <c r="DC13" s="316"/>
    </row>
    <row r="14" spans="1:135">
      <c r="A14" s="413">
        <v>4.01</v>
      </c>
      <c r="B14" s="411">
        <v>14</v>
      </c>
      <c r="C14" s="409" t="s">
        <v>391</v>
      </c>
      <c r="D14" s="23"/>
      <c r="E14" s="23"/>
      <c r="F14" s="27" t="s">
        <v>17</v>
      </c>
      <c r="G14" s="304"/>
      <c r="H14" s="315"/>
      <c r="I14" s="304">
        <v>1</v>
      </c>
      <c r="J14" s="304">
        <v>2</v>
      </c>
      <c r="K14" s="304">
        <v>2</v>
      </c>
      <c r="L14" s="304">
        <v>1</v>
      </c>
      <c r="M14" s="304">
        <v>1</v>
      </c>
      <c r="N14" s="315">
        <v>1</v>
      </c>
      <c r="O14" s="304"/>
      <c r="P14" s="304"/>
      <c r="Q14" s="304">
        <v>2</v>
      </c>
      <c r="R14" s="304">
        <v>1</v>
      </c>
      <c r="S14" s="304"/>
      <c r="T14" s="304"/>
      <c r="U14" s="304">
        <v>2</v>
      </c>
      <c r="V14" s="304"/>
      <c r="W14" s="304"/>
      <c r="X14" s="304"/>
      <c r="Y14" s="304"/>
      <c r="Z14" s="304"/>
      <c r="AA14" s="304">
        <v>2</v>
      </c>
      <c r="AB14" s="304">
        <v>4</v>
      </c>
      <c r="AC14" s="304">
        <v>4</v>
      </c>
      <c r="AD14" s="304">
        <v>2</v>
      </c>
      <c r="AE14" s="304">
        <v>2</v>
      </c>
      <c r="AF14" s="304">
        <v>2</v>
      </c>
      <c r="AG14" s="304">
        <v>2</v>
      </c>
      <c r="AH14" s="304"/>
      <c r="AI14" s="304"/>
      <c r="AJ14" s="304"/>
      <c r="AK14" s="304"/>
      <c r="AL14" s="304">
        <v>4</v>
      </c>
      <c r="AM14" s="304">
        <v>2</v>
      </c>
      <c r="AN14" s="304"/>
      <c r="AO14" s="304">
        <v>4</v>
      </c>
      <c r="AP14" s="304">
        <v>2</v>
      </c>
      <c r="AQ14" s="304">
        <v>2</v>
      </c>
      <c r="AR14" s="304">
        <v>2</v>
      </c>
      <c r="AS14" s="304">
        <v>4</v>
      </c>
      <c r="AT14" s="304">
        <v>4</v>
      </c>
      <c r="AU14" s="304"/>
      <c r="AV14" s="304"/>
      <c r="AW14" s="304"/>
      <c r="AX14" s="304"/>
      <c r="AY14" s="304"/>
      <c r="AZ14" s="304"/>
      <c r="BA14" s="304">
        <v>1</v>
      </c>
      <c r="BB14" s="304"/>
      <c r="BC14" s="304">
        <v>1</v>
      </c>
      <c r="BD14" s="304">
        <v>3</v>
      </c>
      <c r="BE14" s="304"/>
      <c r="BF14" s="304"/>
      <c r="BG14" s="304"/>
      <c r="BH14" s="304"/>
      <c r="BI14" s="304">
        <v>3</v>
      </c>
      <c r="BJ14" s="304">
        <v>6</v>
      </c>
      <c r="BK14" s="304">
        <v>6</v>
      </c>
      <c r="BL14" s="304">
        <v>6</v>
      </c>
      <c r="BM14" s="304">
        <v>3</v>
      </c>
      <c r="BN14" s="304"/>
      <c r="BO14" s="304">
        <v>3</v>
      </c>
      <c r="BP14" s="304">
        <v>3</v>
      </c>
      <c r="BQ14" s="304">
        <v>3</v>
      </c>
      <c r="BR14" s="304"/>
      <c r="BS14" s="304"/>
      <c r="BT14" s="304">
        <v>6</v>
      </c>
      <c r="BU14" s="304">
        <v>3</v>
      </c>
      <c r="BV14" s="304">
        <v>3</v>
      </c>
      <c r="BW14" s="304">
        <v>3</v>
      </c>
      <c r="BX14" s="304"/>
      <c r="BY14" s="304">
        <v>6</v>
      </c>
      <c r="BZ14" s="304">
        <v>3</v>
      </c>
      <c r="CA14" s="304"/>
      <c r="CB14" s="304"/>
      <c r="CC14" s="304">
        <v>3</v>
      </c>
      <c r="CD14" s="304">
        <v>6</v>
      </c>
      <c r="CE14" s="304"/>
      <c r="CF14" s="304"/>
      <c r="CG14" s="304"/>
      <c r="CH14" s="304"/>
      <c r="CI14" s="304"/>
      <c r="CJ14" s="304"/>
      <c r="CK14" s="304"/>
      <c r="CL14" s="304"/>
      <c r="CM14" s="304">
        <v>1</v>
      </c>
      <c r="CN14" s="304"/>
      <c r="CO14" s="304"/>
      <c r="CP14" s="304"/>
      <c r="CQ14" s="304"/>
      <c r="CR14" s="304"/>
      <c r="CS14" s="304"/>
      <c r="CT14" s="304"/>
      <c r="CU14" s="304"/>
      <c r="CV14" s="304"/>
      <c r="CW14" s="304"/>
      <c r="CX14" s="304"/>
      <c r="CY14" s="304"/>
      <c r="CZ14" s="304"/>
      <c r="DA14" s="304"/>
      <c r="DB14" s="304"/>
      <c r="DC14" s="306"/>
    </row>
    <row r="15" spans="1:135">
      <c r="A15" s="413"/>
      <c r="B15" s="410">
        <v>15</v>
      </c>
      <c r="C15" s="408" t="s">
        <v>104</v>
      </c>
      <c r="D15" s="107"/>
      <c r="E15" s="107"/>
      <c r="F15" s="27"/>
      <c r="G15" s="304"/>
      <c r="H15" s="315"/>
      <c r="I15" s="304"/>
      <c r="J15" s="304"/>
      <c r="K15" s="304"/>
      <c r="L15" s="304"/>
      <c r="M15" s="304"/>
      <c r="N15" s="315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4"/>
      <c r="AB15" s="304"/>
      <c r="AC15" s="304"/>
      <c r="AD15" s="304"/>
      <c r="AE15" s="304"/>
      <c r="AF15" s="304"/>
      <c r="AG15" s="304"/>
      <c r="AH15" s="304"/>
      <c r="AI15" s="304"/>
      <c r="AJ15" s="304"/>
      <c r="AK15" s="304"/>
      <c r="AL15" s="304"/>
      <c r="AM15" s="304"/>
      <c r="AN15" s="304"/>
      <c r="AO15" s="304"/>
      <c r="AP15" s="304"/>
      <c r="AQ15" s="304"/>
      <c r="AR15" s="304"/>
      <c r="AS15" s="304"/>
      <c r="AT15" s="304"/>
      <c r="AU15" s="304"/>
      <c r="AV15" s="304"/>
      <c r="AW15" s="304"/>
      <c r="AX15" s="304"/>
      <c r="AY15" s="304"/>
      <c r="AZ15" s="304"/>
      <c r="BA15" s="304"/>
      <c r="BB15" s="304"/>
      <c r="BC15" s="304"/>
      <c r="BD15" s="304"/>
      <c r="BE15" s="304"/>
      <c r="BF15" s="304"/>
      <c r="BG15" s="304"/>
      <c r="BH15" s="304"/>
      <c r="BI15" s="304"/>
      <c r="BJ15" s="304"/>
      <c r="BK15" s="304"/>
      <c r="BL15" s="304"/>
      <c r="BM15" s="304"/>
      <c r="BN15" s="304"/>
      <c r="BO15" s="304"/>
      <c r="BP15" s="304"/>
      <c r="BQ15" s="304"/>
      <c r="BR15" s="304"/>
      <c r="BS15" s="304"/>
      <c r="BT15" s="304"/>
      <c r="BU15" s="304"/>
      <c r="BV15" s="304"/>
      <c r="BW15" s="304"/>
      <c r="BX15" s="304"/>
      <c r="BY15" s="304"/>
      <c r="BZ15" s="304"/>
      <c r="CA15" s="304"/>
      <c r="CB15" s="304"/>
      <c r="CC15" s="304"/>
      <c r="CD15" s="304"/>
      <c r="CE15" s="304"/>
      <c r="CF15" s="304"/>
      <c r="CG15" s="304"/>
      <c r="CH15" s="304"/>
      <c r="CI15" s="304"/>
      <c r="CJ15" s="304"/>
      <c r="CK15" s="304"/>
      <c r="CL15" s="304"/>
      <c r="CM15" s="304"/>
      <c r="CN15" s="304"/>
      <c r="CO15" s="304"/>
      <c r="CP15" s="304"/>
      <c r="CQ15" s="304"/>
      <c r="CR15" s="304"/>
      <c r="CS15" s="304"/>
      <c r="CT15" s="304"/>
      <c r="CU15" s="304"/>
      <c r="CV15" s="304"/>
      <c r="CW15" s="304"/>
      <c r="CX15" s="304"/>
      <c r="CY15" s="304"/>
      <c r="CZ15" s="304"/>
      <c r="DA15" s="304"/>
      <c r="DB15" s="304"/>
      <c r="DC15" s="306"/>
    </row>
    <row r="16" spans="1:135">
      <c r="A16" s="412">
        <v>5</v>
      </c>
      <c r="B16" s="410">
        <v>16</v>
      </c>
      <c r="C16" s="408" t="s">
        <v>67</v>
      </c>
      <c r="D16" s="105"/>
      <c r="E16" s="105"/>
      <c r="F16" s="27"/>
      <c r="G16" s="315"/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  <c r="Z16" s="315"/>
      <c r="AA16" s="315"/>
      <c r="AB16" s="315"/>
      <c r="AC16" s="315"/>
      <c r="AD16" s="315"/>
      <c r="AE16" s="315"/>
      <c r="AF16" s="315"/>
      <c r="AG16" s="315"/>
      <c r="AH16" s="315"/>
      <c r="AI16" s="315"/>
      <c r="AJ16" s="315"/>
      <c r="AK16" s="315"/>
      <c r="AL16" s="315"/>
      <c r="AM16" s="315"/>
      <c r="AN16" s="315"/>
      <c r="AO16" s="315"/>
      <c r="AP16" s="315"/>
      <c r="AQ16" s="315"/>
      <c r="AR16" s="315"/>
      <c r="AS16" s="315"/>
      <c r="AT16" s="315"/>
      <c r="AU16" s="315"/>
      <c r="AV16" s="315"/>
      <c r="AW16" s="315"/>
      <c r="AX16" s="315"/>
      <c r="AY16" s="315"/>
      <c r="AZ16" s="315"/>
      <c r="BA16" s="315"/>
      <c r="BB16" s="315"/>
      <c r="BC16" s="315"/>
      <c r="BD16" s="315"/>
      <c r="BE16" s="315"/>
      <c r="BF16" s="315"/>
      <c r="BG16" s="315"/>
      <c r="BH16" s="315"/>
      <c r="BI16" s="315"/>
      <c r="BJ16" s="315"/>
      <c r="BK16" s="315"/>
      <c r="BL16" s="315"/>
      <c r="BM16" s="315"/>
      <c r="BN16" s="315"/>
      <c r="BO16" s="315"/>
      <c r="BP16" s="315"/>
      <c r="BQ16" s="315"/>
      <c r="BR16" s="315"/>
      <c r="BS16" s="315"/>
      <c r="BT16" s="315"/>
      <c r="BU16" s="315"/>
      <c r="BV16" s="315"/>
      <c r="BW16" s="315"/>
      <c r="BX16" s="315"/>
      <c r="BY16" s="315"/>
      <c r="BZ16" s="315"/>
      <c r="CA16" s="315"/>
      <c r="CB16" s="315"/>
      <c r="CC16" s="315"/>
      <c r="CD16" s="315"/>
      <c r="CE16" s="315"/>
      <c r="CF16" s="315"/>
      <c r="CG16" s="315"/>
      <c r="CH16" s="315"/>
      <c r="CI16" s="315"/>
      <c r="CJ16" s="315"/>
      <c r="CK16" s="315"/>
      <c r="CL16" s="315"/>
      <c r="CM16" s="315"/>
      <c r="CN16" s="315"/>
      <c r="CO16" s="315"/>
      <c r="CP16" s="315"/>
      <c r="CQ16" s="315"/>
      <c r="CR16" s="315"/>
      <c r="CS16" s="315"/>
      <c r="CT16" s="315"/>
      <c r="CU16" s="315"/>
      <c r="CV16" s="315"/>
      <c r="CW16" s="315"/>
      <c r="CX16" s="315"/>
      <c r="CY16" s="315"/>
      <c r="CZ16" s="315"/>
      <c r="DA16" s="315"/>
      <c r="DB16" s="315"/>
      <c r="DC16" s="316"/>
    </row>
    <row r="17" spans="1:107">
      <c r="A17" s="413">
        <v>5.01</v>
      </c>
      <c r="B17" s="411">
        <v>17</v>
      </c>
      <c r="C17" s="409" t="s">
        <v>271</v>
      </c>
      <c r="D17" s="23"/>
      <c r="E17" s="23"/>
      <c r="F17" s="27" t="s">
        <v>23</v>
      </c>
      <c r="G17" s="304"/>
      <c r="H17" s="315"/>
      <c r="I17" s="304"/>
      <c r="J17" s="304"/>
      <c r="K17" s="304"/>
      <c r="L17" s="304"/>
      <c r="M17" s="304"/>
      <c r="N17" s="315"/>
      <c r="O17" s="304"/>
      <c r="P17" s="304"/>
      <c r="Q17" s="304"/>
      <c r="R17" s="304"/>
      <c r="S17" s="304"/>
      <c r="T17" s="304"/>
      <c r="U17" s="304"/>
      <c r="V17" s="304"/>
      <c r="W17" s="304"/>
      <c r="X17" s="304"/>
      <c r="Y17" s="304"/>
      <c r="Z17" s="304"/>
      <c r="AA17" s="304"/>
      <c r="AB17" s="304"/>
      <c r="AC17" s="304"/>
      <c r="AD17" s="304"/>
      <c r="AE17" s="304"/>
      <c r="AF17" s="304"/>
      <c r="AG17" s="304"/>
      <c r="AH17" s="304"/>
      <c r="AI17" s="304"/>
      <c r="AJ17" s="304"/>
      <c r="AK17" s="304"/>
      <c r="AL17" s="304"/>
      <c r="AM17" s="304"/>
      <c r="AN17" s="304"/>
      <c r="AO17" s="304"/>
      <c r="AP17" s="304"/>
      <c r="AQ17" s="304"/>
      <c r="AR17" s="304"/>
      <c r="AS17" s="304"/>
      <c r="AT17" s="304"/>
      <c r="AU17" s="304"/>
      <c r="AV17" s="304"/>
      <c r="AW17" s="304"/>
      <c r="AX17" s="304"/>
      <c r="AY17" s="304"/>
      <c r="AZ17" s="304"/>
      <c r="BA17" s="304"/>
      <c r="BB17" s="304"/>
      <c r="BC17" s="304"/>
      <c r="BD17" s="304"/>
      <c r="BE17" s="304"/>
      <c r="BF17" s="304"/>
      <c r="BG17" s="304"/>
      <c r="BH17" s="304"/>
      <c r="BI17" s="304"/>
      <c r="BJ17" s="304"/>
      <c r="BK17" s="304"/>
      <c r="BL17" s="304"/>
      <c r="BM17" s="304"/>
      <c r="BN17" s="304"/>
      <c r="BO17" s="304"/>
      <c r="BP17" s="304"/>
      <c r="BQ17" s="304"/>
      <c r="BR17" s="304"/>
      <c r="BS17" s="304"/>
      <c r="BT17" s="304"/>
      <c r="BU17" s="304"/>
      <c r="BV17" s="304"/>
      <c r="BW17" s="304"/>
      <c r="BX17" s="304"/>
      <c r="BY17" s="304"/>
      <c r="BZ17" s="304"/>
      <c r="CA17" s="304"/>
      <c r="CB17" s="304"/>
      <c r="CC17" s="304"/>
      <c r="CD17" s="304"/>
      <c r="CE17" s="304"/>
      <c r="CF17" s="304"/>
      <c r="CG17" s="304"/>
      <c r="CH17" s="304"/>
      <c r="CI17" s="304"/>
      <c r="CJ17" s="304"/>
      <c r="CK17" s="304"/>
      <c r="CL17" s="304"/>
      <c r="CM17" s="304"/>
      <c r="CN17" s="304"/>
      <c r="CO17" s="304"/>
      <c r="CP17" s="304"/>
      <c r="CQ17" s="304"/>
      <c r="CR17" s="304"/>
      <c r="CS17" s="304"/>
      <c r="CT17" s="304"/>
      <c r="CU17" s="304"/>
      <c r="CV17" s="304"/>
      <c r="CW17" s="304"/>
      <c r="CX17" s="304"/>
      <c r="CY17" s="304"/>
      <c r="CZ17" s="304"/>
      <c r="DA17" s="304"/>
      <c r="DB17" s="304"/>
      <c r="DC17" s="306"/>
    </row>
    <row r="18" spans="1:107">
      <c r="A18" s="413">
        <v>5.0199999999999996</v>
      </c>
      <c r="B18" s="411">
        <v>18</v>
      </c>
      <c r="C18" s="409" t="s">
        <v>272</v>
      </c>
      <c r="D18" s="23"/>
      <c r="E18" s="23"/>
      <c r="F18" s="27" t="s">
        <v>23</v>
      </c>
      <c r="G18" s="304"/>
      <c r="H18" s="315"/>
      <c r="I18" s="304"/>
      <c r="J18" s="304"/>
      <c r="K18" s="304"/>
      <c r="L18" s="304"/>
      <c r="M18" s="304"/>
      <c r="N18" s="315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  <c r="AJ18" s="304"/>
      <c r="AK18" s="304"/>
      <c r="AL18" s="304"/>
      <c r="AM18" s="304"/>
      <c r="AN18" s="304"/>
      <c r="AO18" s="304"/>
      <c r="AP18" s="304"/>
      <c r="AQ18" s="304"/>
      <c r="AR18" s="304"/>
      <c r="AS18" s="304"/>
      <c r="AT18" s="304"/>
      <c r="AU18" s="304"/>
      <c r="AV18" s="304"/>
      <c r="AW18" s="304"/>
      <c r="AX18" s="304"/>
      <c r="AY18" s="304"/>
      <c r="AZ18" s="304"/>
      <c r="BA18" s="304"/>
      <c r="BB18" s="304"/>
      <c r="BC18" s="304"/>
      <c r="BD18" s="304"/>
      <c r="BE18" s="304"/>
      <c r="BF18" s="304"/>
      <c r="BG18" s="304"/>
      <c r="BH18" s="304"/>
      <c r="BI18" s="304"/>
      <c r="BJ18" s="304"/>
      <c r="BK18" s="304"/>
      <c r="BL18" s="304"/>
      <c r="BM18" s="304"/>
      <c r="BN18" s="304"/>
      <c r="BO18" s="304"/>
      <c r="BP18" s="304"/>
      <c r="BQ18" s="304"/>
      <c r="BR18" s="304"/>
      <c r="BS18" s="304"/>
      <c r="BT18" s="304"/>
      <c r="BU18" s="304"/>
      <c r="BV18" s="304"/>
      <c r="BW18" s="304"/>
      <c r="BX18" s="304"/>
      <c r="BY18" s="304"/>
      <c r="BZ18" s="304"/>
      <c r="CA18" s="304"/>
      <c r="CB18" s="304"/>
      <c r="CC18" s="304"/>
      <c r="CD18" s="304"/>
      <c r="CE18" s="304"/>
      <c r="CF18" s="304"/>
      <c r="CG18" s="304"/>
      <c r="CH18" s="304"/>
      <c r="CI18" s="304"/>
      <c r="CJ18" s="304"/>
      <c r="CK18" s="304"/>
      <c r="CL18" s="304"/>
      <c r="CM18" s="304"/>
      <c r="CN18" s="304"/>
      <c r="CO18" s="304"/>
      <c r="CP18" s="304"/>
      <c r="CQ18" s="304"/>
      <c r="CR18" s="304"/>
      <c r="CS18" s="304"/>
      <c r="CT18" s="304"/>
      <c r="CU18" s="304"/>
      <c r="CV18" s="304"/>
      <c r="CW18" s="304"/>
      <c r="CX18" s="304"/>
      <c r="CY18" s="304"/>
      <c r="CZ18" s="304"/>
      <c r="DA18" s="304"/>
      <c r="DB18" s="304"/>
      <c r="DC18" s="306"/>
    </row>
    <row r="19" spans="1:107">
      <c r="A19" s="413"/>
      <c r="B19" s="411">
        <v>19</v>
      </c>
      <c r="C19" s="409" t="s">
        <v>104</v>
      </c>
      <c r="D19" s="107"/>
      <c r="E19" s="107"/>
      <c r="F19" s="27"/>
      <c r="G19" s="304"/>
      <c r="H19" s="315"/>
      <c r="I19" s="304"/>
      <c r="J19" s="304"/>
      <c r="K19" s="304"/>
      <c r="L19" s="304"/>
      <c r="M19" s="304"/>
      <c r="N19" s="315"/>
      <c r="O19" s="304"/>
      <c r="P19" s="304"/>
      <c r="Q19" s="304"/>
      <c r="R19" s="304"/>
      <c r="S19" s="304"/>
      <c r="T19" s="304"/>
      <c r="U19" s="304"/>
      <c r="V19" s="304"/>
      <c r="W19" s="304"/>
      <c r="X19" s="304"/>
      <c r="Y19" s="304"/>
      <c r="Z19" s="304"/>
      <c r="AA19" s="304"/>
      <c r="AB19" s="304"/>
      <c r="AC19" s="304"/>
      <c r="AD19" s="304"/>
      <c r="AE19" s="304"/>
      <c r="AF19" s="304"/>
      <c r="AG19" s="304"/>
      <c r="AH19" s="304"/>
      <c r="AI19" s="304"/>
      <c r="AJ19" s="304"/>
      <c r="AK19" s="304"/>
      <c r="AL19" s="304"/>
      <c r="AM19" s="304"/>
      <c r="AN19" s="304"/>
      <c r="AO19" s="304"/>
      <c r="AP19" s="304"/>
      <c r="AQ19" s="304"/>
      <c r="AR19" s="304"/>
      <c r="AS19" s="304"/>
      <c r="AT19" s="304"/>
      <c r="AU19" s="304"/>
      <c r="AV19" s="304"/>
      <c r="AW19" s="304"/>
      <c r="AX19" s="304"/>
      <c r="AY19" s="304"/>
      <c r="AZ19" s="304"/>
      <c r="BA19" s="304"/>
      <c r="BB19" s="304"/>
      <c r="BC19" s="304"/>
      <c r="BD19" s="304"/>
      <c r="BE19" s="304"/>
      <c r="BF19" s="304"/>
      <c r="BG19" s="304"/>
      <c r="BH19" s="304"/>
      <c r="BI19" s="304"/>
      <c r="BJ19" s="304"/>
      <c r="BK19" s="304"/>
      <c r="BL19" s="304"/>
      <c r="BM19" s="304"/>
      <c r="BN19" s="304"/>
      <c r="BO19" s="304"/>
      <c r="BP19" s="304"/>
      <c r="BQ19" s="304"/>
      <c r="BR19" s="304"/>
      <c r="BS19" s="304"/>
      <c r="BT19" s="304"/>
      <c r="BU19" s="304"/>
      <c r="BV19" s="304"/>
      <c r="BW19" s="304"/>
      <c r="BX19" s="304"/>
      <c r="BY19" s="304"/>
      <c r="BZ19" s="304"/>
      <c r="CA19" s="304"/>
      <c r="CB19" s="304"/>
      <c r="CC19" s="304"/>
      <c r="CD19" s="304"/>
      <c r="CE19" s="304"/>
      <c r="CF19" s="304"/>
      <c r="CG19" s="304"/>
      <c r="CH19" s="304"/>
      <c r="CI19" s="304"/>
      <c r="CJ19" s="304"/>
      <c r="CK19" s="304"/>
      <c r="CL19" s="304"/>
      <c r="CM19" s="304"/>
      <c r="CN19" s="304"/>
      <c r="CO19" s="304"/>
      <c r="CP19" s="304"/>
      <c r="CQ19" s="304"/>
      <c r="CR19" s="304"/>
      <c r="CS19" s="304"/>
      <c r="CT19" s="304"/>
      <c r="CU19" s="304"/>
      <c r="CV19" s="304"/>
      <c r="CW19" s="304"/>
      <c r="CX19" s="304"/>
      <c r="CY19" s="304"/>
      <c r="CZ19" s="304"/>
      <c r="DA19" s="304"/>
      <c r="DB19" s="304"/>
      <c r="DC19" s="306"/>
    </row>
    <row r="20" spans="1:107">
      <c r="A20" s="412">
        <v>6</v>
      </c>
      <c r="B20" s="410">
        <v>20</v>
      </c>
      <c r="C20" s="408" t="s">
        <v>68</v>
      </c>
      <c r="D20" s="105"/>
      <c r="E20" s="105"/>
      <c r="F20" s="27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315"/>
      <c r="AB20" s="315"/>
      <c r="AC20" s="315"/>
      <c r="AD20" s="315"/>
      <c r="AE20" s="315"/>
      <c r="AF20" s="315"/>
      <c r="AG20" s="315"/>
      <c r="AH20" s="315"/>
      <c r="AI20" s="315"/>
      <c r="AJ20" s="315"/>
      <c r="AK20" s="315"/>
      <c r="AL20" s="315"/>
      <c r="AM20" s="315"/>
      <c r="AN20" s="315"/>
      <c r="AO20" s="315"/>
      <c r="AP20" s="315"/>
      <c r="AQ20" s="315"/>
      <c r="AR20" s="315"/>
      <c r="AS20" s="315"/>
      <c r="AT20" s="315"/>
      <c r="AU20" s="315"/>
      <c r="AV20" s="315"/>
      <c r="AW20" s="315"/>
      <c r="AX20" s="315"/>
      <c r="AY20" s="315"/>
      <c r="AZ20" s="315"/>
      <c r="BA20" s="315"/>
      <c r="BB20" s="315"/>
      <c r="BC20" s="315"/>
      <c r="BD20" s="315"/>
      <c r="BE20" s="315"/>
      <c r="BF20" s="315"/>
      <c r="BG20" s="315"/>
      <c r="BH20" s="315"/>
      <c r="BI20" s="315"/>
      <c r="BJ20" s="315"/>
      <c r="BK20" s="315"/>
      <c r="BL20" s="315"/>
      <c r="BM20" s="315"/>
      <c r="BN20" s="315"/>
      <c r="BO20" s="315"/>
      <c r="BP20" s="315"/>
      <c r="BQ20" s="315"/>
      <c r="BR20" s="315"/>
      <c r="BS20" s="315"/>
      <c r="BT20" s="315"/>
      <c r="BU20" s="315"/>
      <c r="BV20" s="315"/>
      <c r="BW20" s="315"/>
      <c r="BX20" s="315"/>
      <c r="BY20" s="315"/>
      <c r="BZ20" s="315"/>
      <c r="CA20" s="315"/>
      <c r="CB20" s="315"/>
      <c r="CC20" s="315"/>
      <c r="CD20" s="315"/>
      <c r="CE20" s="315"/>
      <c r="CF20" s="315"/>
      <c r="CG20" s="315"/>
      <c r="CH20" s="315"/>
      <c r="CI20" s="315"/>
      <c r="CJ20" s="315"/>
      <c r="CK20" s="315"/>
      <c r="CL20" s="315"/>
      <c r="CM20" s="315"/>
      <c r="CN20" s="315"/>
      <c r="CO20" s="315"/>
      <c r="CP20" s="315"/>
      <c r="CQ20" s="315"/>
      <c r="CR20" s="315"/>
      <c r="CS20" s="315"/>
      <c r="CT20" s="315"/>
      <c r="CU20" s="315"/>
      <c r="CV20" s="315"/>
      <c r="CW20" s="315"/>
      <c r="CX20" s="315"/>
      <c r="CY20" s="315"/>
      <c r="CZ20" s="315"/>
      <c r="DA20" s="315"/>
      <c r="DB20" s="315"/>
      <c r="DC20" s="316"/>
    </row>
    <row r="21" spans="1:107">
      <c r="A21" s="413">
        <v>6.01</v>
      </c>
      <c r="B21" s="411">
        <v>21</v>
      </c>
      <c r="C21" s="409" t="s">
        <v>273</v>
      </c>
      <c r="D21" s="23"/>
      <c r="E21" s="23"/>
      <c r="F21" s="27" t="s">
        <v>17</v>
      </c>
      <c r="G21" s="304">
        <v>1</v>
      </c>
      <c r="H21" s="315"/>
      <c r="I21" s="304">
        <v>1</v>
      </c>
      <c r="J21" s="304"/>
      <c r="K21" s="304"/>
      <c r="L21" s="304"/>
      <c r="M21" s="304"/>
      <c r="N21" s="315"/>
      <c r="O21" s="304"/>
      <c r="P21" s="304"/>
      <c r="Q21" s="304"/>
      <c r="R21" s="304"/>
      <c r="S21" s="304">
        <v>1</v>
      </c>
      <c r="T21" s="304">
        <v>1</v>
      </c>
      <c r="U21" s="304"/>
      <c r="V21" s="304">
        <v>1</v>
      </c>
      <c r="W21" s="304">
        <v>1</v>
      </c>
      <c r="X21" s="304"/>
      <c r="Y21" s="304">
        <v>2</v>
      </c>
      <c r="Z21" s="304"/>
      <c r="AA21" s="304">
        <v>2</v>
      </c>
      <c r="AB21" s="304"/>
      <c r="AC21" s="304"/>
      <c r="AD21" s="304"/>
      <c r="AE21" s="304"/>
      <c r="AF21" s="304"/>
      <c r="AG21" s="304"/>
      <c r="AH21" s="304">
        <v>2</v>
      </c>
      <c r="AI21" s="304">
        <v>2</v>
      </c>
      <c r="AJ21" s="304">
        <v>2</v>
      </c>
      <c r="AK21" s="304"/>
      <c r="AL21" s="304"/>
      <c r="AM21" s="304"/>
      <c r="AN21" s="304"/>
      <c r="AO21" s="304"/>
      <c r="AP21" s="304"/>
      <c r="AQ21" s="304"/>
      <c r="AR21" s="304">
        <v>2</v>
      </c>
      <c r="AS21" s="304"/>
      <c r="AT21" s="304"/>
      <c r="AU21" s="304"/>
      <c r="AV21" s="304"/>
      <c r="AW21" s="304"/>
      <c r="AX21" s="304"/>
      <c r="AY21" s="304"/>
      <c r="AZ21" s="304"/>
      <c r="BA21" s="304"/>
      <c r="BB21" s="304"/>
      <c r="BC21" s="304"/>
      <c r="BD21" s="304"/>
      <c r="BE21" s="304"/>
      <c r="BF21" s="304">
        <v>3</v>
      </c>
      <c r="BG21" s="304">
        <v>3</v>
      </c>
      <c r="BH21" s="304"/>
      <c r="BI21" s="304">
        <v>3</v>
      </c>
      <c r="BJ21" s="304"/>
      <c r="BK21" s="304"/>
      <c r="BL21" s="304"/>
      <c r="BM21" s="304"/>
      <c r="BN21" s="304"/>
      <c r="BO21" s="304"/>
      <c r="BP21" s="304"/>
      <c r="BQ21" s="304"/>
      <c r="BR21" s="304">
        <v>3</v>
      </c>
      <c r="BS21" s="304"/>
      <c r="BT21" s="304"/>
      <c r="BU21" s="304"/>
      <c r="BV21" s="304"/>
      <c r="BW21" s="304">
        <v>3</v>
      </c>
      <c r="BX21" s="304">
        <v>3</v>
      </c>
      <c r="BY21" s="304"/>
      <c r="BZ21" s="304"/>
      <c r="CA21" s="304"/>
      <c r="CB21" s="304"/>
      <c r="CC21" s="304">
        <v>3</v>
      </c>
      <c r="CD21" s="304"/>
      <c r="CE21" s="304"/>
      <c r="CF21" s="304"/>
      <c r="CG21" s="304"/>
      <c r="CH21" s="304"/>
      <c r="CI21" s="304"/>
      <c r="CJ21" s="304"/>
      <c r="CK21" s="304"/>
      <c r="CL21" s="304"/>
      <c r="CM21" s="304">
        <v>1</v>
      </c>
      <c r="CN21" s="304">
        <v>1</v>
      </c>
      <c r="CO21" s="304"/>
      <c r="CP21" s="304"/>
      <c r="CQ21" s="304"/>
      <c r="CR21" s="304"/>
      <c r="CS21" s="304"/>
      <c r="CT21" s="304"/>
      <c r="CU21" s="304"/>
      <c r="CV21" s="304"/>
      <c r="CW21" s="304"/>
      <c r="CX21" s="304"/>
      <c r="CY21" s="304"/>
      <c r="CZ21" s="304"/>
      <c r="DA21" s="304"/>
      <c r="DB21" s="304"/>
      <c r="DC21" s="306"/>
    </row>
    <row r="22" spans="1:107">
      <c r="A22" s="413">
        <v>6.02</v>
      </c>
      <c r="B22" s="411">
        <v>22</v>
      </c>
      <c r="C22" s="409" t="s">
        <v>274</v>
      </c>
      <c r="D22" s="23"/>
      <c r="E22" s="23"/>
      <c r="F22" s="27" t="s">
        <v>17</v>
      </c>
      <c r="G22" s="304">
        <v>1</v>
      </c>
      <c r="H22" s="315"/>
      <c r="I22" s="304">
        <v>1</v>
      </c>
      <c r="J22" s="304"/>
      <c r="K22" s="304"/>
      <c r="L22" s="304"/>
      <c r="M22" s="304"/>
      <c r="N22" s="315"/>
      <c r="O22" s="304"/>
      <c r="P22" s="304"/>
      <c r="Q22" s="304"/>
      <c r="R22" s="304"/>
      <c r="S22" s="304">
        <v>1</v>
      </c>
      <c r="T22" s="304">
        <v>1</v>
      </c>
      <c r="U22" s="304"/>
      <c r="V22" s="304">
        <v>1</v>
      </c>
      <c r="W22" s="304">
        <v>1</v>
      </c>
      <c r="X22" s="304"/>
      <c r="Y22" s="304">
        <v>2</v>
      </c>
      <c r="Z22" s="304"/>
      <c r="AA22" s="304">
        <v>2</v>
      </c>
      <c r="AB22" s="304"/>
      <c r="AC22" s="304"/>
      <c r="AD22" s="304"/>
      <c r="AE22" s="304"/>
      <c r="AF22" s="304"/>
      <c r="AG22" s="304"/>
      <c r="AH22" s="304">
        <v>2</v>
      </c>
      <c r="AI22" s="304">
        <v>2</v>
      </c>
      <c r="AJ22" s="304">
        <v>2</v>
      </c>
      <c r="AK22" s="304"/>
      <c r="AL22" s="304"/>
      <c r="AM22" s="304"/>
      <c r="AN22" s="304"/>
      <c r="AO22" s="304"/>
      <c r="AP22" s="304"/>
      <c r="AQ22" s="304"/>
      <c r="AR22" s="304">
        <v>2</v>
      </c>
      <c r="AS22" s="304"/>
      <c r="AT22" s="304"/>
      <c r="AU22" s="304"/>
      <c r="AV22" s="304"/>
      <c r="AW22" s="304"/>
      <c r="AX22" s="304"/>
      <c r="AY22" s="304"/>
      <c r="AZ22" s="304"/>
      <c r="BA22" s="304"/>
      <c r="BB22" s="304"/>
      <c r="BC22" s="304"/>
      <c r="BD22" s="304"/>
      <c r="BE22" s="304"/>
      <c r="BF22" s="304">
        <v>3</v>
      </c>
      <c r="BG22" s="304">
        <v>3</v>
      </c>
      <c r="BH22" s="304"/>
      <c r="BI22" s="304">
        <v>3</v>
      </c>
      <c r="BJ22" s="304"/>
      <c r="BK22" s="304"/>
      <c r="BL22" s="304"/>
      <c r="BM22" s="304"/>
      <c r="BN22" s="304"/>
      <c r="BO22" s="304"/>
      <c r="BP22" s="304"/>
      <c r="BQ22" s="304"/>
      <c r="BR22" s="304">
        <v>3</v>
      </c>
      <c r="BS22" s="304"/>
      <c r="BT22" s="304"/>
      <c r="BU22" s="304"/>
      <c r="BV22" s="304"/>
      <c r="BW22" s="304">
        <v>3</v>
      </c>
      <c r="BX22" s="304">
        <v>3</v>
      </c>
      <c r="BY22" s="304"/>
      <c r="BZ22" s="304"/>
      <c r="CA22" s="304"/>
      <c r="CB22" s="304"/>
      <c r="CC22" s="304">
        <v>3</v>
      </c>
      <c r="CD22" s="304"/>
      <c r="CE22" s="304"/>
      <c r="CF22" s="304"/>
      <c r="CG22" s="304"/>
      <c r="CH22" s="304"/>
      <c r="CI22" s="304"/>
      <c r="CJ22" s="304"/>
      <c r="CK22" s="304"/>
      <c r="CL22" s="304"/>
      <c r="CM22" s="304">
        <v>1</v>
      </c>
      <c r="CN22" s="304">
        <v>1</v>
      </c>
      <c r="CO22" s="304"/>
      <c r="CP22" s="304"/>
      <c r="CQ22" s="304"/>
      <c r="CR22" s="304"/>
      <c r="CS22" s="304"/>
      <c r="CT22" s="304"/>
      <c r="CU22" s="304"/>
      <c r="CV22" s="304"/>
      <c r="CW22" s="304"/>
      <c r="CX22" s="304"/>
      <c r="CY22" s="304"/>
      <c r="CZ22" s="304"/>
      <c r="DA22" s="304"/>
      <c r="DB22" s="304"/>
      <c r="DC22" s="306"/>
    </row>
    <row r="23" spans="1:107">
      <c r="A23" s="413">
        <v>6.0299999999999994</v>
      </c>
      <c r="B23" s="411">
        <v>23</v>
      </c>
      <c r="C23" s="409" t="s">
        <v>275</v>
      </c>
      <c r="D23" s="23"/>
      <c r="E23" s="23"/>
      <c r="F23" s="27" t="s">
        <v>17</v>
      </c>
      <c r="G23" s="304"/>
      <c r="H23" s="315">
        <v>1</v>
      </c>
      <c r="I23" s="304"/>
      <c r="J23" s="304"/>
      <c r="K23" s="304"/>
      <c r="L23" s="304"/>
      <c r="M23" s="304"/>
      <c r="N23" s="315"/>
      <c r="O23" s="304"/>
      <c r="P23" s="304"/>
      <c r="Q23" s="304"/>
      <c r="R23" s="304"/>
      <c r="S23" s="304"/>
      <c r="T23" s="304"/>
      <c r="U23" s="304"/>
      <c r="V23" s="304"/>
      <c r="W23" s="304"/>
      <c r="X23" s="304"/>
      <c r="Y23" s="304"/>
      <c r="Z23" s="304">
        <v>2</v>
      </c>
      <c r="AA23" s="304"/>
      <c r="AB23" s="304"/>
      <c r="AC23" s="304"/>
      <c r="AD23" s="304"/>
      <c r="AE23" s="304"/>
      <c r="AF23" s="304"/>
      <c r="AG23" s="304"/>
      <c r="AH23" s="304"/>
      <c r="AI23" s="304"/>
      <c r="AJ23" s="304"/>
      <c r="AK23" s="304">
        <v>2</v>
      </c>
      <c r="AL23" s="304"/>
      <c r="AM23" s="304"/>
      <c r="AN23" s="304"/>
      <c r="AO23" s="304"/>
      <c r="AP23" s="304"/>
      <c r="AQ23" s="304"/>
      <c r="AR23" s="304"/>
      <c r="AS23" s="304"/>
      <c r="AT23" s="304"/>
      <c r="AU23" s="304"/>
      <c r="AV23" s="304"/>
      <c r="AW23" s="304"/>
      <c r="AX23" s="304"/>
      <c r="AY23" s="304"/>
      <c r="AZ23" s="304"/>
      <c r="BA23" s="304"/>
      <c r="BB23" s="304">
        <v>1</v>
      </c>
      <c r="BC23" s="304"/>
      <c r="BD23" s="304"/>
      <c r="BE23" s="304">
        <v>3</v>
      </c>
      <c r="BF23" s="304"/>
      <c r="BG23" s="304"/>
      <c r="BH23" s="304">
        <v>3</v>
      </c>
      <c r="BI23" s="304"/>
      <c r="BJ23" s="304"/>
      <c r="BK23" s="304"/>
      <c r="BL23" s="304"/>
      <c r="BM23" s="304"/>
      <c r="BN23" s="304"/>
      <c r="BO23" s="304"/>
      <c r="BP23" s="304"/>
      <c r="BQ23" s="304"/>
      <c r="BR23" s="304"/>
      <c r="BS23" s="304"/>
      <c r="BT23" s="304"/>
      <c r="BU23" s="304"/>
      <c r="BV23" s="304"/>
      <c r="BW23" s="304"/>
      <c r="BX23" s="304"/>
      <c r="BY23" s="304"/>
      <c r="BZ23" s="304"/>
      <c r="CA23" s="304"/>
      <c r="CB23" s="304">
        <v>3</v>
      </c>
      <c r="CC23" s="304"/>
      <c r="CD23" s="304"/>
      <c r="CE23" s="304"/>
      <c r="CF23" s="304"/>
      <c r="CG23" s="304"/>
      <c r="CH23" s="304"/>
      <c r="CI23" s="304"/>
      <c r="CJ23" s="304"/>
      <c r="CK23" s="304"/>
      <c r="CL23" s="304"/>
      <c r="CM23" s="304"/>
      <c r="CN23" s="304"/>
      <c r="CO23" s="304"/>
      <c r="CP23" s="304"/>
      <c r="CQ23" s="304"/>
      <c r="CR23" s="304"/>
      <c r="CS23" s="304"/>
      <c r="CT23" s="304"/>
      <c r="CU23" s="304"/>
      <c r="CV23" s="304"/>
      <c r="CW23" s="304"/>
      <c r="CX23" s="304"/>
      <c r="CY23" s="304"/>
      <c r="CZ23" s="304"/>
      <c r="DA23" s="304"/>
      <c r="DB23" s="304"/>
      <c r="DC23" s="306"/>
    </row>
    <row r="24" spans="1:107">
      <c r="A24" s="413">
        <v>6.0399999999999991</v>
      </c>
      <c r="B24" s="411">
        <v>24</v>
      </c>
      <c r="C24" s="409" t="s">
        <v>276</v>
      </c>
      <c r="D24" s="23"/>
      <c r="E24" s="23"/>
      <c r="F24" s="27" t="s">
        <v>17</v>
      </c>
      <c r="G24" s="304"/>
      <c r="H24" s="315"/>
      <c r="I24" s="304"/>
      <c r="J24" s="304"/>
      <c r="K24" s="304"/>
      <c r="L24" s="304"/>
      <c r="M24" s="304"/>
      <c r="N24" s="315"/>
      <c r="O24" s="304"/>
      <c r="P24" s="304"/>
      <c r="Q24" s="304"/>
      <c r="R24" s="304"/>
      <c r="S24" s="304"/>
      <c r="T24" s="304"/>
      <c r="U24" s="304"/>
      <c r="V24" s="304"/>
      <c r="W24" s="304"/>
      <c r="X24" s="304"/>
      <c r="Y24" s="304"/>
      <c r="Z24" s="304"/>
      <c r="AA24" s="304"/>
      <c r="AB24" s="304"/>
      <c r="AC24" s="304"/>
      <c r="AD24" s="304"/>
      <c r="AE24" s="304"/>
      <c r="AF24" s="304"/>
      <c r="AG24" s="304"/>
      <c r="AH24" s="304"/>
      <c r="AI24" s="304"/>
      <c r="AJ24" s="304"/>
      <c r="AK24" s="304"/>
      <c r="AL24" s="304"/>
      <c r="AM24" s="304"/>
      <c r="AN24" s="304"/>
      <c r="AO24" s="304"/>
      <c r="AP24" s="304"/>
      <c r="AQ24" s="304"/>
      <c r="AR24" s="304"/>
      <c r="AS24" s="304"/>
      <c r="AT24" s="304"/>
      <c r="AU24" s="304"/>
      <c r="AV24" s="304"/>
      <c r="AW24" s="304"/>
      <c r="AX24" s="304"/>
      <c r="AY24" s="304"/>
      <c r="AZ24" s="304"/>
      <c r="BA24" s="304"/>
      <c r="BB24" s="304"/>
      <c r="BC24" s="304"/>
      <c r="BD24" s="304"/>
      <c r="BE24" s="304"/>
      <c r="BF24" s="304"/>
      <c r="BG24" s="304"/>
      <c r="BH24" s="304"/>
      <c r="BI24" s="304"/>
      <c r="BJ24" s="304"/>
      <c r="BK24" s="304"/>
      <c r="BL24" s="304"/>
      <c r="BM24" s="304"/>
      <c r="BN24" s="304"/>
      <c r="BO24" s="304"/>
      <c r="BP24" s="304"/>
      <c r="BQ24" s="304"/>
      <c r="BR24" s="304"/>
      <c r="BS24" s="304"/>
      <c r="BT24" s="304"/>
      <c r="BU24" s="304"/>
      <c r="BV24" s="304"/>
      <c r="BW24" s="304"/>
      <c r="BX24" s="304"/>
      <c r="BY24" s="304"/>
      <c r="BZ24" s="304"/>
      <c r="CA24" s="304"/>
      <c r="CB24" s="304"/>
      <c r="CC24" s="304"/>
      <c r="CD24" s="304"/>
      <c r="CE24" s="304"/>
      <c r="CF24" s="304"/>
      <c r="CG24" s="304"/>
      <c r="CH24" s="304"/>
      <c r="CI24" s="304"/>
      <c r="CJ24" s="304"/>
      <c r="CK24" s="304"/>
      <c r="CL24" s="304"/>
      <c r="CM24" s="304"/>
      <c r="CN24" s="304"/>
      <c r="CO24" s="304"/>
      <c r="CP24" s="304"/>
      <c r="CQ24" s="304"/>
      <c r="CR24" s="304"/>
      <c r="CS24" s="304"/>
      <c r="CT24" s="304"/>
      <c r="CU24" s="304"/>
      <c r="CV24" s="304"/>
      <c r="CW24" s="304"/>
      <c r="CX24" s="304"/>
      <c r="CY24" s="304"/>
      <c r="CZ24" s="304"/>
      <c r="DA24" s="304"/>
      <c r="DB24" s="304"/>
      <c r="DC24" s="306"/>
    </row>
    <row r="25" spans="1:107">
      <c r="A25" s="413">
        <v>6.0499999999999989</v>
      </c>
      <c r="B25" s="411">
        <v>25</v>
      </c>
      <c r="C25" s="409" t="s">
        <v>277</v>
      </c>
      <c r="D25" s="23"/>
      <c r="E25" s="23"/>
      <c r="F25" s="27" t="s">
        <v>17</v>
      </c>
      <c r="G25" s="304"/>
      <c r="H25" s="315"/>
      <c r="I25" s="304"/>
      <c r="J25" s="304"/>
      <c r="K25" s="304"/>
      <c r="L25" s="304"/>
      <c r="M25" s="304"/>
      <c r="N25" s="315"/>
      <c r="O25" s="304"/>
      <c r="P25" s="304"/>
      <c r="Q25" s="304"/>
      <c r="R25" s="304"/>
      <c r="S25" s="304"/>
      <c r="T25" s="304"/>
      <c r="U25" s="304"/>
      <c r="V25" s="304"/>
      <c r="W25" s="304"/>
      <c r="X25" s="304"/>
      <c r="Y25" s="304"/>
      <c r="Z25" s="304"/>
      <c r="AA25" s="304"/>
      <c r="AB25" s="304"/>
      <c r="AC25" s="304"/>
      <c r="AD25" s="304"/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  <c r="AO25" s="304"/>
      <c r="AP25" s="304"/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4"/>
      <c r="BK25" s="304"/>
      <c r="BL25" s="304"/>
      <c r="BM25" s="304"/>
      <c r="BN25" s="304"/>
      <c r="BO25" s="304"/>
      <c r="BP25" s="304"/>
      <c r="BQ25" s="304"/>
      <c r="BR25" s="304"/>
      <c r="BS25" s="304"/>
      <c r="BT25" s="304"/>
      <c r="BU25" s="304"/>
      <c r="BV25" s="304"/>
      <c r="BW25" s="304"/>
      <c r="BX25" s="304"/>
      <c r="BY25" s="304"/>
      <c r="BZ25" s="304"/>
      <c r="CA25" s="304"/>
      <c r="CB25" s="304"/>
      <c r="CC25" s="304"/>
      <c r="CD25" s="304"/>
      <c r="CE25" s="304"/>
      <c r="CF25" s="304"/>
      <c r="CG25" s="304"/>
      <c r="CH25" s="304"/>
      <c r="CI25" s="304"/>
      <c r="CJ25" s="304"/>
      <c r="CK25" s="304"/>
      <c r="CL25" s="304"/>
      <c r="CM25" s="304"/>
      <c r="CN25" s="304"/>
      <c r="CO25" s="304"/>
      <c r="CP25" s="304"/>
      <c r="CQ25" s="304"/>
      <c r="CR25" s="304"/>
      <c r="CS25" s="304"/>
      <c r="CT25" s="304"/>
      <c r="CU25" s="304"/>
      <c r="CV25" s="304"/>
      <c r="CW25" s="304"/>
      <c r="CX25" s="304"/>
      <c r="CY25" s="304"/>
      <c r="CZ25" s="304"/>
      <c r="DA25" s="304"/>
      <c r="DB25" s="304"/>
      <c r="DC25" s="306"/>
    </row>
    <row r="26" spans="1:107">
      <c r="A26" s="413">
        <v>6.0599999999999987</v>
      </c>
      <c r="B26" s="411">
        <v>26</v>
      </c>
      <c r="C26" s="409" t="s">
        <v>278</v>
      </c>
      <c r="D26" s="23"/>
      <c r="E26" s="23"/>
      <c r="F26" s="27" t="s">
        <v>17</v>
      </c>
      <c r="G26" s="304"/>
      <c r="H26" s="315"/>
      <c r="I26" s="304"/>
      <c r="J26" s="304">
        <v>1</v>
      </c>
      <c r="K26" s="304">
        <v>1</v>
      </c>
      <c r="L26" s="304"/>
      <c r="M26" s="304">
        <v>1</v>
      </c>
      <c r="N26" s="315">
        <v>1</v>
      </c>
      <c r="O26" s="304">
        <v>1</v>
      </c>
      <c r="P26" s="304">
        <v>1</v>
      </c>
      <c r="Q26" s="304">
        <v>2</v>
      </c>
      <c r="R26" s="304">
        <v>2</v>
      </c>
      <c r="S26" s="304"/>
      <c r="T26" s="304"/>
      <c r="U26" s="304">
        <v>1</v>
      </c>
      <c r="V26" s="304"/>
      <c r="W26" s="304"/>
      <c r="X26" s="304"/>
      <c r="Y26" s="304"/>
      <c r="Z26" s="304"/>
      <c r="AA26" s="304"/>
      <c r="AB26" s="304">
        <v>2</v>
      </c>
      <c r="AC26" s="304">
        <v>2</v>
      </c>
      <c r="AD26" s="304"/>
      <c r="AE26" s="304">
        <v>2</v>
      </c>
      <c r="AF26" s="304">
        <v>2</v>
      </c>
      <c r="AG26" s="304">
        <v>2</v>
      </c>
      <c r="AH26" s="304"/>
      <c r="AI26" s="304"/>
      <c r="AJ26" s="304"/>
      <c r="AK26" s="304"/>
      <c r="AL26" s="304">
        <v>2</v>
      </c>
      <c r="AM26" s="304">
        <v>2</v>
      </c>
      <c r="AN26" s="304">
        <v>2</v>
      </c>
      <c r="AO26" s="304">
        <v>4</v>
      </c>
      <c r="AP26" s="304">
        <v>4</v>
      </c>
      <c r="AQ26" s="304"/>
      <c r="AR26" s="304"/>
      <c r="AS26" s="304">
        <v>2</v>
      </c>
      <c r="AT26" s="304">
        <v>2</v>
      </c>
      <c r="AU26" s="304"/>
      <c r="AV26" s="304"/>
      <c r="AW26" s="304"/>
      <c r="AX26" s="304"/>
      <c r="AY26" s="304"/>
      <c r="AZ26" s="304">
        <v>1</v>
      </c>
      <c r="BA26" s="304">
        <v>1</v>
      </c>
      <c r="BB26" s="304"/>
      <c r="BC26" s="304"/>
      <c r="BD26" s="304">
        <v>3</v>
      </c>
      <c r="BE26" s="304"/>
      <c r="BF26" s="304"/>
      <c r="BG26" s="304"/>
      <c r="BH26" s="304"/>
      <c r="BI26" s="304"/>
      <c r="BJ26" s="304">
        <v>3</v>
      </c>
      <c r="BK26" s="304">
        <v>3</v>
      </c>
      <c r="BL26" s="304">
        <v>3</v>
      </c>
      <c r="BM26" s="304"/>
      <c r="BN26" s="304"/>
      <c r="BO26" s="304">
        <v>3</v>
      </c>
      <c r="BP26" s="304">
        <v>3</v>
      </c>
      <c r="BQ26" s="304">
        <v>3</v>
      </c>
      <c r="BR26" s="304"/>
      <c r="BS26" s="304"/>
      <c r="BT26" s="304"/>
      <c r="BU26" s="304"/>
      <c r="BV26" s="304"/>
      <c r="BW26" s="304"/>
      <c r="BX26" s="304"/>
      <c r="BY26" s="304">
        <v>3</v>
      </c>
      <c r="BZ26" s="304"/>
      <c r="CA26" s="304">
        <v>3</v>
      </c>
      <c r="CB26" s="304"/>
      <c r="CC26" s="304"/>
      <c r="CD26" s="304">
        <v>3</v>
      </c>
      <c r="CE26" s="304"/>
      <c r="CF26" s="304"/>
      <c r="CG26" s="304"/>
      <c r="CH26" s="304"/>
      <c r="CI26" s="304"/>
      <c r="CJ26" s="304"/>
      <c r="CK26" s="304"/>
      <c r="CL26" s="304"/>
      <c r="CM26" s="304"/>
      <c r="CN26" s="304"/>
      <c r="CO26" s="304"/>
      <c r="CP26" s="304"/>
      <c r="CQ26" s="304"/>
      <c r="CR26" s="304"/>
      <c r="CS26" s="304"/>
      <c r="CT26" s="304"/>
      <c r="CU26" s="304"/>
      <c r="CV26" s="304"/>
      <c r="CW26" s="304"/>
      <c r="CX26" s="304"/>
      <c r="CY26" s="304"/>
      <c r="CZ26" s="304"/>
      <c r="DA26" s="304"/>
      <c r="DB26" s="304"/>
      <c r="DC26" s="306"/>
    </row>
    <row r="27" spans="1:107">
      <c r="A27" s="413">
        <v>6.0699999999999985</v>
      </c>
      <c r="B27" s="411">
        <v>27</v>
      </c>
      <c r="C27" s="409" t="s">
        <v>279</v>
      </c>
      <c r="D27" s="23"/>
      <c r="E27" s="23"/>
      <c r="F27" s="27" t="s">
        <v>17</v>
      </c>
      <c r="G27" s="304"/>
      <c r="H27" s="315"/>
      <c r="I27" s="304"/>
      <c r="J27" s="304">
        <v>1</v>
      </c>
      <c r="K27" s="304">
        <v>1</v>
      </c>
      <c r="L27" s="304"/>
      <c r="M27" s="304">
        <v>1</v>
      </c>
      <c r="N27" s="315">
        <v>1</v>
      </c>
      <c r="O27" s="304">
        <v>1</v>
      </c>
      <c r="P27" s="304">
        <v>1</v>
      </c>
      <c r="Q27" s="304">
        <v>2</v>
      </c>
      <c r="R27" s="304">
        <v>2</v>
      </c>
      <c r="S27" s="304"/>
      <c r="T27" s="304"/>
      <c r="U27" s="304">
        <v>1</v>
      </c>
      <c r="V27" s="304"/>
      <c r="W27" s="304"/>
      <c r="X27" s="304"/>
      <c r="Y27" s="304"/>
      <c r="Z27" s="304"/>
      <c r="AA27" s="304"/>
      <c r="AB27" s="304">
        <v>2</v>
      </c>
      <c r="AC27" s="304">
        <v>2</v>
      </c>
      <c r="AD27" s="304"/>
      <c r="AE27" s="304">
        <v>2</v>
      </c>
      <c r="AF27" s="304">
        <v>2</v>
      </c>
      <c r="AG27" s="304">
        <v>2</v>
      </c>
      <c r="AH27" s="304"/>
      <c r="AI27" s="304"/>
      <c r="AJ27" s="304"/>
      <c r="AK27" s="304"/>
      <c r="AL27" s="304">
        <v>2</v>
      </c>
      <c r="AM27" s="304">
        <v>2</v>
      </c>
      <c r="AN27" s="304">
        <v>2</v>
      </c>
      <c r="AO27" s="304">
        <v>4</v>
      </c>
      <c r="AP27" s="304">
        <v>4</v>
      </c>
      <c r="AQ27" s="304"/>
      <c r="AR27" s="304"/>
      <c r="AS27" s="304">
        <v>2</v>
      </c>
      <c r="AT27" s="304">
        <v>2</v>
      </c>
      <c r="AU27" s="304"/>
      <c r="AV27" s="304"/>
      <c r="AW27" s="304"/>
      <c r="AX27" s="304"/>
      <c r="AY27" s="304"/>
      <c r="AZ27" s="304">
        <v>1</v>
      </c>
      <c r="BA27" s="304">
        <v>1</v>
      </c>
      <c r="BB27" s="304"/>
      <c r="BC27" s="304"/>
      <c r="BD27" s="304">
        <v>3</v>
      </c>
      <c r="BE27" s="304"/>
      <c r="BF27" s="304"/>
      <c r="BG27" s="304"/>
      <c r="BH27" s="304"/>
      <c r="BI27" s="304"/>
      <c r="BJ27" s="304">
        <v>3</v>
      </c>
      <c r="BK27" s="304">
        <v>3</v>
      </c>
      <c r="BL27" s="304">
        <v>3</v>
      </c>
      <c r="BM27" s="304"/>
      <c r="BN27" s="304"/>
      <c r="BO27" s="304">
        <v>3</v>
      </c>
      <c r="BP27" s="304">
        <v>3</v>
      </c>
      <c r="BQ27" s="304">
        <v>3</v>
      </c>
      <c r="BR27" s="304"/>
      <c r="BS27" s="304"/>
      <c r="BT27" s="304"/>
      <c r="BU27" s="304"/>
      <c r="BV27" s="304"/>
      <c r="BW27" s="304"/>
      <c r="BX27" s="304"/>
      <c r="BY27" s="304">
        <v>3</v>
      </c>
      <c r="BZ27" s="304"/>
      <c r="CA27" s="304">
        <v>3</v>
      </c>
      <c r="CB27" s="304"/>
      <c r="CC27" s="304"/>
      <c r="CD27" s="304">
        <v>3</v>
      </c>
      <c r="CE27" s="304"/>
      <c r="CF27" s="304"/>
      <c r="CG27" s="304"/>
      <c r="CH27" s="304"/>
      <c r="CI27" s="304"/>
      <c r="CJ27" s="304"/>
      <c r="CK27" s="304"/>
      <c r="CL27" s="304"/>
      <c r="CM27" s="304"/>
      <c r="CN27" s="304"/>
      <c r="CO27" s="304"/>
      <c r="CP27" s="304"/>
      <c r="CQ27" s="304"/>
      <c r="CR27" s="304"/>
      <c r="CS27" s="304"/>
      <c r="CT27" s="304"/>
      <c r="CU27" s="304"/>
      <c r="CV27" s="304"/>
      <c r="CW27" s="304"/>
      <c r="CX27" s="304"/>
      <c r="CY27" s="304"/>
      <c r="CZ27" s="304"/>
      <c r="DA27" s="304"/>
      <c r="DB27" s="304"/>
      <c r="DC27" s="306"/>
    </row>
    <row r="28" spans="1:107">
      <c r="A28" s="413">
        <v>6.0799999999999983</v>
      </c>
      <c r="B28" s="411">
        <v>28</v>
      </c>
      <c r="C28" s="409" t="s">
        <v>280</v>
      </c>
      <c r="D28" s="23"/>
      <c r="E28" s="23"/>
      <c r="F28" s="27" t="s">
        <v>20</v>
      </c>
      <c r="G28" s="304">
        <v>2.5</v>
      </c>
      <c r="H28" s="315">
        <v>5</v>
      </c>
      <c r="I28" s="304"/>
      <c r="J28" s="304"/>
      <c r="K28" s="304">
        <v>1.5</v>
      </c>
      <c r="L28" s="304"/>
      <c r="M28" s="304">
        <v>1.5</v>
      </c>
      <c r="N28" s="315"/>
      <c r="O28" s="304">
        <v>1.5</v>
      </c>
      <c r="P28" s="304">
        <v>2.5</v>
      </c>
      <c r="Q28" s="304"/>
      <c r="R28" s="304">
        <v>2.5</v>
      </c>
      <c r="S28" s="304">
        <v>2.5</v>
      </c>
      <c r="T28" s="304">
        <v>2.5</v>
      </c>
      <c r="U28" s="304">
        <v>1.5</v>
      </c>
      <c r="V28" s="304">
        <v>2.5</v>
      </c>
      <c r="W28" s="304">
        <v>2.5</v>
      </c>
      <c r="X28" s="304"/>
      <c r="Y28" s="304">
        <v>5</v>
      </c>
      <c r="Z28" s="304">
        <v>10</v>
      </c>
      <c r="AA28" s="304"/>
      <c r="AB28" s="304"/>
      <c r="AC28" s="304"/>
      <c r="AD28" s="304"/>
      <c r="AE28" s="304"/>
      <c r="AF28" s="304">
        <v>3</v>
      </c>
      <c r="AG28" s="304">
        <v>3</v>
      </c>
      <c r="AH28" s="304">
        <v>5</v>
      </c>
      <c r="AI28" s="304">
        <v>5</v>
      </c>
      <c r="AJ28" s="304">
        <v>5</v>
      </c>
      <c r="AK28" s="304">
        <v>5</v>
      </c>
      <c r="AL28" s="304"/>
      <c r="AM28" s="304">
        <v>3</v>
      </c>
      <c r="AN28" s="304">
        <v>3</v>
      </c>
      <c r="AO28" s="304"/>
      <c r="AP28" s="304">
        <v>3</v>
      </c>
      <c r="AQ28" s="304">
        <v>5</v>
      </c>
      <c r="AR28" s="304"/>
      <c r="AS28" s="304">
        <v>5</v>
      </c>
      <c r="AT28" s="304">
        <v>3</v>
      </c>
      <c r="AU28" s="304"/>
      <c r="AV28" s="304"/>
      <c r="AW28" s="304"/>
      <c r="AX28" s="304"/>
      <c r="AY28" s="304"/>
      <c r="AZ28" s="304">
        <v>2.5</v>
      </c>
      <c r="BA28" s="304">
        <v>2.5</v>
      </c>
      <c r="BB28" s="304"/>
      <c r="BC28" s="304">
        <v>2.5</v>
      </c>
      <c r="BD28" s="304"/>
      <c r="BE28" s="304">
        <v>15</v>
      </c>
      <c r="BF28" s="304">
        <v>7.5</v>
      </c>
      <c r="BG28" s="304">
        <v>7.5</v>
      </c>
      <c r="BH28" s="304">
        <v>15</v>
      </c>
      <c r="BI28" s="304"/>
      <c r="BJ28" s="304"/>
      <c r="BK28" s="304">
        <v>2.5</v>
      </c>
      <c r="BL28" s="304">
        <v>2.5</v>
      </c>
      <c r="BM28" s="304"/>
      <c r="BN28" s="304"/>
      <c r="BO28" s="304"/>
      <c r="BP28" s="304">
        <v>7.5</v>
      </c>
      <c r="BQ28" s="304">
        <v>7.5</v>
      </c>
      <c r="BR28" s="304">
        <v>7.5</v>
      </c>
      <c r="BS28" s="304"/>
      <c r="BT28" s="304"/>
      <c r="BU28" s="304"/>
      <c r="BV28" s="304"/>
      <c r="BW28" s="304">
        <v>7.5</v>
      </c>
      <c r="BX28" s="304">
        <v>7.5</v>
      </c>
      <c r="BY28" s="304"/>
      <c r="BZ28" s="304">
        <v>7.5</v>
      </c>
      <c r="CA28" s="304">
        <v>7.5</v>
      </c>
      <c r="CB28" s="304">
        <v>15</v>
      </c>
      <c r="CC28" s="304"/>
      <c r="CD28" s="304">
        <v>7.5</v>
      </c>
      <c r="CE28" s="304">
        <v>4.5</v>
      </c>
      <c r="CF28" s="304"/>
      <c r="CG28" s="304"/>
      <c r="CH28" s="304"/>
      <c r="CI28" s="304"/>
      <c r="CJ28" s="304"/>
      <c r="CK28" s="304"/>
      <c r="CL28" s="304"/>
      <c r="CM28" s="304"/>
      <c r="CN28" s="304">
        <v>2.5</v>
      </c>
      <c r="CO28" s="304"/>
      <c r="CP28" s="304"/>
      <c r="CQ28" s="304"/>
      <c r="CR28" s="304"/>
      <c r="CS28" s="304"/>
      <c r="CT28" s="304"/>
      <c r="CU28" s="304"/>
      <c r="CV28" s="304"/>
      <c r="CW28" s="304"/>
      <c r="CX28" s="304"/>
      <c r="CY28" s="304"/>
      <c r="CZ28" s="304"/>
      <c r="DA28" s="304"/>
      <c r="DB28" s="304"/>
      <c r="DC28" s="306"/>
    </row>
    <row r="29" spans="1:107">
      <c r="A29" s="413">
        <v>6.0899999999999981</v>
      </c>
      <c r="B29" s="411">
        <v>29</v>
      </c>
      <c r="C29" s="409" t="s">
        <v>392</v>
      </c>
      <c r="D29" s="23"/>
      <c r="E29" s="23"/>
      <c r="F29" s="27" t="s">
        <v>17</v>
      </c>
      <c r="G29" s="304"/>
      <c r="H29" s="315"/>
      <c r="I29" s="304"/>
      <c r="J29" s="304"/>
      <c r="K29" s="304"/>
      <c r="L29" s="304"/>
      <c r="M29" s="304"/>
      <c r="N29" s="315"/>
      <c r="O29" s="304"/>
      <c r="P29" s="304"/>
      <c r="Q29" s="304"/>
      <c r="R29" s="304"/>
      <c r="S29" s="304"/>
      <c r="T29" s="304"/>
      <c r="U29" s="304"/>
      <c r="V29" s="304"/>
      <c r="W29" s="304"/>
      <c r="X29" s="304"/>
      <c r="Y29" s="304"/>
      <c r="Z29" s="304"/>
      <c r="AA29" s="304"/>
      <c r="AB29" s="304"/>
      <c r="AC29" s="304"/>
      <c r="AD29" s="304"/>
      <c r="AE29" s="304"/>
      <c r="AF29" s="304"/>
      <c r="AG29" s="304"/>
      <c r="AH29" s="304"/>
      <c r="AI29" s="304"/>
      <c r="AJ29" s="304"/>
      <c r="AK29" s="304"/>
      <c r="AL29" s="304"/>
      <c r="AM29" s="304"/>
      <c r="AN29" s="304"/>
      <c r="AO29" s="304"/>
      <c r="AP29" s="304"/>
      <c r="AQ29" s="304"/>
      <c r="AR29" s="304"/>
      <c r="AS29" s="304"/>
      <c r="AT29" s="304"/>
      <c r="AU29" s="304"/>
      <c r="AV29" s="304"/>
      <c r="AW29" s="304"/>
      <c r="AX29" s="304"/>
      <c r="AY29" s="304"/>
      <c r="AZ29" s="304"/>
      <c r="BA29" s="304"/>
      <c r="BB29" s="304"/>
      <c r="BC29" s="304"/>
      <c r="BD29" s="304"/>
      <c r="BE29" s="304"/>
      <c r="BF29" s="304"/>
      <c r="BG29" s="304"/>
      <c r="BH29" s="304"/>
      <c r="BI29" s="304"/>
      <c r="BJ29" s="304"/>
      <c r="BK29" s="304"/>
      <c r="BL29" s="304"/>
      <c r="BM29" s="304"/>
      <c r="BN29" s="304"/>
      <c r="BO29" s="304"/>
      <c r="BP29" s="304"/>
      <c r="BQ29" s="304"/>
      <c r="BR29" s="304"/>
      <c r="BS29" s="304"/>
      <c r="BT29" s="304"/>
      <c r="BU29" s="304"/>
      <c r="BV29" s="304"/>
      <c r="BW29" s="304"/>
      <c r="BX29" s="304"/>
      <c r="BY29" s="304"/>
      <c r="BZ29" s="304"/>
      <c r="CA29" s="304"/>
      <c r="CB29" s="304"/>
      <c r="CC29" s="304"/>
      <c r="CD29" s="304"/>
      <c r="CE29" s="304"/>
      <c r="CF29" s="304"/>
      <c r="CG29" s="304"/>
      <c r="CH29" s="304"/>
      <c r="CI29" s="304"/>
      <c r="CJ29" s="304"/>
      <c r="CK29" s="304"/>
      <c r="CL29" s="304"/>
      <c r="CM29" s="304"/>
      <c r="CN29" s="304"/>
      <c r="CO29" s="304"/>
      <c r="CP29" s="304"/>
      <c r="CQ29" s="304"/>
      <c r="CR29" s="304"/>
      <c r="CS29" s="304"/>
      <c r="CT29" s="304"/>
      <c r="CU29" s="304"/>
      <c r="CV29" s="304"/>
      <c r="CW29" s="304"/>
      <c r="CX29" s="304"/>
      <c r="CY29" s="304"/>
      <c r="CZ29" s="304"/>
      <c r="DA29" s="304"/>
      <c r="DB29" s="304"/>
      <c r="DC29" s="306"/>
    </row>
    <row r="30" spans="1:107">
      <c r="A30" s="413">
        <v>6.0999999999999979</v>
      </c>
      <c r="B30" s="411">
        <v>30</v>
      </c>
      <c r="C30" s="409" t="s">
        <v>393</v>
      </c>
      <c r="D30" s="23"/>
      <c r="E30" s="23"/>
      <c r="F30" s="27" t="s">
        <v>17</v>
      </c>
      <c r="G30" s="304"/>
      <c r="H30" s="315"/>
      <c r="I30" s="304">
        <v>1</v>
      </c>
      <c r="J30" s="304"/>
      <c r="K30" s="304"/>
      <c r="L30" s="304"/>
      <c r="M30" s="304"/>
      <c r="N30" s="315"/>
      <c r="O30" s="304"/>
      <c r="P30" s="304"/>
      <c r="Q30" s="304"/>
      <c r="R30" s="304"/>
      <c r="S30" s="304"/>
      <c r="T30" s="304"/>
      <c r="U30" s="304"/>
      <c r="V30" s="304"/>
      <c r="W30" s="304"/>
      <c r="X30" s="304"/>
      <c r="Y30" s="304"/>
      <c r="Z30" s="304"/>
      <c r="AA30" s="304">
        <v>2</v>
      </c>
      <c r="AB30" s="304"/>
      <c r="AC30" s="304"/>
      <c r="AD30" s="304"/>
      <c r="AE30" s="304"/>
      <c r="AF30" s="304"/>
      <c r="AG30" s="304"/>
      <c r="AH30" s="304"/>
      <c r="AI30" s="304"/>
      <c r="AJ30" s="304"/>
      <c r="AK30" s="304"/>
      <c r="AL30" s="304"/>
      <c r="AM30" s="304"/>
      <c r="AN30" s="304"/>
      <c r="AO30" s="304"/>
      <c r="AP30" s="304"/>
      <c r="AQ30" s="304"/>
      <c r="AR30" s="304">
        <v>2</v>
      </c>
      <c r="AS30" s="304"/>
      <c r="AT30" s="304"/>
      <c r="AU30" s="304"/>
      <c r="AV30" s="304"/>
      <c r="AW30" s="304"/>
      <c r="AX30" s="304"/>
      <c r="AY30" s="304"/>
      <c r="AZ30" s="304"/>
      <c r="BA30" s="304"/>
      <c r="BB30" s="304"/>
      <c r="BC30" s="304"/>
      <c r="BD30" s="304"/>
      <c r="BE30" s="304"/>
      <c r="BF30" s="304"/>
      <c r="BG30" s="304"/>
      <c r="BH30" s="304"/>
      <c r="BI30" s="304">
        <v>3</v>
      </c>
      <c r="BJ30" s="304"/>
      <c r="BK30" s="304"/>
      <c r="BL30" s="304"/>
      <c r="BM30" s="304"/>
      <c r="BN30" s="304"/>
      <c r="BO30" s="304"/>
      <c r="BP30" s="304"/>
      <c r="BQ30" s="304"/>
      <c r="BR30" s="304"/>
      <c r="BS30" s="304"/>
      <c r="BT30" s="304"/>
      <c r="BU30" s="304"/>
      <c r="BV30" s="304"/>
      <c r="BW30" s="304"/>
      <c r="BX30" s="304"/>
      <c r="BY30" s="304"/>
      <c r="BZ30" s="304"/>
      <c r="CA30" s="304"/>
      <c r="CB30" s="304"/>
      <c r="CC30" s="304">
        <v>3</v>
      </c>
      <c r="CD30" s="304"/>
      <c r="CE30" s="304"/>
      <c r="CF30" s="304"/>
      <c r="CG30" s="304"/>
      <c r="CH30" s="304"/>
      <c r="CI30" s="304"/>
      <c r="CJ30" s="304"/>
      <c r="CK30" s="304"/>
      <c r="CL30" s="304"/>
      <c r="CM30" s="304">
        <v>1</v>
      </c>
      <c r="CN30" s="304"/>
      <c r="CO30" s="304"/>
      <c r="CP30" s="304"/>
      <c r="CQ30" s="304"/>
      <c r="CR30" s="304"/>
      <c r="CS30" s="304"/>
      <c r="CT30" s="304"/>
      <c r="CU30" s="304"/>
      <c r="CV30" s="304"/>
      <c r="CW30" s="304"/>
      <c r="CX30" s="304"/>
      <c r="CY30" s="304"/>
      <c r="CZ30" s="304"/>
      <c r="DA30" s="304"/>
      <c r="DB30" s="304"/>
      <c r="DC30" s="306"/>
    </row>
    <row r="31" spans="1:107">
      <c r="A31" s="413">
        <v>6.1099999999999977</v>
      </c>
      <c r="B31" s="411">
        <v>31</v>
      </c>
      <c r="C31" s="409" t="s">
        <v>281</v>
      </c>
      <c r="D31" s="23"/>
      <c r="E31" s="23"/>
      <c r="F31" s="27" t="s">
        <v>17</v>
      </c>
      <c r="G31" s="304"/>
      <c r="H31" s="315"/>
      <c r="I31" s="304"/>
      <c r="J31" s="304">
        <v>2</v>
      </c>
      <c r="K31" s="304">
        <v>2</v>
      </c>
      <c r="L31" s="304">
        <v>1</v>
      </c>
      <c r="M31" s="304">
        <v>1</v>
      </c>
      <c r="N31" s="315">
        <v>1</v>
      </c>
      <c r="O31" s="304"/>
      <c r="P31" s="304"/>
      <c r="Q31" s="304">
        <v>2</v>
      </c>
      <c r="R31" s="304">
        <v>1</v>
      </c>
      <c r="S31" s="304"/>
      <c r="T31" s="304"/>
      <c r="U31" s="304">
        <v>2</v>
      </c>
      <c r="V31" s="304"/>
      <c r="W31" s="304"/>
      <c r="X31" s="304"/>
      <c r="Y31" s="304"/>
      <c r="Z31" s="304"/>
      <c r="AA31" s="304"/>
      <c r="AB31" s="304">
        <v>4</v>
      </c>
      <c r="AC31" s="304">
        <v>4</v>
      </c>
      <c r="AD31" s="304">
        <v>2</v>
      </c>
      <c r="AE31" s="304">
        <v>2</v>
      </c>
      <c r="AF31" s="304">
        <v>2</v>
      </c>
      <c r="AG31" s="304">
        <v>2</v>
      </c>
      <c r="AH31" s="304"/>
      <c r="AI31" s="304"/>
      <c r="AJ31" s="304"/>
      <c r="AK31" s="304"/>
      <c r="AL31" s="304">
        <v>4</v>
      </c>
      <c r="AM31" s="304">
        <v>2</v>
      </c>
      <c r="AN31" s="304"/>
      <c r="AO31" s="304">
        <v>4</v>
      </c>
      <c r="AP31" s="304">
        <v>2</v>
      </c>
      <c r="AQ31" s="304">
        <v>2</v>
      </c>
      <c r="AR31" s="304"/>
      <c r="AS31" s="304">
        <v>4</v>
      </c>
      <c r="AT31" s="304">
        <v>4</v>
      </c>
      <c r="AU31" s="304"/>
      <c r="AV31" s="304"/>
      <c r="AW31" s="304"/>
      <c r="AX31" s="304"/>
      <c r="AY31" s="304"/>
      <c r="AZ31" s="304"/>
      <c r="BA31" s="304">
        <v>1</v>
      </c>
      <c r="BB31" s="304"/>
      <c r="BC31" s="304">
        <v>1</v>
      </c>
      <c r="BD31" s="304">
        <v>3</v>
      </c>
      <c r="BE31" s="304"/>
      <c r="BF31" s="304"/>
      <c r="BG31" s="304"/>
      <c r="BH31" s="304"/>
      <c r="BI31" s="304"/>
      <c r="BJ31" s="304">
        <v>6</v>
      </c>
      <c r="BK31" s="304">
        <v>6</v>
      </c>
      <c r="BL31" s="304">
        <v>6</v>
      </c>
      <c r="BM31" s="304">
        <v>3</v>
      </c>
      <c r="BN31" s="304"/>
      <c r="BO31" s="304">
        <v>3</v>
      </c>
      <c r="BP31" s="304">
        <v>3</v>
      </c>
      <c r="BQ31" s="304">
        <v>3</v>
      </c>
      <c r="BR31" s="304"/>
      <c r="BS31" s="304"/>
      <c r="BT31" s="304">
        <v>6</v>
      </c>
      <c r="BU31" s="304">
        <v>3</v>
      </c>
      <c r="BV31" s="304">
        <v>3</v>
      </c>
      <c r="BW31" s="304">
        <v>3</v>
      </c>
      <c r="BX31" s="304"/>
      <c r="BY31" s="304">
        <v>6</v>
      </c>
      <c r="BZ31" s="304">
        <v>3</v>
      </c>
      <c r="CA31" s="304"/>
      <c r="CB31" s="304"/>
      <c r="CC31" s="304"/>
      <c r="CD31" s="304">
        <v>6</v>
      </c>
      <c r="CE31" s="304"/>
      <c r="CF31" s="304"/>
      <c r="CG31" s="304"/>
      <c r="CH31" s="304"/>
      <c r="CI31" s="304"/>
      <c r="CJ31" s="304"/>
      <c r="CK31" s="304"/>
      <c r="CL31" s="304"/>
      <c r="CM31" s="304"/>
      <c r="CN31" s="304"/>
      <c r="CO31" s="304"/>
      <c r="CP31" s="304"/>
      <c r="CQ31" s="304"/>
      <c r="CR31" s="304"/>
      <c r="CS31" s="304"/>
      <c r="CT31" s="304"/>
      <c r="CU31" s="304"/>
      <c r="CV31" s="304"/>
      <c r="CW31" s="304"/>
      <c r="CX31" s="304"/>
      <c r="CY31" s="304"/>
      <c r="CZ31" s="304"/>
      <c r="DA31" s="304"/>
      <c r="DB31" s="304"/>
      <c r="DC31" s="306"/>
    </row>
    <row r="32" spans="1:107">
      <c r="A32" s="413">
        <v>6.1199999999999974</v>
      </c>
      <c r="B32" s="411">
        <v>32</v>
      </c>
      <c r="C32" s="409" t="s">
        <v>282</v>
      </c>
      <c r="D32" s="23"/>
      <c r="E32" s="23"/>
      <c r="F32" s="27" t="s">
        <v>17</v>
      </c>
      <c r="G32" s="304"/>
      <c r="H32" s="315"/>
      <c r="I32" s="304"/>
      <c r="J32" s="304">
        <v>2</v>
      </c>
      <c r="K32" s="304">
        <v>2</v>
      </c>
      <c r="L32" s="304">
        <v>1</v>
      </c>
      <c r="M32" s="304">
        <v>1</v>
      </c>
      <c r="N32" s="315">
        <v>1</v>
      </c>
      <c r="O32" s="304"/>
      <c r="P32" s="304"/>
      <c r="Q32" s="304">
        <v>2</v>
      </c>
      <c r="R32" s="304">
        <v>1</v>
      </c>
      <c r="S32" s="304"/>
      <c r="T32" s="304"/>
      <c r="U32" s="304">
        <v>2</v>
      </c>
      <c r="V32" s="304"/>
      <c r="W32" s="304"/>
      <c r="X32" s="304"/>
      <c r="Y32" s="304"/>
      <c r="Z32" s="304"/>
      <c r="AA32" s="304"/>
      <c r="AB32" s="304">
        <v>4</v>
      </c>
      <c r="AC32" s="304">
        <v>4</v>
      </c>
      <c r="AD32" s="304">
        <v>2</v>
      </c>
      <c r="AE32" s="304">
        <v>2</v>
      </c>
      <c r="AF32" s="304">
        <v>2</v>
      </c>
      <c r="AG32" s="304">
        <v>2</v>
      </c>
      <c r="AH32" s="304"/>
      <c r="AI32" s="304"/>
      <c r="AJ32" s="304"/>
      <c r="AK32" s="304"/>
      <c r="AL32" s="304">
        <v>4</v>
      </c>
      <c r="AM32" s="304">
        <v>2</v>
      </c>
      <c r="AN32" s="304"/>
      <c r="AO32" s="304">
        <v>4</v>
      </c>
      <c r="AP32" s="304">
        <v>2</v>
      </c>
      <c r="AQ32" s="304">
        <v>2</v>
      </c>
      <c r="AR32" s="304"/>
      <c r="AS32" s="304">
        <v>4</v>
      </c>
      <c r="AT32" s="304">
        <v>4</v>
      </c>
      <c r="AU32" s="304"/>
      <c r="AV32" s="304"/>
      <c r="AW32" s="304"/>
      <c r="AX32" s="304"/>
      <c r="AY32" s="304"/>
      <c r="AZ32" s="304"/>
      <c r="BA32" s="304">
        <v>1</v>
      </c>
      <c r="BB32" s="304"/>
      <c r="BC32" s="304">
        <v>1</v>
      </c>
      <c r="BD32" s="304">
        <v>3</v>
      </c>
      <c r="BE32" s="304"/>
      <c r="BF32" s="304"/>
      <c r="BG32" s="304"/>
      <c r="BH32" s="304"/>
      <c r="BI32" s="304"/>
      <c r="BJ32" s="304">
        <v>6</v>
      </c>
      <c r="BK32" s="304">
        <v>6</v>
      </c>
      <c r="BL32" s="304">
        <v>6</v>
      </c>
      <c r="BM32" s="304">
        <v>3</v>
      </c>
      <c r="BN32" s="304"/>
      <c r="BO32" s="304">
        <v>3</v>
      </c>
      <c r="BP32" s="304">
        <v>3</v>
      </c>
      <c r="BQ32" s="304">
        <v>3</v>
      </c>
      <c r="BR32" s="304"/>
      <c r="BS32" s="304"/>
      <c r="BT32" s="304">
        <v>6</v>
      </c>
      <c r="BU32" s="304">
        <v>3</v>
      </c>
      <c r="BV32" s="304">
        <v>3</v>
      </c>
      <c r="BW32" s="304">
        <v>3</v>
      </c>
      <c r="BX32" s="304"/>
      <c r="BY32" s="304">
        <v>6</v>
      </c>
      <c r="BZ32" s="304">
        <v>3</v>
      </c>
      <c r="CA32" s="304"/>
      <c r="CB32" s="304"/>
      <c r="CC32" s="304"/>
      <c r="CD32" s="304">
        <v>6</v>
      </c>
      <c r="CE32" s="304"/>
      <c r="CF32" s="304"/>
      <c r="CG32" s="304"/>
      <c r="CH32" s="304"/>
      <c r="CI32" s="304"/>
      <c r="CJ32" s="304"/>
      <c r="CK32" s="304"/>
      <c r="CL32" s="304"/>
      <c r="CM32" s="304"/>
      <c r="CN32" s="304"/>
      <c r="CO32" s="304"/>
      <c r="CP32" s="304"/>
      <c r="CQ32" s="304"/>
      <c r="CR32" s="304"/>
      <c r="CS32" s="304"/>
      <c r="CT32" s="304"/>
      <c r="CU32" s="304"/>
      <c r="CV32" s="304"/>
      <c r="CW32" s="304"/>
      <c r="CX32" s="304"/>
      <c r="CY32" s="304"/>
      <c r="CZ32" s="304"/>
      <c r="DA32" s="304"/>
      <c r="DB32" s="304"/>
      <c r="DC32" s="306"/>
    </row>
    <row r="33" spans="1:128">
      <c r="A33" s="413"/>
      <c r="B33" s="410">
        <v>33</v>
      </c>
      <c r="C33" s="409" t="s">
        <v>104</v>
      </c>
      <c r="D33" s="23"/>
      <c r="E33" s="23"/>
      <c r="F33" s="27"/>
      <c r="G33" s="304"/>
      <c r="H33" s="315"/>
      <c r="I33" s="304"/>
      <c r="J33" s="304"/>
      <c r="K33" s="304"/>
      <c r="L33" s="304"/>
      <c r="M33" s="304"/>
      <c r="N33" s="315"/>
      <c r="O33" s="304"/>
      <c r="P33" s="304"/>
      <c r="Q33" s="304"/>
      <c r="R33" s="304"/>
      <c r="S33" s="304"/>
      <c r="T33" s="304"/>
      <c r="U33" s="304"/>
      <c r="V33" s="304"/>
      <c r="W33" s="304"/>
      <c r="X33" s="304"/>
      <c r="Y33" s="304"/>
      <c r="Z33" s="304"/>
      <c r="AA33" s="304"/>
      <c r="AB33" s="304"/>
      <c r="AC33" s="304"/>
      <c r="AD33" s="304"/>
      <c r="AE33" s="304"/>
      <c r="AF33" s="304"/>
      <c r="AG33" s="304"/>
      <c r="AH33" s="304"/>
      <c r="AI33" s="304"/>
      <c r="AJ33" s="304"/>
      <c r="AK33" s="304"/>
      <c r="AL33" s="304"/>
      <c r="AM33" s="304"/>
      <c r="AN33" s="304"/>
      <c r="AO33" s="304"/>
      <c r="AP33" s="304"/>
      <c r="AQ33" s="304"/>
      <c r="AR33" s="304"/>
      <c r="AS33" s="304"/>
      <c r="AT33" s="304"/>
      <c r="AU33" s="304"/>
      <c r="AV33" s="304"/>
      <c r="AW33" s="304"/>
      <c r="AX33" s="304"/>
      <c r="AY33" s="304"/>
      <c r="AZ33" s="304"/>
      <c r="BA33" s="304"/>
      <c r="BB33" s="304"/>
      <c r="BC33" s="304"/>
      <c r="BD33" s="304"/>
      <c r="BE33" s="304"/>
      <c r="BF33" s="304"/>
      <c r="BG33" s="304"/>
      <c r="BH33" s="304"/>
      <c r="BI33" s="304"/>
      <c r="BJ33" s="304"/>
      <c r="BK33" s="304"/>
      <c r="BL33" s="304"/>
      <c r="BM33" s="304"/>
      <c r="BN33" s="304"/>
      <c r="BO33" s="304"/>
      <c r="BP33" s="304"/>
      <c r="BQ33" s="304"/>
      <c r="BR33" s="304"/>
      <c r="BS33" s="304"/>
      <c r="BT33" s="304"/>
      <c r="BU33" s="304"/>
      <c r="BV33" s="304"/>
      <c r="BW33" s="304"/>
      <c r="BX33" s="304"/>
      <c r="BY33" s="304"/>
      <c r="BZ33" s="304"/>
      <c r="CA33" s="304"/>
      <c r="CB33" s="304"/>
      <c r="CC33" s="304"/>
      <c r="CD33" s="304"/>
      <c r="CE33" s="304"/>
      <c r="CF33" s="304"/>
      <c r="CG33" s="304"/>
      <c r="CH33" s="304"/>
      <c r="CI33" s="304"/>
      <c r="CJ33" s="304"/>
      <c r="CK33" s="304"/>
      <c r="CL33" s="304"/>
      <c r="CM33" s="304"/>
      <c r="CN33" s="304"/>
      <c r="CO33" s="304"/>
      <c r="CP33" s="304"/>
      <c r="CQ33" s="304"/>
      <c r="CR33" s="304"/>
      <c r="CS33" s="304"/>
      <c r="CT33" s="304"/>
      <c r="CU33" s="304"/>
      <c r="CV33" s="304"/>
      <c r="CW33" s="304"/>
      <c r="CX33" s="304"/>
      <c r="CY33" s="304"/>
      <c r="CZ33" s="304"/>
      <c r="DA33" s="304"/>
      <c r="DB33" s="304"/>
      <c r="DC33" s="306"/>
    </row>
    <row r="34" spans="1:128">
      <c r="A34" s="412">
        <v>7</v>
      </c>
      <c r="B34" s="410">
        <v>34</v>
      </c>
      <c r="C34" s="408" t="s">
        <v>69</v>
      </c>
      <c r="D34" s="105"/>
      <c r="E34" s="105"/>
      <c r="F34" s="27"/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15"/>
      <c r="X34" s="315"/>
      <c r="Y34" s="315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  <c r="AJ34" s="315"/>
      <c r="AK34" s="315"/>
      <c r="AL34" s="315"/>
      <c r="AM34" s="315"/>
      <c r="AN34" s="315"/>
      <c r="AO34" s="315"/>
      <c r="AP34" s="315"/>
      <c r="AQ34" s="315"/>
      <c r="AR34" s="315"/>
      <c r="AS34" s="315"/>
      <c r="AT34" s="315"/>
      <c r="AU34" s="315"/>
      <c r="AV34" s="315"/>
      <c r="AW34" s="315"/>
      <c r="AX34" s="315"/>
      <c r="AY34" s="315"/>
      <c r="AZ34" s="315"/>
      <c r="BA34" s="315"/>
      <c r="BB34" s="315"/>
      <c r="BC34" s="315"/>
      <c r="BD34" s="315"/>
      <c r="BE34" s="315"/>
      <c r="BF34" s="315"/>
      <c r="BG34" s="315"/>
      <c r="BH34" s="315"/>
      <c r="BI34" s="315"/>
      <c r="BJ34" s="315"/>
      <c r="BK34" s="315"/>
      <c r="BL34" s="315"/>
      <c r="BM34" s="315"/>
      <c r="BN34" s="315"/>
      <c r="BO34" s="315"/>
      <c r="BP34" s="315"/>
      <c r="BQ34" s="315"/>
      <c r="BR34" s="315"/>
      <c r="BS34" s="315"/>
      <c r="BT34" s="315"/>
      <c r="BU34" s="315"/>
      <c r="BV34" s="315"/>
      <c r="BW34" s="315"/>
      <c r="BX34" s="315"/>
      <c r="BY34" s="315"/>
      <c r="BZ34" s="315"/>
      <c r="CA34" s="315"/>
      <c r="CB34" s="315"/>
      <c r="CC34" s="315"/>
      <c r="CD34" s="315"/>
      <c r="CE34" s="315"/>
      <c r="CF34" s="315"/>
      <c r="CG34" s="315"/>
      <c r="CH34" s="315"/>
      <c r="CI34" s="315"/>
      <c r="CJ34" s="315"/>
      <c r="CK34" s="315"/>
      <c r="CL34" s="315"/>
      <c r="CM34" s="315"/>
      <c r="CN34" s="315"/>
      <c r="CO34" s="315"/>
      <c r="CP34" s="315"/>
      <c r="CQ34" s="315"/>
      <c r="CR34" s="315"/>
      <c r="CS34" s="315"/>
      <c r="CT34" s="315"/>
      <c r="CU34" s="315"/>
      <c r="CV34" s="315"/>
      <c r="CW34" s="315"/>
      <c r="CX34" s="315"/>
      <c r="CY34" s="315"/>
      <c r="CZ34" s="315"/>
      <c r="DA34" s="315"/>
      <c r="DB34" s="315"/>
      <c r="DC34" s="316"/>
    </row>
    <row r="35" spans="1:128">
      <c r="A35" s="413">
        <v>7.01</v>
      </c>
      <c r="B35" s="410">
        <v>35</v>
      </c>
      <c r="C35" s="409" t="s">
        <v>394</v>
      </c>
      <c r="D35" s="23"/>
      <c r="E35" s="23"/>
      <c r="F35" s="27" t="s">
        <v>20</v>
      </c>
      <c r="G35" s="304">
        <v>13.8</v>
      </c>
      <c r="H35" s="315">
        <v>13.8</v>
      </c>
      <c r="I35" s="304">
        <v>13.8</v>
      </c>
      <c r="J35" s="304">
        <v>13.8</v>
      </c>
      <c r="K35" s="304">
        <v>13.8</v>
      </c>
      <c r="L35" s="304">
        <v>13.8</v>
      </c>
      <c r="M35" s="304">
        <v>13.8</v>
      </c>
      <c r="N35" s="315">
        <v>13.8</v>
      </c>
      <c r="O35" s="304"/>
      <c r="P35" s="304"/>
      <c r="Q35" s="304">
        <v>16.3</v>
      </c>
      <c r="R35" s="304">
        <v>16.3</v>
      </c>
      <c r="S35" s="304">
        <v>16.3</v>
      </c>
      <c r="T35" s="304">
        <v>16.3</v>
      </c>
      <c r="U35" s="304">
        <v>13.8</v>
      </c>
      <c r="V35" s="304">
        <v>16.3</v>
      </c>
      <c r="W35" s="304">
        <v>16.3</v>
      </c>
      <c r="X35" s="304"/>
      <c r="Y35" s="304">
        <v>15</v>
      </c>
      <c r="Z35" s="304">
        <v>15.4</v>
      </c>
      <c r="AA35" s="304">
        <v>12.8</v>
      </c>
      <c r="AB35" s="304">
        <v>13.1</v>
      </c>
      <c r="AC35" s="304">
        <v>15</v>
      </c>
      <c r="AD35" s="304">
        <v>12.8</v>
      </c>
      <c r="AE35" s="304">
        <v>15</v>
      </c>
      <c r="AF35" s="304">
        <v>15</v>
      </c>
      <c r="AG35" s="304">
        <v>15</v>
      </c>
      <c r="AH35" s="304">
        <v>14.9</v>
      </c>
      <c r="AI35" s="304">
        <v>13.7</v>
      </c>
      <c r="AJ35" s="304">
        <v>16.7</v>
      </c>
      <c r="AK35" s="304">
        <v>16.7</v>
      </c>
      <c r="AL35" s="304">
        <v>16.7</v>
      </c>
      <c r="AM35" s="304">
        <v>2.5</v>
      </c>
      <c r="AN35" s="304">
        <v>2.5</v>
      </c>
      <c r="AO35" s="304">
        <v>17.8</v>
      </c>
      <c r="AP35" s="304">
        <v>17.8</v>
      </c>
      <c r="AQ35" s="304">
        <v>21.8</v>
      </c>
      <c r="AR35" s="304">
        <v>17.7</v>
      </c>
      <c r="AS35" s="304">
        <v>26.2</v>
      </c>
      <c r="AT35" s="304">
        <v>26.2</v>
      </c>
      <c r="AU35" s="304"/>
      <c r="AV35" s="304"/>
      <c r="AW35" s="304"/>
      <c r="AX35" s="304"/>
      <c r="AY35" s="304"/>
      <c r="AZ35" s="304"/>
      <c r="BA35" s="304">
        <v>1.5</v>
      </c>
      <c r="BB35" s="304">
        <v>0.3</v>
      </c>
      <c r="BC35" s="304">
        <v>0.3</v>
      </c>
      <c r="BD35" s="304">
        <v>16.3</v>
      </c>
      <c r="BE35" s="304">
        <v>16.3</v>
      </c>
      <c r="BF35" s="304">
        <v>16.3</v>
      </c>
      <c r="BG35" s="304">
        <v>16.3</v>
      </c>
      <c r="BH35" s="304">
        <v>16.3</v>
      </c>
      <c r="BI35" s="304">
        <v>15.3</v>
      </c>
      <c r="BJ35" s="304">
        <v>15.8</v>
      </c>
      <c r="BK35" s="304">
        <v>16.3</v>
      </c>
      <c r="BL35" s="304">
        <v>16.3</v>
      </c>
      <c r="BM35" s="304">
        <v>16.3</v>
      </c>
      <c r="BN35" s="304"/>
      <c r="BO35" s="304">
        <v>16</v>
      </c>
      <c r="BP35" s="304">
        <v>16.2</v>
      </c>
      <c r="BQ35" s="304">
        <v>16.2</v>
      </c>
      <c r="BR35" s="304">
        <v>18.5</v>
      </c>
      <c r="BS35" s="304"/>
      <c r="BT35" s="304">
        <v>18.899999999999999</v>
      </c>
      <c r="BU35" s="304">
        <v>18.899999999999999</v>
      </c>
      <c r="BV35" s="304">
        <v>18</v>
      </c>
      <c r="BW35" s="304">
        <v>18</v>
      </c>
      <c r="BX35" s="304">
        <v>18</v>
      </c>
      <c r="BY35" s="304">
        <v>18.5</v>
      </c>
      <c r="BZ35" s="304">
        <v>21.8</v>
      </c>
      <c r="CA35" s="304">
        <v>2.5</v>
      </c>
      <c r="CB35" s="304">
        <v>19.100000000000001</v>
      </c>
      <c r="CC35" s="304">
        <v>18</v>
      </c>
      <c r="CD35" s="304">
        <v>43.2</v>
      </c>
      <c r="CE35" s="304">
        <v>18.5</v>
      </c>
      <c r="CF35" s="304"/>
      <c r="CG35" s="304"/>
      <c r="CH35" s="304"/>
      <c r="CI35" s="304"/>
      <c r="CJ35" s="304"/>
      <c r="CK35" s="304"/>
      <c r="CL35" s="304"/>
      <c r="CM35" s="304">
        <v>0.3</v>
      </c>
      <c r="CN35" s="304">
        <v>0.3</v>
      </c>
      <c r="CO35" s="304"/>
      <c r="CP35" s="304"/>
      <c r="CQ35" s="304"/>
      <c r="CR35" s="304"/>
      <c r="CS35" s="304"/>
      <c r="CT35" s="304"/>
      <c r="CU35" s="304"/>
      <c r="CV35" s="304"/>
      <c r="CW35" s="304"/>
      <c r="CX35" s="304"/>
      <c r="CY35" s="304"/>
      <c r="CZ35" s="304"/>
      <c r="DA35" s="304"/>
      <c r="DB35" s="304"/>
      <c r="DC35" s="306"/>
      <c r="DQ35" s="2">
        <v>0.5</v>
      </c>
      <c r="DR35" s="2">
        <v>0.5</v>
      </c>
      <c r="DS35" s="2">
        <v>0.5</v>
      </c>
      <c r="DT35" s="2">
        <v>0.5</v>
      </c>
      <c r="DU35" s="2">
        <v>0.5</v>
      </c>
      <c r="DV35" s="2">
        <v>0.5</v>
      </c>
      <c r="DW35" s="2">
        <v>0.5</v>
      </c>
      <c r="DX35" s="2">
        <v>0.5</v>
      </c>
    </row>
    <row r="36" spans="1:128">
      <c r="A36" s="413"/>
      <c r="B36" s="410">
        <v>36</v>
      </c>
      <c r="C36" s="409" t="s">
        <v>104</v>
      </c>
      <c r="D36" s="108"/>
      <c r="E36" s="108"/>
      <c r="F36" s="27"/>
      <c r="G36" s="304"/>
      <c r="H36" s="315"/>
      <c r="I36" s="304"/>
      <c r="J36" s="304"/>
      <c r="K36" s="304"/>
      <c r="L36" s="304"/>
      <c r="M36" s="304"/>
      <c r="N36" s="315"/>
      <c r="O36" s="304"/>
      <c r="P36" s="304"/>
      <c r="Q36" s="304"/>
      <c r="R36" s="304"/>
      <c r="S36" s="304"/>
      <c r="T36" s="304"/>
      <c r="U36" s="304"/>
      <c r="V36" s="304"/>
      <c r="W36" s="304"/>
      <c r="X36" s="304"/>
      <c r="Y36" s="304"/>
      <c r="Z36" s="304"/>
      <c r="AA36" s="304"/>
      <c r="AB36" s="304"/>
      <c r="AC36" s="304"/>
      <c r="AD36" s="304"/>
      <c r="AE36" s="304"/>
      <c r="AF36" s="304"/>
      <c r="AG36" s="304"/>
      <c r="AH36" s="304"/>
      <c r="AI36" s="304"/>
      <c r="AJ36" s="304"/>
      <c r="AK36" s="304"/>
      <c r="AL36" s="304"/>
      <c r="AM36" s="304"/>
      <c r="AN36" s="304"/>
      <c r="AO36" s="304"/>
      <c r="AP36" s="304"/>
      <c r="AQ36" s="304"/>
      <c r="AR36" s="304"/>
      <c r="AS36" s="304"/>
      <c r="AT36" s="304"/>
      <c r="AU36" s="304"/>
      <c r="AV36" s="304"/>
      <c r="AW36" s="304"/>
      <c r="AX36" s="304"/>
      <c r="AY36" s="304"/>
      <c r="AZ36" s="304"/>
      <c r="BA36" s="304"/>
      <c r="BB36" s="304"/>
      <c r="BC36" s="304"/>
      <c r="BD36" s="304"/>
      <c r="BE36" s="304"/>
      <c r="BF36" s="304"/>
      <c r="BG36" s="304"/>
      <c r="BH36" s="304"/>
      <c r="BI36" s="304"/>
      <c r="BJ36" s="304"/>
      <c r="BK36" s="304"/>
      <c r="BL36" s="304"/>
      <c r="BM36" s="304"/>
      <c r="BN36" s="304"/>
      <c r="BO36" s="304"/>
      <c r="BP36" s="304"/>
      <c r="BQ36" s="304"/>
      <c r="BR36" s="304"/>
      <c r="BS36" s="304"/>
      <c r="BT36" s="304"/>
      <c r="BU36" s="304"/>
      <c r="BV36" s="304"/>
      <c r="BW36" s="304"/>
      <c r="BX36" s="304"/>
      <c r="BY36" s="304"/>
      <c r="BZ36" s="304"/>
      <c r="CA36" s="304"/>
      <c r="CB36" s="304"/>
      <c r="CC36" s="304"/>
      <c r="CD36" s="304"/>
      <c r="CE36" s="304"/>
      <c r="CF36" s="304"/>
      <c r="CG36" s="304"/>
      <c r="CH36" s="304"/>
      <c r="CI36" s="304"/>
      <c r="CJ36" s="304"/>
      <c r="CK36" s="304"/>
      <c r="CL36" s="304"/>
      <c r="CM36" s="304"/>
      <c r="CN36" s="304"/>
      <c r="CO36" s="304"/>
      <c r="CP36" s="304"/>
      <c r="CQ36" s="304"/>
      <c r="CR36" s="304"/>
      <c r="CS36" s="304"/>
      <c r="CT36" s="304"/>
      <c r="CU36" s="304"/>
      <c r="CV36" s="304"/>
      <c r="CW36" s="304"/>
      <c r="CX36" s="304"/>
      <c r="CY36" s="304"/>
      <c r="CZ36" s="304"/>
      <c r="DA36" s="304"/>
      <c r="DB36" s="304"/>
      <c r="DC36" s="306"/>
    </row>
    <row r="37" spans="1:128">
      <c r="A37" s="412">
        <v>8</v>
      </c>
      <c r="B37" s="410">
        <v>37</v>
      </c>
      <c r="C37" s="408" t="s">
        <v>22</v>
      </c>
      <c r="D37" s="105"/>
      <c r="E37" s="105"/>
      <c r="F37" s="27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  <c r="AJ37" s="315"/>
      <c r="AK37" s="315"/>
      <c r="AL37" s="315"/>
      <c r="AM37" s="315"/>
      <c r="AN37" s="315"/>
      <c r="AO37" s="315"/>
      <c r="AP37" s="315"/>
      <c r="AQ37" s="315"/>
      <c r="AR37" s="315"/>
      <c r="AS37" s="315"/>
      <c r="AT37" s="315"/>
      <c r="AU37" s="315"/>
      <c r="AV37" s="315"/>
      <c r="AW37" s="315"/>
      <c r="AX37" s="315"/>
      <c r="AY37" s="315"/>
      <c r="AZ37" s="315"/>
      <c r="BA37" s="315"/>
      <c r="BB37" s="315"/>
      <c r="BC37" s="315"/>
      <c r="BD37" s="315"/>
      <c r="BE37" s="315"/>
      <c r="BF37" s="315"/>
      <c r="BG37" s="315"/>
      <c r="BH37" s="315"/>
      <c r="BI37" s="315"/>
      <c r="BJ37" s="315"/>
      <c r="BK37" s="315"/>
      <c r="BL37" s="315"/>
      <c r="BM37" s="315"/>
      <c r="BN37" s="315"/>
      <c r="BO37" s="315"/>
      <c r="BP37" s="315"/>
      <c r="BQ37" s="315"/>
      <c r="BR37" s="315"/>
      <c r="BS37" s="315"/>
      <c r="BT37" s="315"/>
      <c r="BU37" s="315"/>
      <c r="BV37" s="315"/>
      <c r="BW37" s="315"/>
      <c r="BX37" s="315"/>
      <c r="BY37" s="315"/>
      <c r="BZ37" s="315"/>
      <c r="CA37" s="315"/>
      <c r="CB37" s="315"/>
      <c r="CC37" s="315"/>
      <c r="CD37" s="315"/>
      <c r="CE37" s="315"/>
      <c r="CF37" s="315"/>
      <c r="CG37" s="315"/>
      <c r="CH37" s="315"/>
      <c r="CI37" s="315"/>
      <c r="CJ37" s="315"/>
      <c r="CK37" s="315"/>
      <c r="CL37" s="315"/>
      <c r="CM37" s="315"/>
      <c r="CN37" s="315"/>
      <c r="CO37" s="315"/>
      <c r="CP37" s="315"/>
      <c r="CQ37" s="315"/>
      <c r="CR37" s="315"/>
      <c r="CS37" s="315"/>
      <c r="CT37" s="315"/>
      <c r="CU37" s="315"/>
      <c r="CV37" s="315"/>
      <c r="CW37" s="315"/>
      <c r="CX37" s="315"/>
      <c r="CY37" s="315"/>
      <c r="CZ37" s="315"/>
      <c r="DA37" s="315"/>
      <c r="DB37" s="315"/>
      <c r="DC37" s="316"/>
    </row>
    <row r="38" spans="1:128">
      <c r="A38" s="413">
        <v>8.01</v>
      </c>
      <c r="B38" s="410">
        <v>38</v>
      </c>
      <c r="C38" s="409" t="s">
        <v>283</v>
      </c>
      <c r="D38" s="23"/>
      <c r="E38" s="23"/>
      <c r="F38" s="27" t="s">
        <v>17</v>
      </c>
      <c r="G38" s="304"/>
      <c r="H38" s="315"/>
      <c r="I38" s="304"/>
      <c r="J38" s="304"/>
      <c r="K38" s="304"/>
      <c r="L38" s="304"/>
      <c r="M38" s="304"/>
      <c r="N38" s="315"/>
      <c r="O38" s="304"/>
      <c r="P38" s="304">
        <v>1</v>
      </c>
      <c r="Q38" s="304">
        <v>1</v>
      </c>
      <c r="R38" s="304">
        <v>1</v>
      </c>
      <c r="S38" s="304">
        <v>1</v>
      </c>
      <c r="T38" s="304"/>
      <c r="U38" s="304"/>
      <c r="V38" s="304">
        <v>1</v>
      </c>
      <c r="W38" s="304">
        <v>1</v>
      </c>
      <c r="X38" s="304"/>
      <c r="Y38" s="304">
        <v>2</v>
      </c>
      <c r="Z38" s="304">
        <v>4</v>
      </c>
      <c r="AA38" s="304"/>
      <c r="AB38" s="304"/>
      <c r="AC38" s="304">
        <v>4</v>
      </c>
      <c r="AD38" s="304"/>
      <c r="AE38" s="304">
        <v>4</v>
      </c>
      <c r="AF38" s="304">
        <v>4</v>
      </c>
      <c r="AG38" s="304">
        <v>1</v>
      </c>
      <c r="AH38" s="304">
        <v>2</v>
      </c>
      <c r="AI38" s="304">
        <v>1</v>
      </c>
      <c r="AJ38" s="304"/>
      <c r="AK38" s="304"/>
      <c r="AL38" s="304"/>
      <c r="AM38" s="304">
        <v>4</v>
      </c>
      <c r="AN38" s="304">
        <v>2</v>
      </c>
      <c r="AO38" s="304">
        <v>6</v>
      </c>
      <c r="AP38" s="304">
        <v>6</v>
      </c>
      <c r="AQ38" s="304">
        <v>4</v>
      </c>
      <c r="AR38" s="304"/>
      <c r="AS38" s="304"/>
      <c r="AT38" s="304"/>
      <c r="AU38" s="304"/>
      <c r="AV38" s="304"/>
      <c r="AW38" s="304"/>
      <c r="AX38" s="304"/>
      <c r="AY38" s="304"/>
      <c r="AZ38" s="304">
        <v>1</v>
      </c>
      <c r="BA38" s="304"/>
      <c r="BB38" s="304"/>
      <c r="BC38" s="304"/>
      <c r="BD38" s="304">
        <v>4</v>
      </c>
      <c r="BE38" s="304">
        <v>4</v>
      </c>
      <c r="BF38" s="304">
        <v>2</v>
      </c>
      <c r="BG38" s="304">
        <v>2</v>
      </c>
      <c r="BH38" s="304">
        <v>4</v>
      </c>
      <c r="BI38" s="304"/>
      <c r="BJ38" s="304"/>
      <c r="BK38" s="304">
        <v>4</v>
      </c>
      <c r="BL38" s="304">
        <v>4</v>
      </c>
      <c r="BM38" s="304"/>
      <c r="BN38" s="304"/>
      <c r="BO38" s="304">
        <v>4</v>
      </c>
      <c r="BP38" s="304">
        <v>4</v>
      </c>
      <c r="BQ38" s="304">
        <v>4</v>
      </c>
      <c r="BR38" s="304"/>
      <c r="BS38" s="304"/>
      <c r="BT38" s="304">
        <v>6</v>
      </c>
      <c r="BU38" s="304">
        <v>6</v>
      </c>
      <c r="BV38" s="304"/>
      <c r="BW38" s="304"/>
      <c r="BX38" s="304"/>
      <c r="BY38" s="304"/>
      <c r="BZ38" s="304">
        <v>4</v>
      </c>
      <c r="CA38" s="304">
        <v>2</v>
      </c>
      <c r="CB38" s="304"/>
      <c r="CC38" s="304"/>
      <c r="CD38" s="304"/>
      <c r="CE38" s="304"/>
      <c r="CF38" s="304"/>
      <c r="CG38" s="304"/>
      <c r="CH38" s="304"/>
      <c r="CI38" s="304"/>
      <c r="CJ38" s="304"/>
      <c r="CK38" s="304"/>
      <c r="CL38" s="304"/>
      <c r="CM38" s="304"/>
      <c r="CN38" s="304"/>
      <c r="CO38" s="304"/>
      <c r="CP38" s="304"/>
      <c r="CQ38" s="304"/>
      <c r="CR38" s="304"/>
      <c r="CS38" s="304"/>
      <c r="CT38" s="304"/>
      <c r="CU38" s="304"/>
      <c r="CV38" s="304"/>
      <c r="CW38" s="304"/>
      <c r="CX38" s="304"/>
      <c r="CY38" s="304"/>
      <c r="CZ38" s="304"/>
      <c r="DA38" s="304"/>
      <c r="DB38" s="304"/>
      <c r="DC38" s="306"/>
    </row>
    <row r="39" spans="1:128" ht="15" customHeight="1">
      <c r="A39" s="413">
        <v>8.02</v>
      </c>
      <c r="B39" s="411">
        <v>39</v>
      </c>
      <c r="C39" s="409" t="s">
        <v>284</v>
      </c>
      <c r="D39" s="23"/>
      <c r="E39" s="23"/>
      <c r="F39" s="27" t="s">
        <v>17</v>
      </c>
      <c r="G39" s="304">
        <v>2</v>
      </c>
      <c r="H39" s="315"/>
      <c r="I39" s="304"/>
      <c r="J39" s="304"/>
      <c r="K39" s="304">
        <v>2</v>
      </c>
      <c r="L39" s="304"/>
      <c r="M39" s="304">
        <v>2</v>
      </c>
      <c r="N39" s="315"/>
      <c r="O39" s="304"/>
      <c r="P39" s="304"/>
      <c r="Q39" s="304"/>
      <c r="R39" s="304">
        <v>2</v>
      </c>
      <c r="S39" s="304"/>
      <c r="T39" s="304"/>
      <c r="U39" s="304">
        <v>2</v>
      </c>
      <c r="V39" s="304"/>
      <c r="W39" s="304"/>
      <c r="X39" s="304"/>
      <c r="Y39" s="304"/>
      <c r="Z39" s="304"/>
      <c r="AA39" s="304"/>
      <c r="AB39" s="304"/>
      <c r="AC39" s="304"/>
      <c r="AD39" s="304"/>
      <c r="AE39" s="304"/>
      <c r="AF39" s="304"/>
      <c r="AG39" s="304">
        <v>2</v>
      </c>
      <c r="AH39" s="304"/>
      <c r="AI39" s="304">
        <v>1</v>
      </c>
      <c r="AJ39" s="304"/>
      <c r="AK39" s="304"/>
      <c r="AL39" s="304"/>
      <c r="AM39" s="304"/>
      <c r="AN39" s="304"/>
      <c r="AO39" s="304"/>
      <c r="AP39" s="304"/>
      <c r="AQ39" s="304"/>
      <c r="AR39" s="304"/>
      <c r="AS39" s="304">
        <v>4</v>
      </c>
      <c r="AT39" s="304">
        <v>4</v>
      </c>
      <c r="AU39" s="304"/>
      <c r="AV39" s="304"/>
      <c r="AW39" s="304"/>
      <c r="AX39" s="304"/>
      <c r="AY39" s="304"/>
      <c r="AZ39" s="304"/>
      <c r="BA39" s="304"/>
      <c r="BB39" s="304"/>
      <c r="BC39" s="304"/>
      <c r="BD39" s="304"/>
      <c r="BE39" s="304"/>
      <c r="BF39" s="304">
        <v>2</v>
      </c>
      <c r="BG39" s="304">
        <v>2</v>
      </c>
      <c r="BH39" s="304"/>
      <c r="BI39" s="304"/>
      <c r="BJ39" s="304"/>
      <c r="BK39" s="304">
        <v>2</v>
      </c>
      <c r="BL39" s="304">
        <v>2</v>
      </c>
      <c r="BM39" s="304"/>
      <c r="BN39" s="304"/>
      <c r="BO39" s="304"/>
      <c r="BP39" s="304">
        <v>2</v>
      </c>
      <c r="BQ39" s="304">
        <v>2</v>
      </c>
      <c r="BR39" s="304"/>
      <c r="BS39" s="304"/>
      <c r="BT39" s="304"/>
      <c r="BU39" s="304">
        <v>2</v>
      </c>
      <c r="BV39" s="304"/>
      <c r="BW39" s="304"/>
      <c r="BX39" s="304"/>
      <c r="BY39" s="304"/>
      <c r="BZ39" s="304">
        <v>2</v>
      </c>
      <c r="CA39" s="304"/>
      <c r="CB39" s="304"/>
      <c r="CC39" s="304"/>
      <c r="CD39" s="304">
        <v>6</v>
      </c>
      <c r="CE39" s="304"/>
      <c r="CF39" s="304"/>
      <c r="CG39" s="304"/>
      <c r="CH39" s="304"/>
      <c r="CI39" s="304"/>
      <c r="CJ39" s="304"/>
      <c r="CK39" s="304"/>
      <c r="CL39" s="304"/>
      <c r="CM39" s="304"/>
      <c r="CN39" s="304"/>
      <c r="CO39" s="304"/>
      <c r="CP39" s="304"/>
      <c r="CQ39" s="304"/>
      <c r="CR39" s="304"/>
      <c r="CS39" s="304"/>
      <c r="CT39" s="304"/>
      <c r="CU39" s="304"/>
      <c r="CV39" s="304"/>
      <c r="CW39" s="304"/>
      <c r="CX39" s="304"/>
      <c r="CY39" s="304"/>
      <c r="CZ39" s="304"/>
      <c r="DA39" s="304"/>
      <c r="DB39" s="304"/>
      <c r="DC39" s="306"/>
    </row>
    <row r="40" spans="1:128">
      <c r="A40" s="413">
        <v>8.0299999999999994</v>
      </c>
      <c r="B40" s="410">
        <v>40</v>
      </c>
      <c r="C40" s="409" t="s">
        <v>285</v>
      </c>
      <c r="D40" s="23"/>
      <c r="E40" s="23"/>
      <c r="F40" s="27" t="s">
        <v>17</v>
      </c>
      <c r="G40" s="304"/>
      <c r="H40" s="315"/>
      <c r="I40" s="304"/>
      <c r="J40" s="304"/>
      <c r="K40" s="304"/>
      <c r="L40" s="304"/>
      <c r="M40" s="304"/>
      <c r="N40" s="315"/>
      <c r="O40" s="304"/>
      <c r="P40" s="304"/>
      <c r="Q40" s="304">
        <v>1</v>
      </c>
      <c r="R40" s="304">
        <v>1</v>
      </c>
      <c r="S40" s="304">
        <v>1</v>
      </c>
      <c r="T40" s="304">
        <v>1</v>
      </c>
      <c r="U40" s="304"/>
      <c r="V40" s="304">
        <v>1</v>
      </c>
      <c r="W40" s="304">
        <v>1</v>
      </c>
      <c r="X40" s="304"/>
      <c r="Y40" s="304">
        <v>1</v>
      </c>
      <c r="Z40" s="304"/>
      <c r="AA40" s="304"/>
      <c r="AB40" s="304"/>
      <c r="AC40" s="304"/>
      <c r="AD40" s="304"/>
      <c r="AE40" s="304"/>
      <c r="AF40" s="304"/>
      <c r="AG40" s="304"/>
      <c r="AH40" s="304"/>
      <c r="AI40" s="304"/>
      <c r="AJ40" s="304">
        <v>2</v>
      </c>
      <c r="AK40" s="304"/>
      <c r="AL40" s="304"/>
      <c r="AM40" s="304"/>
      <c r="AN40" s="304"/>
      <c r="AO40" s="304"/>
      <c r="AP40" s="304"/>
      <c r="AQ40" s="304">
        <v>5</v>
      </c>
      <c r="AR40" s="304">
        <v>2</v>
      </c>
      <c r="AS40" s="304"/>
      <c r="AT40" s="304"/>
      <c r="AU40" s="304"/>
      <c r="AV40" s="304"/>
      <c r="AW40" s="304"/>
      <c r="AX40" s="304"/>
      <c r="AY40" s="304"/>
      <c r="AZ40" s="304"/>
      <c r="BA40" s="304">
        <v>4</v>
      </c>
      <c r="BB40" s="304">
        <v>2</v>
      </c>
      <c r="BC40" s="304">
        <v>2</v>
      </c>
      <c r="BD40" s="304">
        <v>1</v>
      </c>
      <c r="BE40" s="304">
        <v>1</v>
      </c>
      <c r="BF40" s="304">
        <v>1</v>
      </c>
      <c r="BG40" s="304">
        <v>1</v>
      </c>
      <c r="BH40" s="304">
        <v>1</v>
      </c>
      <c r="BI40" s="304"/>
      <c r="BJ40" s="304"/>
      <c r="BK40" s="304">
        <v>1</v>
      </c>
      <c r="BL40" s="304">
        <v>1</v>
      </c>
      <c r="BM40" s="304"/>
      <c r="BN40" s="304"/>
      <c r="BO40" s="304">
        <v>1</v>
      </c>
      <c r="BP40" s="304">
        <v>1</v>
      </c>
      <c r="BQ40" s="304">
        <v>1</v>
      </c>
      <c r="BR40" s="304"/>
      <c r="BS40" s="304"/>
      <c r="BT40" s="304">
        <v>2</v>
      </c>
      <c r="BU40" s="304">
        <v>2</v>
      </c>
      <c r="BV40" s="304"/>
      <c r="BW40" s="304"/>
      <c r="BX40" s="304"/>
      <c r="BY40" s="304"/>
      <c r="BZ40" s="304">
        <v>1</v>
      </c>
      <c r="CA40" s="304">
        <v>1</v>
      </c>
      <c r="CB40" s="304"/>
      <c r="CC40" s="304"/>
      <c r="CD40" s="304"/>
      <c r="CE40" s="304"/>
      <c r="CF40" s="304"/>
      <c r="CG40" s="304"/>
      <c r="CH40" s="304"/>
      <c r="CI40" s="304"/>
      <c r="CJ40" s="304"/>
      <c r="CK40" s="304"/>
      <c r="CL40" s="304"/>
      <c r="CM40" s="304">
        <v>2</v>
      </c>
      <c r="CN40" s="304">
        <v>2</v>
      </c>
      <c r="CO40" s="304"/>
      <c r="CP40" s="304"/>
      <c r="CQ40" s="304"/>
      <c r="CR40" s="304"/>
      <c r="CS40" s="304"/>
      <c r="CT40" s="304"/>
      <c r="CU40" s="304"/>
      <c r="CV40" s="304"/>
      <c r="CW40" s="304"/>
      <c r="CX40" s="304"/>
      <c r="CY40" s="304"/>
      <c r="CZ40" s="304"/>
      <c r="DA40" s="304"/>
      <c r="DB40" s="304"/>
      <c r="DC40" s="306"/>
    </row>
    <row r="41" spans="1:128">
      <c r="A41" s="413">
        <v>8.0399999999999991</v>
      </c>
      <c r="B41" s="410">
        <v>41</v>
      </c>
      <c r="C41" s="409" t="s">
        <v>286</v>
      </c>
      <c r="D41" s="23"/>
      <c r="E41" s="23"/>
      <c r="F41" s="27" t="s">
        <v>17</v>
      </c>
      <c r="G41" s="304"/>
      <c r="H41" s="315">
        <v>2</v>
      </c>
      <c r="I41" s="304"/>
      <c r="J41" s="304"/>
      <c r="K41" s="304"/>
      <c r="L41" s="304"/>
      <c r="M41" s="304"/>
      <c r="N41" s="315"/>
      <c r="O41" s="304"/>
      <c r="P41" s="304"/>
      <c r="Q41" s="304"/>
      <c r="R41" s="304"/>
      <c r="S41" s="304"/>
      <c r="T41" s="304"/>
      <c r="U41" s="304"/>
      <c r="V41" s="304"/>
      <c r="W41" s="304"/>
      <c r="X41" s="304"/>
      <c r="Y41" s="304"/>
      <c r="Z41" s="304"/>
      <c r="AA41" s="304"/>
      <c r="AB41" s="304"/>
      <c r="AC41" s="304"/>
      <c r="AD41" s="304"/>
      <c r="AE41" s="304"/>
      <c r="AF41" s="304"/>
      <c r="AG41" s="304"/>
      <c r="AH41" s="304"/>
      <c r="AI41" s="304"/>
      <c r="AJ41" s="304"/>
      <c r="AK41" s="304"/>
      <c r="AL41" s="304"/>
      <c r="AM41" s="304"/>
      <c r="AN41" s="304"/>
      <c r="AO41" s="304"/>
      <c r="AP41" s="304"/>
      <c r="AQ41" s="304"/>
      <c r="AR41" s="304"/>
      <c r="AS41" s="304"/>
      <c r="AT41" s="304"/>
      <c r="AU41" s="304"/>
      <c r="AV41" s="304"/>
      <c r="AW41" s="304"/>
      <c r="AX41" s="304"/>
      <c r="AY41" s="304"/>
      <c r="AZ41" s="304"/>
      <c r="BA41" s="304"/>
      <c r="BB41" s="304"/>
      <c r="BC41" s="304"/>
      <c r="BD41" s="304"/>
      <c r="BE41" s="304">
        <v>2</v>
      </c>
      <c r="BF41" s="304"/>
      <c r="BG41" s="304"/>
      <c r="BH41" s="304">
        <v>2</v>
      </c>
      <c r="BI41" s="304"/>
      <c r="BJ41" s="304"/>
      <c r="BK41" s="304"/>
      <c r="BL41" s="304"/>
      <c r="BM41" s="304"/>
      <c r="BN41" s="304"/>
      <c r="BO41" s="304"/>
      <c r="BP41" s="304"/>
      <c r="BQ41" s="304"/>
      <c r="BR41" s="304">
        <v>4</v>
      </c>
      <c r="BS41" s="304"/>
      <c r="BT41" s="304"/>
      <c r="BU41" s="304"/>
      <c r="BV41" s="304"/>
      <c r="BW41" s="304"/>
      <c r="BX41" s="304"/>
      <c r="BY41" s="304"/>
      <c r="BZ41" s="304"/>
      <c r="CA41" s="304"/>
      <c r="CB41" s="304"/>
      <c r="CC41" s="304"/>
      <c r="CD41" s="304"/>
      <c r="CE41" s="304"/>
      <c r="CF41" s="304"/>
      <c r="CG41" s="304"/>
      <c r="CH41" s="304"/>
      <c r="CI41" s="304"/>
      <c r="CJ41" s="304"/>
      <c r="CK41" s="304"/>
      <c r="CL41" s="304"/>
      <c r="CM41" s="304"/>
      <c r="CN41" s="304"/>
      <c r="CO41" s="304"/>
      <c r="CP41" s="304"/>
      <c r="CQ41" s="304"/>
      <c r="CR41" s="304"/>
      <c r="CS41" s="304"/>
      <c r="CT41" s="304"/>
      <c r="CU41" s="304"/>
      <c r="CV41" s="304"/>
      <c r="CW41" s="304"/>
      <c r="CX41" s="304"/>
      <c r="CY41" s="304"/>
      <c r="CZ41" s="304"/>
      <c r="DA41" s="304"/>
      <c r="DB41" s="304"/>
      <c r="DC41" s="306"/>
    </row>
    <row r="42" spans="1:128">
      <c r="A42" s="413">
        <v>8.0499999999999989</v>
      </c>
      <c r="B42" s="411">
        <v>42</v>
      </c>
      <c r="C42" s="409" t="s">
        <v>287</v>
      </c>
      <c r="D42" s="109"/>
      <c r="E42" s="109"/>
      <c r="F42" s="27" t="s">
        <v>17</v>
      </c>
      <c r="G42" s="304"/>
      <c r="H42" s="315"/>
      <c r="I42" s="304">
        <v>1</v>
      </c>
      <c r="J42" s="304">
        <v>2</v>
      </c>
      <c r="K42" s="304">
        <v>1</v>
      </c>
      <c r="L42" s="304">
        <v>1</v>
      </c>
      <c r="M42" s="304">
        <v>1</v>
      </c>
      <c r="N42" s="315">
        <v>1</v>
      </c>
      <c r="O42" s="304"/>
      <c r="P42" s="304"/>
      <c r="Q42" s="304">
        <v>1</v>
      </c>
      <c r="R42" s="304">
        <v>1</v>
      </c>
      <c r="S42" s="304"/>
      <c r="T42" s="304"/>
      <c r="U42" s="304">
        <v>1</v>
      </c>
      <c r="V42" s="304"/>
      <c r="W42" s="304"/>
      <c r="X42" s="304"/>
      <c r="Y42" s="304"/>
      <c r="Z42" s="304"/>
      <c r="AA42" s="304">
        <v>2</v>
      </c>
      <c r="AB42" s="304">
        <v>4</v>
      </c>
      <c r="AC42" s="304"/>
      <c r="AD42" s="304">
        <v>2</v>
      </c>
      <c r="AE42" s="304"/>
      <c r="AF42" s="304"/>
      <c r="AG42" s="304">
        <v>2</v>
      </c>
      <c r="AH42" s="304"/>
      <c r="AI42" s="304"/>
      <c r="AJ42" s="304"/>
      <c r="AK42" s="304"/>
      <c r="AL42" s="304">
        <v>2</v>
      </c>
      <c r="AM42" s="304"/>
      <c r="AN42" s="304"/>
      <c r="AO42" s="304"/>
      <c r="AP42" s="304"/>
      <c r="AQ42" s="304"/>
      <c r="AR42" s="304"/>
      <c r="AS42" s="304">
        <v>4</v>
      </c>
      <c r="AT42" s="304">
        <v>2</v>
      </c>
      <c r="AU42" s="304"/>
      <c r="AV42" s="304"/>
      <c r="AW42" s="304"/>
      <c r="AX42" s="304"/>
      <c r="AY42" s="304"/>
      <c r="AZ42" s="304"/>
      <c r="BA42" s="304"/>
      <c r="BB42" s="304"/>
      <c r="BC42" s="304"/>
      <c r="BD42" s="304">
        <v>1</v>
      </c>
      <c r="BE42" s="304"/>
      <c r="BF42" s="304"/>
      <c r="BG42" s="304"/>
      <c r="BH42" s="304"/>
      <c r="BI42" s="304"/>
      <c r="BJ42" s="304"/>
      <c r="BK42" s="304">
        <v>1</v>
      </c>
      <c r="BL42" s="304">
        <v>1</v>
      </c>
      <c r="BM42" s="304"/>
      <c r="BN42" s="304"/>
      <c r="BO42" s="304">
        <v>1</v>
      </c>
      <c r="BP42" s="304">
        <v>1</v>
      </c>
      <c r="BQ42" s="304">
        <v>1</v>
      </c>
      <c r="BR42" s="304">
        <v>1</v>
      </c>
      <c r="BS42" s="304"/>
      <c r="BT42" s="304">
        <v>1</v>
      </c>
      <c r="BU42" s="304">
        <v>1</v>
      </c>
      <c r="BV42" s="304"/>
      <c r="BW42" s="304"/>
      <c r="BX42" s="304"/>
      <c r="BY42" s="304"/>
      <c r="BZ42" s="304"/>
      <c r="CA42" s="304"/>
      <c r="CB42" s="304"/>
      <c r="CC42" s="304"/>
      <c r="CD42" s="304">
        <v>6</v>
      </c>
      <c r="CE42" s="304"/>
      <c r="CF42" s="304"/>
      <c r="CG42" s="304"/>
      <c r="CH42" s="304"/>
      <c r="CI42" s="304"/>
      <c r="CJ42" s="304"/>
      <c r="CK42" s="304"/>
      <c r="CL42" s="304"/>
      <c r="CM42" s="304">
        <v>1</v>
      </c>
      <c r="CN42" s="304"/>
      <c r="CO42" s="304"/>
      <c r="CP42" s="304"/>
      <c r="CQ42" s="304"/>
      <c r="CR42" s="304"/>
      <c r="CS42" s="304"/>
      <c r="CT42" s="304"/>
      <c r="CU42" s="304"/>
      <c r="CV42" s="304"/>
      <c r="CW42" s="304"/>
      <c r="CX42" s="304"/>
      <c r="CY42" s="304"/>
      <c r="CZ42" s="304"/>
      <c r="DA42" s="304"/>
      <c r="DB42" s="304"/>
      <c r="DC42" s="306"/>
    </row>
    <row r="43" spans="1:128">
      <c r="A43" s="413">
        <v>8.0599999999999987</v>
      </c>
      <c r="B43" s="410">
        <v>43</v>
      </c>
      <c r="C43" s="409" t="s">
        <v>290</v>
      </c>
      <c r="D43" s="23"/>
      <c r="E43" s="23"/>
      <c r="F43" s="27" t="s">
        <v>17</v>
      </c>
      <c r="G43" s="304"/>
      <c r="H43" s="315"/>
      <c r="I43" s="304"/>
      <c r="J43" s="304"/>
      <c r="K43" s="304">
        <v>1</v>
      </c>
      <c r="L43" s="304"/>
      <c r="M43" s="304"/>
      <c r="N43" s="315"/>
      <c r="O43" s="304"/>
      <c r="P43" s="304"/>
      <c r="Q43" s="304">
        <v>1</v>
      </c>
      <c r="R43" s="304"/>
      <c r="S43" s="304"/>
      <c r="T43" s="304"/>
      <c r="U43" s="304"/>
      <c r="V43" s="304"/>
      <c r="W43" s="304"/>
      <c r="X43" s="304"/>
      <c r="Y43" s="304"/>
      <c r="Z43" s="304"/>
      <c r="AA43" s="304"/>
      <c r="AB43" s="304"/>
      <c r="AC43" s="304">
        <v>4</v>
      </c>
      <c r="AD43" s="304"/>
      <c r="AE43" s="304">
        <v>2</v>
      </c>
      <c r="AF43" s="304">
        <v>2</v>
      </c>
      <c r="AG43" s="304"/>
      <c r="AH43" s="304"/>
      <c r="AI43" s="304"/>
      <c r="AJ43" s="304"/>
      <c r="AK43" s="304"/>
      <c r="AL43" s="304">
        <v>2</v>
      </c>
      <c r="AM43" s="304">
        <v>2</v>
      </c>
      <c r="AN43" s="304"/>
      <c r="AO43" s="304">
        <v>4</v>
      </c>
      <c r="AP43" s="304">
        <v>2</v>
      </c>
      <c r="AQ43" s="304">
        <v>2</v>
      </c>
      <c r="AR43" s="304"/>
      <c r="AS43" s="304"/>
      <c r="AT43" s="304">
        <v>2</v>
      </c>
      <c r="AU43" s="304"/>
      <c r="AV43" s="304"/>
      <c r="AW43" s="304"/>
      <c r="AX43" s="304"/>
      <c r="AY43" s="304"/>
      <c r="AZ43" s="304"/>
      <c r="BA43" s="304">
        <v>2</v>
      </c>
      <c r="BB43" s="304"/>
      <c r="BC43" s="304">
        <v>2</v>
      </c>
      <c r="BD43" s="304">
        <v>2</v>
      </c>
      <c r="BE43" s="304"/>
      <c r="BF43" s="304"/>
      <c r="BG43" s="304"/>
      <c r="BH43" s="304"/>
      <c r="BI43" s="304"/>
      <c r="BJ43" s="304"/>
      <c r="BK43" s="304">
        <v>5</v>
      </c>
      <c r="BL43" s="304">
        <v>5</v>
      </c>
      <c r="BM43" s="304"/>
      <c r="BN43" s="304"/>
      <c r="BO43" s="304">
        <v>2</v>
      </c>
      <c r="BP43" s="304">
        <v>2</v>
      </c>
      <c r="BQ43" s="304">
        <v>2</v>
      </c>
      <c r="BR43" s="304"/>
      <c r="BS43" s="304"/>
      <c r="BT43" s="304">
        <v>5</v>
      </c>
      <c r="BU43" s="304">
        <v>2</v>
      </c>
      <c r="BV43" s="304"/>
      <c r="BW43" s="304"/>
      <c r="BX43" s="304"/>
      <c r="BY43" s="304">
        <v>6</v>
      </c>
      <c r="BZ43" s="304">
        <v>3</v>
      </c>
      <c r="CA43" s="304"/>
      <c r="CB43" s="304"/>
      <c r="CC43" s="304"/>
      <c r="CD43" s="304"/>
      <c r="CE43" s="304">
        <v>6</v>
      </c>
      <c r="CF43" s="304"/>
      <c r="CG43" s="304"/>
      <c r="CH43" s="304"/>
      <c r="CI43" s="304"/>
      <c r="CJ43" s="304"/>
      <c r="CK43" s="304"/>
      <c r="CL43" s="304"/>
      <c r="CM43" s="304"/>
      <c r="CN43" s="304"/>
      <c r="CO43" s="304"/>
      <c r="CP43" s="304"/>
      <c r="CQ43" s="304"/>
      <c r="CR43" s="304"/>
      <c r="CS43" s="304"/>
      <c r="CT43" s="304"/>
      <c r="CU43" s="304"/>
      <c r="CV43" s="304"/>
      <c r="CW43" s="304"/>
      <c r="CX43" s="304"/>
      <c r="CY43" s="304"/>
      <c r="CZ43" s="304"/>
      <c r="DA43" s="304"/>
      <c r="DB43" s="304"/>
      <c r="DC43" s="306"/>
      <c r="DU43" s="2">
        <v>1</v>
      </c>
      <c r="DX43" s="2">
        <v>1</v>
      </c>
    </row>
    <row r="44" spans="1:128">
      <c r="A44" s="413">
        <v>8.0699999999999985</v>
      </c>
      <c r="B44" s="411">
        <v>44</v>
      </c>
      <c r="C44" s="409" t="s">
        <v>395</v>
      </c>
      <c r="D44" s="23"/>
      <c r="E44" s="23"/>
      <c r="F44" s="27" t="s">
        <v>17</v>
      </c>
      <c r="G44" s="304"/>
      <c r="H44" s="315"/>
      <c r="I44" s="304"/>
      <c r="J44" s="304"/>
      <c r="K44" s="304"/>
      <c r="L44" s="304"/>
      <c r="M44" s="304"/>
      <c r="N44" s="315"/>
      <c r="O44" s="304"/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4"/>
      <c r="AC44" s="304"/>
      <c r="AD44" s="304"/>
      <c r="AE44" s="304"/>
      <c r="AF44" s="304"/>
      <c r="AG44" s="304"/>
      <c r="AH44" s="304"/>
      <c r="AI44" s="304"/>
      <c r="AJ44" s="304"/>
      <c r="AK44" s="304"/>
      <c r="AL44" s="304"/>
      <c r="AM44" s="304"/>
      <c r="AN44" s="304"/>
      <c r="AO44" s="304"/>
      <c r="AP44" s="304"/>
      <c r="AQ44" s="304"/>
      <c r="AR44" s="304"/>
      <c r="AS44" s="304"/>
      <c r="AT44" s="304"/>
      <c r="AU44" s="304"/>
      <c r="AV44" s="304"/>
      <c r="AW44" s="304"/>
      <c r="AX44" s="304"/>
      <c r="AY44" s="304"/>
      <c r="AZ44" s="304"/>
      <c r="BA44" s="304"/>
      <c r="BB44" s="304"/>
      <c r="BC44" s="304"/>
      <c r="BD44" s="304"/>
      <c r="BE44" s="304"/>
      <c r="BF44" s="304"/>
      <c r="BG44" s="304"/>
      <c r="BH44" s="304"/>
      <c r="BI44" s="304"/>
      <c r="BJ44" s="304"/>
      <c r="BK44" s="304"/>
      <c r="BL44" s="304"/>
      <c r="BM44" s="304"/>
      <c r="BN44" s="304"/>
      <c r="BO44" s="304"/>
      <c r="BP44" s="304"/>
      <c r="BQ44" s="304"/>
      <c r="BR44" s="304"/>
      <c r="BS44" s="304"/>
      <c r="BT44" s="304"/>
      <c r="BU44" s="304"/>
      <c r="BV44" s="304"/>
      <c r="BW44" s="304"/>
      <c r="BX44" s="304"/>
      <c r="BY44" s="304"/>
      <c r="BZ44" s="304"/>
      <c r="CA44" s="304"/>
      <c r="CB44" s="304"/>
      <c r="CC44" s="304"/>
      <c r="CD44" s="304"/>
      <c r="CE44" s="304"/>
      <c r="CF44" s="304"/>
      <c r="CG44" s="304"/>
      <c r="CH44" s="304"/>
      <c r="CI44" s="304"/>
      <c r="CJ44" s="304"/>
      <c r="CK44" s="304"/>
      <c r="CL44" s="304"/>
      <c r="CM44" s="304"/>
      <c r="CN44" s="304"/>
      <c r="CO44" s="304"/>
      <c r="CP44" s="304"/>
      <c r="CQ44" s="304"/>
      <c r="CR44" s="304"/>
      <c r="CS44" s="304"/>
      <c r="CT44" s="304"/>
      <c r="CU44" s="304"/>
      <c r="CV44" s="304"/>
      <c r="CW44" s="304"/>
      <c r="CX44" s="304"/>
      <c r="CY44" s="304"/>
      <c r="CZ44" s="304"/>
      <c r="DA44" s="304"/>
      <c r="DB44" s="304"/>
      <c r="DC44" s="306"/>
    </row>
    <row r="45" spans="1:128">
      <c r="A45" s="413">
        <v>8.0799999999999983</v>
      </c>
      <c r="B45" s="410">
        <v>45</v>
      </c>
      <c r="C45" s="409" t="s">
        <v>291</v>
      </c>
      <c r="D45" s="105"/>
      <c r="E45" s="105"/>
      <c r="F45" s="27" t="s">
        <v>17</v>
      </c>
      <c r="G45" s="309"/>
      <c r="H45" s="315">
        <v>2</v>
      </c>
      <c r="I45" s="309"/>
      <c r="J45" s="309"/>
      <c r="K45" s="309"/>
      <c r="L45" s="309"/>
      <c r="M45" s="309"/>
      <c r="N45" s="315"/>
      <c r="O45" s="309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  <c r="AA45" s="309"/>
      <c r="AB45" s="309"/>
      <c r="AC45" s="309"/>
      <c r="AD45" s="309"/>
      <c r="AE45" s="309"/>
      <c r="AF45" s="309"/>
      <c r="AG45" s="309"/>
      <c r="AH45" s="309"/>
      <c r="AI45" s="309"/>
      <c r="AJ45" s="309"/>
      <c r="AK45" s="309"/>
      <c r="AL45" s="309"/>
      <c r="AM45" s="309"/>
      <c r="AN45" s="309"/>
      <c r="AO45" s="309"/>
      <c r="AP45" s="309"/>
      <c r="AQ45" s="309"/>
      <c r="AR45" s="309"/>
      <c r="AS45" s="309"/>
      <c r="AT45" s="309"/>
      <c r="AU45" s="309"/>
      <c r="AV45" s="309"/>
      <c r="AW45" s="309"/>
      <c r="AX45" s="309"/>
      <c r="AY45" s="309"/>
      <c r="AZ45" s="309"/>
      <c r="BA45" s="309"/>
      <c r="BB45" s="309"/>
      <c r="BC45" s="309"/>
      <c r="BD45" s="309"/>
      <c r="BE45" s="309">
        <v>2</v>
      </c>
      <c r="BF45" s="309"/>
      <c r="BG45" s="309"/>
      <c r="BH45" s="309">
        <v>2</v>
      </c>
      <c r="BI45" s="309"/>
      <c r="BJ45" s="309"/>
      <c r="BK45" s="309"/>
      <c r="BL45" s="309"/>
      <c r="BM45" s="309"/>
      <c r="BN45" s="309"/>
      <c r="BO45" s="440"/>
      <c r="BP45" s="440"/>
      <c r="BQ45" s="440"/>
      <c r="BR45" s="440"/>
      <c r="BS45" s="339"/>
      <c r="BT45" s="339"/>
      <c r="BU45" s="339"/>
      <c r="BV45" s="339"/>
      <c r="BW45" s="440"/>
      <c r="BX45" s="440"/>
      <c r="BY45" s="440"/>
      <c r="BZ45" s="440"/>
      <c r="CA45" s="339"/>
      <c r="CB45" s="339"/>
      <c r="CC45" s="339"/>
      <c r="CD45" s="339"/>
      <c r="CE45" s="309"/>
      <c r="CF45" s="309"/>
      <c r="CG45" s="309"/>
      <c r="CH45" s="309"/>
      <c r="CI45" s="309"/>
      <c r="CJ45" s="309"/>
      <c r="CK45" s="309"/>
      <c r="CL45" s="309"/>
      <c r="CM45" s="309"/>
      <c r="CN45" s="309"/>
      <c r="CO45" s="309"/>
      <c r="CP45" s="309"/>
      <c r="CQ45" s="309"/>
      <c r="CR45" s="309"/>
      <c r="CS45" s="309"/>
      <c r="CT45" s="309"/>
      <c r="CU45" s="309"/>
      <c r="CV45" s="309"/>
      <c r="CW45" s="309"/>
      <c r="CX45" s="309"/>
      <c r="CY45" s="309"/>
      <c r="CZ45" s="309"/>
      <c r="DA45" s="309"/>
      <c r="DB45" s="309"/>
      <c r="DC45" s="313"/>
    </row>
    <row r="46" spans="1:128">
      <c r="A46" s="413">
        <v>8.0899999999999981</v>
      </c>
      <c r="B46" s="410">
        <v>46</v>
      </c>
      <c r="C46" s="409" t="s">
        <v>396</v>
      </c>
      <c r="D46" s="110"/>
      <c r="E46" s="110"/>
      <c r="F46" s="27" t="s">
        <v>17</v>
      </c>
      <c r="G46" s="311"/>
      <c r="H46" s="315"/>
      <c r="I46" s="311"/>
      <c r="J46" s="311"/>
      <c r="K46" s="311"/>
      <c r="L46" s="311"/>
      <c r="M46" s="311"/>
      <c r="N46" s="315"/>
      <c r="O46" s="311"/>
      <c r="P46" s="311"/>
      <c r="Q46" s="311">
        <v>1</v>
      </c>
      <c r="R46" s="311">
        <v>1</v>
      </c>
      <c r="S46" s="311">
        <v>1</v>
      </c>
      <c r="T46" s="311">
        <v>1</v>
      </c>
      <c r="U46" s="311"/>
      <c r="V46" s="311">
        <v>1</v>
      </c>
      <c r="W46" s="311">
        <v>1</v>
      </c>
      <c r="X46" s="311"/>
      <c r="Y46" s="311">
        <v>2</v>
      </c>
      <c r="Z46" s="311">
        <v>4</v>
      </c>
      <c r="AA46" s="311"/>
      <c r="AB46" s="311"/>
      <c r="AC46" s="311">
        <v>4</v>
      </c>
      <c r="AD46" s="311"/>
      <c r="AE46" s="311">
        <v>4</v>
      </c>
      <c r="AF46" s="311">
        <v>4</v>
      </c>
      <c r="AG46" s="311">
        <v>1</v>
      </c>
      <c r="AH46" s="311">
        <v>2</v>
      </c>
      <c r="AI46" s="311">
        <v>1</v>
      </c>
      <c r="AJ46" s="311"/>
      <c r="AK46" s="311"/>
      <c r="AL46" s="311"/>
      <c r="AM46" s="311">
        <v>4</v>
      </c>
      <c r="AN46" s="311">
        <v>2</v>
      </c>
      <c r="AO46" s="311">
        <v>6</v>
      </c>
      <c r="AP46" s="311">
        <v>6</v>
      </c>
      <c r="AQ46" s="311">
        <v>4</v>
      </c>
      <c r="AR46" s="311"/>
      <c r="AS46" s="311"/>
      <c r="AT46" s="311"/>
      <c r="AU46" s="311"/>
      <c r="AV46" s="311"/>
      <c r="AW46" s="311"/>
      <c r="AX46" s="311"/>
      <c r="AY46" s="311"/>
      <c r="AZ46" s="311">
        <v>1</v>
      </c>
      <c r="BA46" s="311"/>
      <c r="BB46" s="311"/>
      <c r="BC46" s="311"/>
      <c r="BD46" s="311">
        <v>4</v>
      </c>
      <c r="BE46" s="311">
        <v>4</v>
      </c>
      <c r="BF46" s="311">
        <v>2</v>
      </c>
      <c r="BG46" s="311">
        <v>2</v>
      </c>
      <c r="BH46" s="311">
        <v>4</v>
      </c>
      <c r="BI46" s="311"/>
      <c r="BJ46" s="311"/>
      <c r="BK46" s="311">
        <v>4</v>
      </c>
      <c r="BL46" s="311">
        <v>4</v>
      </c>
      <c r="BM46" s="311"/>
      <c r="BN46" s="311"/>
      <c r="BO46" s="311">
        <v>4</v>
      </c>
      <c r="BP46" s="311">
        <v>4</v>
      </c>
      <c r="BQ46" s="311">
        <v>4</v>
      </c>
      <c r="BR46" s="311"/>
      <c r="BS46" s="311"/>
      <c r="BT46" s="311">
        <v>6</v>
      </c>
      <c r="BU46" s="311">
        <v>6</v>
      </c>
      <c r="BV46" s="311"/>
      <c r="BW46" s="311"/>
      <c r="BX46" s="311"/>
      <c r="BY46" s="311"/>
      <c r="BZ46" s="311">
        <v>4</v>
      </c>
      <c r="CA46" s="311">
        <v>2</v>
      </c>
      <c r="CB46" s="311"/>
      <c r="CC46" s="311"/>
      <c r="CD46" s="311"/>
      <c r="CE46" s="311"/>
      <c r="CF46" s="311"/>
      <c r="CG46" s="311"/>
      <c r="CH46" s="311"/>
      <c r="CI46" s="311"/>
      <c r="CJ46" s="311"/>
      <c r="CK46" s="311"/>
      <c r="CL46" s="311"/>
      <c r="CM46" s="311"/>
      <c r="CN46" s="311"/>
      <c r="CO46" s="311"/>
      <c r="CP46" s="311"/>
      <c r="CQ46" s="311"/>
      <c r="CR46" s="311"/>
      <c r="CS46" s="311"/>
      <c r="CT46" s="311"/>
      <c r="CU46" s="311"/>
      <c r="CV46" s="311"/>
      <c r="CW46" s="311"/>
      <c r="CX46" s="311"/>
      <c r="CY46" s="311"/>
      <c r="CZ46" s="311"/>
      <c r="DA46" s="311"/>
      <c r="DB46" s="311"/>
      <c r="DC46" s="312"/>
    </row>
    <row r="47" spans="1:128">
      <c r="A47" s="413">
        <v>8.0999999999999979</v>
      </c>
      <c r="B47" s="411">
        <v>47</v>
      </c>
      <c r="C47" s="409" t="s">
        <v>288</v>
      </c>
      <c r="D47" s="110"/>
      <c r="E47" s="110"/>
      <c r="F47" s="27" t="s">
        <v>17</v>
      </c>
      <c r="G47" s="309"/>
      <c r="H47" s="315">
        <v>2</v>
      </c>
      <c r="I47" s="309"/>
      <c r="J47" s="309"/>
      <c r="K47" s="309"/>
      <c r="L47" s="309"/>
      <c r="M47" s="309"/>
      <c r="N47" s="315"/>
      <c r="O47" s="309"/>
      <c r="P47" s="309">
        <v>2</v>
      </c>
      <c r="Q47" s="309">
        <v>1</v>
      </c>
      <c r="R47" s="309">
        <v>1</v>
      </c>
      <c r="S47" s="309">
        <v>1</v>
      </c>
      <c r="T47" s="309">
        <v>1</v>
      </c>
      <c r="U47" s="309"/>
      <c r="V47" s="309">
        <v>1</v>
      </c>
      <c r="W47" s="309">
        <v>1</v>
      </c>
      <c r="X47" s="309"/>
      <c r="Y47" s="309">
        <v>1</v>
      </c>
      <c r="Z47" s="309">
        <v>10</v>
      </c>
      <c r="AA47" s="309"/>
      <c r="AB47" s="309"/>
      <c r="AC47" s="309">
        <v>10</v>
      </c>
      <c r="AD47" s="309"/>
      <c r="AE47" s="309">
        <v>10</v>
      </c>
      <c r="AF47" s="309">
        <v>10</v>
      </c>
      <c r="AG47" s="309">
        <v>1</v>
      </c>
      <c r="AH47" s="309">
        <v>2</v>
      </c>
      <c r="AI47" s="309">
        <v>1</v>
      </c>
      <c r="AJ47" s="309">
        <v>2</v>
      </c>
      <c r="AK47" s="309">
        <v>4</v>
      </c>
      <c r="AL47" s="309">
        <v>12</v>
      </c>
      <c r="AM47" s="309">
        <v>10</v>
      </c>
      <c r="AN47" s="309">
        <v>1</v>
      </c>
      <c r="AO47" s="309">
        <v>11</v>
      </c>
      <c r="AP47" s="309">
        <v>11</v>
      </c>
      <c r="AQ47" s="309">
        <v>10</v>
      </c>
      <c r="AR47" s="309">
        <v>10</v>
      </c>
      <c r="AS47" s="309"/>
      <c r="AT47" s="309"/>
      <c r="AU47" s="309"/>
      <c r="AV47" s="309"/>
      <c r="AW47" s="309"/>
      <c r="AX47" s="309"/>
      <c r="AY47" s="309"/>
      <c r="AZ47" s="309">
        <v>2</v>
      </c>
      <c r="BA47" s="309">
        <v>10</v>
      </c>
      <c r="BB47" s="309">
        <v>8</v>
      </c>
      <c r="BC47" s="309">
        <v>10</v>
      </c>
      <c r="BD47" s="309">
        <v>10</v>
      </c>
      <c r="BE47" s="309">
        <v>14</v>
      </c>
      <c r="BF47" s="309">
        <v>2</v>
      </c>
      <c r="BG47" s="309">
        <v>2</v>
      </c>
      <c r="BH47" s="309">
        <v>14</v>
      </c>
      <c r="BI47" s="309"/>
      <c r="BJ47" s="309"/>
      <c r="BK47" s="309">
        <v>12</v>
      </c>
      <c r="BL47" s="309">
        <v>12</v>
      </c>
      <c r="BM47" s="309"/>
      <c r="BN47" s="309"/>
      <c r="BO47" s="309">
        <v>10</v>
      </c>
      <c r="BP47" s="309">
        <v>10</v>
      </c>
      <c r="BQ47" s="309">
        <v>10</v>
      </c>
      <c r="BR47" s="309">
        <v>4</v>
      </c>
      <c r="BS47" s="309"/>
      <c r="BT47" s="309">
        <v>11</v>
      </c>
      <c r="BU47" s="309">
        <v>11</v>
      </c>
      <c r="BV47" s="309">
        <v>6</v>
      </c>
      <c r="BW47" s="309">
        <v>6</v>
      </c>
      <c r="BX47" s="309"/>
      <c r="BY47" s="309">
        <v>20</v>
      </c>
      <c r="BZ47" s="309">
        <v>10</v>
      </c>
      <c r="CA47" s="309">
        <v>1</v>
      </c>
      <c r="CB47" s="309">
        <v>8</v>
      </c>
      <c r="CC47" s="309">
        <v>16</v>
      </c>
      <c r="CD47" s="309"/>
      <c r="CE47" s="309"/>
      <c r="CF47" s="309"/>
      <c r="CG47" s="309"/>
      <c r="CH47" s="309"/>
      <c r="CI47" s="309"/>
      <c r="CJ47" s="309"/>
      <c r="CK47" s="309"/>
      <c r="CL47" s="309"/>
      <c r="CM47" s="309">
        <v>6</v>
      </c>
      <c r="CN47" s="309">
        <v>2</v>
      </c>
      <c r="CO47" s="309"/>
      <c r="CP47" s="309"/>
      <c r="CQ47" s="309"/>
      <c r="CR47" s="309"/>
      <c r="CS47" s="309"/>
      <c r="CT47" s="309"/>
      <c r="CU47" s="309"/>
      <c r="CV47" s="309"/>
      <c r="CW47" s="309"/>
      <c r="CX47" s="309"/>
      <c r="CY47" s="309"/>
      <c r="CZ47" s="309"/>
      <c r="DA47" s="309"/>
      <c r="DB47" s="309"/>
      <c r="DC47" s="313"/>
    </row>
    <row r="48" spans="1:128">
      <c r="A48" s="413">
        <v>8.1099999999999977</v>
      </c>
      <c r="B48" s="410">
        <v>48</v>
      </c>
      <c r="C48" s="409" t="s">
        <v>289</v>
      </c>
      <c r="D48" s="110"/>
      <c r="E48" s="110"/>
      <c r="F48" s="27" t="s">
        <v>17</v>
      </c>
      <c r="G48" s="309">
        <v>2</v>
      </c>
      <c r="H48" s="315"/>
      <c r="I48" s="309">
        <v>2</v>
      </c>
      <c r="J48" s="309">
        <v>4</v>
      </c>
      <c r="K48" s="309">
        <v>4</v>
      </c>
      <c r="L48" s="309">
        <v>2</v>
      </c>
      <c r="M48" s="309">
        <v>4</v>
      </c>
      <c r="N48" s="315">
        <v>2</v>
      </c>
      <c r="O48" s="309"/>
      <c r="P48" s="309">
        <v>1</v>
      </c>
      <c r="Q48" s="309">
        <v>4</v>
      </c>
      <c r="R48" s="309">
        <v>6</v>
      </c>
      <c r="S48" s="309">
        <v>2</v>
      </c>
      <c r="T48" s="309">
        <v>2</v>
      </c>
      <c r="U48" s="309">
        <v>4</v>
      </c>
      <c r="V48" s="309">
        <v>2</v>
      </c>
      <c r="W48" s="309">
        <v>2</v>
      </c>
      <c r="X48" s="309"/>
      <c r="Y48" s="309">
        <v>2</v>
      </c>
      <c r="Z48" s="309"/>
      <c r="AA48" s="309">
        <v>4</v>
      </c>
      <c r="AB48" s="309">
        <v>8</v>
      </c>
      <c r="AC48" s="309"/>
      <c r="AD48" s="309">
        <v>4</v>
      </c>
      <c r="AE48" s="309"/>
      <c r="AF48" s="309"/>
      <c r="AG48" s="309">
        <v>8</v>
      </c>
      <c r="AH48" s="309">
        <v>4</v>
      </c>
      <c r="AI48" s="309">
        <v>4</v>
      </c>
      <c r="AJ48" s="309">
        <v>2</v>
      </c>
      <c r="AK48" s="309"/>
      <c r="AL48" s="309"/>
      <c r="AM48" s="309"/>
      <c r="AN48" s="309">
        <v>2</v>
      </c>
      <c r="AO48" s="309">
        <v>2</v>
      </c>
      <c r="AP48" s="309">
        <v>2</v>
      </c>
      <c r="AQ48" s="309">
        <v>4</v>
      </c>
      <c r="AR48" s="309">
        <v>2</v>
      </c>
      <c r="AS48" s="309">
        <v>8</v>
      </c>
      <c r="AT48" s="309">
        <v>8</v>
      </c>
      <c r="AU48" s="309"/>
      <c r="AV48" s="309"/>
      <c r="AW48" s="309"/>
      <c r="AX48" s="309"/>
      <c r="AY48" s="309"/>
      <c r="AZ48" s="309">
        <v>1</v>
      </c>
      <c r="BA48" s="309">
        <v>2</v>
      </c>
      <c r="BB48" s="309"/>
      <c r="BC48" s="309"/>
      <c r="BD48" s="309">
        <v>4</v>
      </c>
      <c r="BE48" s="309"/>
      <c r="BF48" s="309">
        <v>4</v>
      </c>
      <c r="BG48" s="309">
        <v>4</v>
      </c>
      <c r="BH48" s="309"/>
      <c r="BI48" s="309">
        <v>6</v>
      </c>
      <c r="BJ48" s="309">
        <v>12</v>
      </c>
      <c r="BK48" s="309">
        <v>4</v>
      </c>
      <c r="BL48" s="309">
        <v>4</v>
      </c>
      <c r="BM48" s="309">
        <v>6</v>
      </c>
      <c r="BN48" s="309"/>
      <c r="BO48" s="309">
        <v>4</v>
      </c>
      <c r="BP48" s="309">
        <v>4</v>
      </c>
      <c r="BQ48" s="309">
        <v>4</v>
      </c>
      <c r="BR48" s="309">
        <v>4</v>
      </c>
      <c r="BS48" s="309"/>
      <c r="BT48" s="309">
        <v>4</v>
      </c>
      <c r="BU48" s="309">
        <v>6</v>
      </c>
      <c r="BV48" s="309">
        <v>6</v>
      </c>
      <c r="BW48" s="339">
        <v>6</v>
      </c>
      <c r="BX48" s="339">
        <v>6</v>
      </c>
      <c r="BY48" s="339"/>
      <c r="BZ48" s="339">
        <v>6</v>
      </c>
      <c r="CA48" s="339">
        <v>2</v>
      </c>
      <c r="CB48" s="339"/>
      <c r="CC48" s="339">
        <v>4</v>
      </c>
      <c r="CD48" s="339">
        <v>18</v>
      </c>
      <c r="CE48" s="309"/>
      <c r="CF48" s="309"/>
      <c r="CG48" s="309"/>
      <c r="CH48" s="309"/>
      <c r="CI48" s="309"/>
      <c r="CJ48" s="309"/>
      <c r="CK48" s="309"/>
      <c r="CL48" s="309"/>
      <c r="CM48" s="309">
        <v>2</v>
      </c>
      <c r="CN48" s="309">
        <v>2</v>
      </c>
      <c r="CO48" s="309"/>
      <c r="CP48" s="309"/>
      <c r="CQ48" s="309"/>
      <c r="CR48" s="309"/>
      <c r="CS48" s="309"/>
      <c r="CT48" s="309"/>
      <c r="CU48" s="309"/>
      <c r="CV48" s="309"/>
      <c r="CW48" s="309"/>
      <c r="CX48" s="309"/>
      <c r="CY48" s="309"/>
      <c r="CZ48" s="309"/>
      <c r="DA48" s="309"/>
      <c r="DB48" s="309"/>
      <c r="DC48" s="313"/>
    </row>
    <row r="49" spans="1:129">
      <c r="A49" s="413">
        <v>8.1199999999999974</v>
      </c>
      <c r="B49" s="411">
        <v>49</v>
      </c>
      <c r="C49" s="409" t="s">
        <v>397</v>
      </c>
      <c r="D49" s="110"/>
      <c r="E49" s="110"/>
      <c r="F49" s="27" t="s">
        <v>443</v>
      </c>
      <c r="G49" s="305"/>
      <c r="H49" s="315"/>
      <c r="I49" s="305"/>
      <c r="J49" s="305"/>
      <c r="K49" s="305"/>
      <c r="L49" s="305"/>
      <c r="M49" s="305"/>
      <c r="N49" s="315"/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  <c r="AA49" s="305"/>
      <c r="AB49" s="305"/>
      <c r="AC49" s="305"/>
      <c r="AD49" s="305"/>
      <c r="AE49" s="305"/>
      <c r="AF49" s="305"/>
      <c r="AG49" s="305"/>
      <c r="AH49" s="305"/>
      <c r="AI49" s="305"/>
      <c r="AJ49" s="305"/>
      <c r="AK49" s="305"/>
      <c r="AL49" s="305"/>
      <c r="AM49" s="305"/>
      <c r="AN49" s="305"/>
      <c r="AO49" s="305"/>
      <c r="AP49" s="305"/>
      <c r="AQ49" s="305"/>
      <c r="AR49" s="305"/>
      <c r="AS49" s="305"/>
      <c r="AT49" s="305"/>
      <c r="AU49" s="305"/>
      <c r="AV49" s="305"/>
      <c r="AW49" s="305"/>
      <c r="AX49" s="305"/>
      <c r="AY49" s="305"/>
      <c r="AZ49" s="305"/>
      <c r="BA49" s="305"/>
      <c r="BB49" s="305"/>
      <c r="BC49" s="305"/>
      <c r="BD49" s="305"/>
      <c r="BE49" s="305"/>
      <c r="BF49" s="305"/>
      <c r="BG49" s="305"/>
      <c r="BH49" s="305"/>
      <c r="BI49" s="305"/>
      <c r="BJ49" s="305"/>
      <c r="BK49" s="305"/>
      <c r="BL49" s="305"/>
      <c r="BM49" s="305"/>
      <c r="BN49" s="305"/>
      <c r="BO49" s="305"/>
      <c r="BP49" s="305"/>
      <c r="BQ49" s="305"/>
      <c r="BR49" s="305"/>
      <c r="BS49" s="305"/>
      <c r="BT49" s="305"/>
      <c r="BU49" s="305"/>
      <c r="BV49" s="305"/>
      <c r="BW49" s="305"/>
      <c r="BX49" s="305"/>
      <c r="BY49" s="305"/>
      <c r="BZ49" s="305"/>
      <c r="CA49" s="305"/>
      <c r="CB49" s="305"/>
      <c r="CC49" s="305"/>
      <c r="CD49" s="305"/>
      <c r="CE49" s="305"/>
      <c r="CF49" s="305"/>
      <c r="CG49" s="305"/>
      <c r="CH49" s="305"/>
      <c r="CI49" s="305"/>
      <c r="CJ49" s="305"/>
      <c r="CK49" s="305"/>
      <c r="CL49" s="305"/>
      <c r="CM49" s="305"/>
      <c r="CN49" s="305"/>
      <c r="CO49" s="305"/>
      <c r="CP49" s="305"/>
      <c r="CQ49" s="305"/>
      <c r="CR49" s="305"/>
      <c r="CS49" s="305"/>
      <c r="CT49" s="305"/>
      <c r="CU49" s="305"/>
      <c r="CV49" s="305"/>
      <c r="CW49" s="305"/>
      <c r="CX49" s="305"/>
      <c r="CY49" s="305"/>
      <c r="CZ49" s="305"/>
      <c r="DA49" s="305"/>
      <c r="DB49" s="305"/>
      <c r="DC49" s="310"/>
    </row>
    <row r="50" spans="1:129">
      <c r="A50" s="413"/>
      <c r="B50" s="410">
        <v>50</v>
      </c>
      <c r="C50" s="409" t="s">
        <v>104</v>
      </c>
      <c r="D50" s="23"/>
      <c r="E50" s="23"/>
      <c r="F50" s="27"/>
      <c r="G50" s="304"/>
      <c r="H50" s="315"/>
      <c r="I50" s="304"/>
      <c r="J50" s="304"/>
      <c r="K50" s="304"/>
      <c r="L50" s="304"/>
      <c r="M50" s="356"/>
      <c r="N50" s="315"/>
      <c r="O50" s="304"/>
      <c r="P50" s="304"/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  <c r="AH50" s="304"/>
      <c r="AI50" s="304"/>
      <c r="AJ50" s="304"/>
      <c r="AK50" s="304"/>
      <c r="AL50" s="304"/>
      <c r="AM50" s="304"/>
      <c r="AN50" s="304"/>
      <c r="AO50" s="304"/>
      <c r="AP50" s="304"/>
      <c r="AQ50" s="304"/>
      <c r="AR50" s="304"/>
      <c r="AS50" s="304"/>
      <c r="AT50" s="304"/>
      <c r="AU50" s="304"/>
      <c r="AV50" s="304"/>
      <c r="AW50" s="304"/>
      <c r="AX50" s="304"/>
      <c r="AY50" s="304"/>
      <c r="AZ50" s="304"/>
      <c r="BA50" s="304"/>
      <c r="BB50" s="304"/>
      <c r="BC50" s="304"/>
      <c r="BD50" s="304"/>
      <c r="BE50" s="304"/>
      <c r="BF50" s="304"/>
      <c r="BG50" s="304"/>
      <c r="BH50" s="304"/>
      <c r="BI50" s="304"/>
      <c r="BJ50" s="304"/>
      <c r="BK50" s="304"/>
      <c r="BL50" s="304"/>
      <c r="BM50" s="304"/>
      <c r="BN50" s="304"/>
      <c r="BO50" s="304"/>
      <c r="BP50" s="304"/>
      <c r="BQ50" s="304"/>
      <c r="BR50" s="304"/>
      <c r="BS50" s="304"/>
      <c r="BT50" s="304"/>
      <c r="BU50" s="304"/>
      <c r="BV50" s="304"/>
      <c r="BW50" s="304"/>
      <c r="BX50" s="304"/>
      <c r="BY50" s="304"/>
      <c r="BZ50" s="304"/>
      <c r="CA50" s="304"/>
      <c r="CB50" s="304"/>
      <c r="CC50" s="304"/>
      <c r="CD50" s="304"/>
      <c r="CE50" s="304"/>
      <c r="CF50" s="304"/>
      <c r="CG50" s="304"/>
      <c r="CH50" s="304"/>
      <c r="CI50" s="304"/>
      <c r="CJ50" s="304"/>
      <c r="CK50" s="304"/>
      <c r="CL50" s="304"/>
      <c r="CM50" s="304"/>
      <c r="CN50" s="304"/>
      <c r="CO50" s="304"/>
      <c r="CP50" s="304"/>
      <c r="CQ50" s="304"/>
      <c r="CR50" s="304"/>
      <c r="CS50" s="304"/>
      <c r="CT50" s="304"/>
      <c r="CU50" s="304"/>
      <c r="CV50" s="304"/>
      <c r="CW50" s="304"/>
      <c r="CX50" s="304"/>
      <c r="CY50" s="304"/>
      <c r="CZ50" s="304"/>
      <c r="DA50" s="304"/>
      <c r="DB50" s="304"/>
      <c r="DC50" s="306"/>
    </row>
    <row r="51" spans="1:129">
      <c r="A51" s="412">
        <v>9</v>
      </c>
      <c r="B51" s="410">
        <v>51</v>
      </c>
      <c r="C51" s="408" t="s">
        <v>70</v>
      </c>
      <c r="D51" s="105"/>
      <c r="E51" s="105"/>
      <c r="F51" s="27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  <c r="Z51" s="315"/>
      <c r="AA51" s="315"/>
      <c r="AB51" s="315"/>
      <c r="AC51" s="315"/>
      <c r="AD51" s="315"/>
      <c r="AE51" s="315"/>
      <c r="AF51" s="315"/>
      <c r="AG51" s="315"/>
      <c r="AH51" s="315"/>
      <c r="AI51" s="315"/>
      <c r="AJ51" s="315"/>
      <c r="AK51" s="315"/>
      <c r="AL51" s="315"/>
      <c r="AM51" s="315"/>
      <c r="AN51" s="315"/>
      <c r="AO51" s="315"/>
      <c r="AP51" s="315"/>
      <c r="AQ51" s="315"/>
      <c r="AR51" s="315"/>
      <c r="AS51" s="315"/>
      <c r="AT51" s="315"/>
      <c r="AU51" s="315"/>
      <c r="AV51" s="315"/>
      <c r="AW51" s="315"/>
      <c r="AX51" s="315"/>
      <c r="AY51" s="315"/>
      <c r="AZ51" s="315"/>
      <c r="BA51" s="315"/>
      <c r="BB51" s="315"/>
      <c r="BC51" s="315"/>
      <c r="BD51" s="315"/>
      <c r="BE51" s="315"/>
      <c r="BF51" s="315"/>
      <c r="BG51" s="315"/>
      <c r="BH51" s="315"/>
      <c r="BI51" s="315"/>
      <c r="BJ51" s="315"/>
      <c r="BK51" s="315"/>
      <c r="BL51" s="315"/>
      <c r="BM51" s="315"/>
      <c r="BN51" s="315"/>
      <c r="BO51" s="315"/>
      <c r="BP51" s="315"/>
      <c r="BQ51" s="315"/>
      <c r="BR51" s="315"/>
      <c r="BS51" s="315"/>
      <c r="BT51" s="315"/>
      <c r="BU51" s="315"/>
      <c r="BV51" s="315"/>
      <c r="BW51" s="315"/>
      <c r="BX51" s="315"/>
      <c r="BY51" s="315"/>
      <c r="BZ51" s="315"/>
      <c r="CA51" s="315"/>
      <c r="CB51" s="315"/>
      <c r="CC51" s="315"/>
      <c r="CD51" s="315"/>
      <c r="CE51" s="315"/>
      <c r="CF51" s="315"/>
      <c r="CG51" s="315"/>
      <c r="CH51" s="315"/>
      <c r="CI51" s="315"/>
      <c r="CJ51" s="315"/>
      <c r="CK51" s="315"/>
      <c r="CL51" s="315"/>
      <c r="CM51" s="315"/>
      <c r="CN51" s="315"/>
      <c r="CO51" s="315"/>
      <c r="CP51" s="315"/>
      <c r="CQ51" s="315"/>
      <c r="CR51" s="315"/>
      <c r="CS51" s="315"/>
      <c r="CT51" s="315"/>
      <c r="CU51" s="315"/>
      <c r="CV51" s="315"/>
      <c r="CW51" s="315"/>
      <c r="CX51" s="315"/>
      <c r="CY51" s="315"/>
      <c r="CZ51" s="315"/>
      <c r="DA51" s="315"/>
      <c r="DB51" s="315"/>
      <c r="DC51" s="316"/>
    </row>
    <row r="52" spans="1:129">
      <c r="A52" s="413">
        <v>9.01</v>
      </c>
      <c r="B52" s="411">
        <v>52</v>
      </c>
      <c r="C52" s="409" t="s">
        <v>398</v>
      </c>
      <c r="D52" s="23"/>
      <c r="E52" s="23"/>
      <c r="F52" s="27" t="s">
        <v>20</v>
      </c>
      <c r="G52" s="311"/>
      <c r="H52" s="315"/>
      <c r="I52" s="311"/>
      <c r="J52" s="311"/>
      <c r="K52" s="311"/>
      <c r="L52" s="311"/>
      <c r="M52" s="311"/>
      <c r="N52" s="315"/>
      <c r="O52" s="311"/>
      <c r="P52" s="311"/>
      <c r="Q52" s="311"/>
      <c r="R52" s="311"/>
      <c r="S52" s="311"/>
      <c r="T52" s="311"/>
      <c r="U52" s="311"/>
      <c r="V52" s="311"/>
      <c r="W52" s="311"/>
      <c r="X52" s="311"/>
      <c r="Y52" s="311"/>
      <c r="Z52" s="311"/>
      <c r="AA52" s="311"/>
      <c r="AB52" s="311"/>
      <c r="AC52" s="311"/>
      <c r="AD52" s="311"/>
      <c r="AE52" s="311"/>
      <c r="AF52" s="311"/>
      <c r="AG52" s="311"/>
      <c r="AH52" s="311"/>
      <c r="AI52" s="311"/>
      <c r="AJ52" s="311"/>
      <c r="AK52" s="311"/>
      <c r="AL52" s="311"/>
      <c r="AM52" s="311"/>
      <c r="AN52" s="311"/>
      <c r="AO52" s="311"/>
      <c r="AP52" s="311"/>
      <c r="AQ52" s="311"/>
      <c r="AR52" s="311"/>
      <c r="AS52" s="311"/>
      <c r="AT52" s="311"/>
      <c r="AU52" s="311"/>
      <c r="AV52" s="311"/>
      <c r="AW52" s="311"/>
      <c r="AX52" s="311"/>
      <c r="AY52" s="311"/>
      <c r="AZ52" s="311"/>
      <c r="BA52" s="311"/>
      <c r="BB52" s="311"/>
      <c r="BC52" s="311"/>
      <c r="BD52" s="311"/>
      <c r="BE52" s="311"/>
      <c r="BF52" s="311"/>
      <c r="BG52" s="311"/>
      <c r="BH52" s="311"/>
      <c r="BI52" s="311"/>
      <c r="BJ52" s="311"/>
      <c r="BK52" s="311"/>
      <c r="BL52" s="311"/>
      <c r="BM52" s="311"/>
      <c r="BN52" s="311"/>
      <c r="BO52" s="311"/>
      <c r="BP52" s="311"/>
      <c r="BQ52" s="311"/>
      <c r="BR52" s="311"/>
      <c r="BS52" s="311"/>
      <c r="BT52" s="311"/>
      <c r="BU52" s="311"/>
      <c r="BV52" s="311"/>
      <c r="BW52" s="311"/>
      <c r="BX52" s="311"/>
      <c r="BY52" s="311"/>
      <c r="BZ52" s="311"/>
      <c r="CA52" s="311"/>
      <c r="CB52" s="311"/>
      <c r="CC52" s="311"/>
      <c r="CD52" s="311"/>
      <c r="CE52" s="311"/>
      <c r="CF52" s="311"/>
      <c r="CG52" s="311"/>
      <c r="CH52" s="311"/>
      <c r="CI52" s="311"/>
      <c r="CJ52" s="311"/>
      <c r="CK52" s="311"/>
      <c r="CL52" s="311"/>
      <c r="CM52" s="311"/>
      <c r="CN52" s="311"/>
      <c r="CO52" s="311"/>
      <c r="CP52" s="311"/>
      <c r="CQ52" s="311"/>
      <c r="CR52" s="311"/>
      <c r="CS52" s="311"/>
      <c r="CT52" s="311"/>
      <c r="CU52" s="311"/>
      <c r="CV52" s="311"/>
      <c r="CW52" s="311"/>
      <c r="CX52" s="311"/>
      <c r="CY52" s="311"/>
      <c r="CZ52" s="311"/>
      <c r="DA52" s="311"/>
      <c r="DB52" s="311"/>
      <c r="DC52" s="312"/>
      <c r="DQ52" s="441">
        <v>13</v>
      </c>
      <c r="DR52" s="441">
        <v>11</v>
      </c>
      <c r="DS52" s="441">
        <v>16</v>
      </c>
      <c r="DT52" s="441">
        <v>14</v>
      </c>
      <c r="DU52" s="441">
        <v>22</v>
      </c>
      <c r="DV52" s="441">
        <v>16</v>
      </c>
      <c r="DW52" s="441">
        <v>14</v>
      </c>
      <c r="DX52" s="441">
        <v>22</v>
      </c>
      <c r="DY52" s="441"/>
    </row>
    <row r="53" spans="1:129">
      <c r="A53" s="413">
        <v>9.02</v>
      </c>
      <c r="B53" s="411">
        <v>53</v>
      </c>
      <c r="C53" s="409" t="s">
        <v>399</v>
      </c>
      <c r="D53" s="23"/>
      <c r="E53" s="23"/>
      <c r="F53" s="27" t="s">
        <v>17</v>
      </c>
      <c r="G53" s="311"/>
      <c r="H53" s="315"/>
      <c r="I53" s="311"/>
      <c r="J53" s="311"/>
      <c r="K53" s="311"/>
      <c r="L53" s="311"/>
      <c r="M53" s="311"/>
      <c r="N53" s="315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311"/>
      <c r="AB53" s="311"/>
      <c r="AC53" s="311"/>
      <c r="AD53" s="311"/>
      <c r="AE53" s="311"/>
      <c r="AF53" s="311"/>
      <c r="AG53" s="311"/>
      <c r="AH53" s="311"/>
      <c r="AI53" s="311"/>
      <c r="AJ53" s="311"/>
      <c r="AK53" s="311"/>
      <c r="AL53" s="311"/>
      <c r="AM53" s="311"/>
      <c r="AN53" s="311"/>
      <c r="AO53" s="311"/>
      <c r="AP53" s="311"/>
      <c r="AQ53" s="311"/>
      <c r="AR53" s="311"/>
      <c r="AS53" s="311"/>
      <c r="AT53" s="311"/>
      <c r="AU53" s="311"/>
      <c r="AV53" s="311"/>
      <c r="AW53" s="311"/>
      <c r="AX53" s="311"/>
      <c r="AY53" s="311"/>
      <c r="AZ53" s="311"/>
      <c r="BA53" s="311"/>
      <c r="BB53" s="311"/>
      <c r="BC53" s="311"/>
      <c r="BD53" s="311"/>
      <c r="BE53" s="311"/>
      <c r="BF53" s="311"/>
      <c r="BG53" s="311"/>
      <c r="BH53" s="311"/>
      <c r="BI53" s="311"/>
      <c r="BJ53" s="311"/>
      <c r="BK53" s="311"/>
      <c r="BL53" s="311"/>
      <c r="BM53" s="311"/>
      <c r="BN53" s="311"/>
      <c r="BO53" s="311"/>
      <c r="BP53" s="311"/>
      <c r="BQ53" s="311"/>
      <c r="BR53" s="311"/>
      <c r="BS53" s="311"/>
      <c r="BT53" s="311"/>
      <c r="BU53" s="311"/>
      <c r="BV53" s="311"/>
      <c r="BW53" s="311"/>
      <c r="BX53" s="311"/>
      <c r="BY53" s="311"/>
      <c r="BZ53" s="311"/>
      <c r="CA53" s="311"/>
      <c r="CB53" s="311"/>
      <c r="CC53" s="311"/>
      <c r="CD53" s="311"/>
      <c r="CE53" s="311"/>
      <c r="CF53" s="311"/>
      <c r="CG53" s="311"/>
      <c r="CH53" s="311"/>
      <c r="CI53" s="311"/>
      <c r="CJ53" s="311"/>
      <c r="CK53" s="311"/>
      <c r="CL53" s="311"/>
      <c r="CM53" s="311"/>
      <c r="CN53" s="311"/>
      <c r="CO53" s="311"/>
      <c r="CP53" s="311"/>
      <c r="CQ53" s="311"/>
      <c r="CR53" s="311"/>
      <c r="CS53" s="311"/>
      <c r="CT53" s="311"/>
      <c r="CU53" s="311"/>
      <c r="CV53" s="311"/>
      <c r="CW53" s="311"/>
      <c r="CX53" s="311"/>
      <c r="CY53" s="311"/>
      <c r="CZ53" s="311"/>
      <c r="DA53" s="311"/>
      <c r="DB53" s="311"/>
      <c r="DC53" s="312"/>
      <c r="DQ53" s="441">
        <v>1</v>
      </c>
      <c r="DR53" s="441">
        <v>1</v>
      </c>
      <c r="DS53" s="441">
        <v>1</v>
      </c>
      <c r="DT53" s="441">
        <v>1</v>
      </c>
      <c r="DU53" s="441">
        <v>1</v>
      </c>
      <c r="DV53" s="441">
        <v>1</v>
      </c>
      <c r="DW53" s="441">
        <v>1</v>
      </c>
      <c r="DX53" s="441">
        <v>1</v>
      </c>
      <c r="DY53" s="441"/>
    </row>
    <row r="54" spans="1:129">
      <c r="A54" s="413">
        <v>9.0299999999999994</v>
      </c>
      <c r="B54" s="411">
        <v>54</v>
      </c>
      <c r="C54" s="409" t="s">
        <v>400</v>
      </c>
      <c r="D54" s="23"/>
      <c r="E54" s="23"/>
      <c r="F54" s="27" t="s">
        <v>17</v>
      </c>
      <c r="G54" s="442"/>
      <c r="H54" s="315"/>
      <c r="I54" s="311"/>
      <c r="J54" s="311"/>
      <c r="K54" s="311"/>
      <c r="L54" s="311"/>
      <c r="M54" s="311"/>
      <c r="N54" s="315"/>
      <c r="O54" s="311"/>
      <c r="P54" s="311"/>
      <c r="Q54" s="311"/>
      <c r="R54" s="311"/>
      <c r="S54" s="311"/>
      <c r="T54" s="311"/>
      <c r="U54" s="311"/>
      <c r="V54" s="311"/>
      <c r="W54" s="311"/>
      <c r="X54" s="311"/>
      <c r="Y54" s="311"/>
      <c r="Z54" s="311"/>
      <c r="AA54" s="311"/>
      <c r="AB54" s="311"/>
      <c r="AC54" s="311"/>
      <c r="AD54" s="311"/>
      <c r="AE54" s="311"/>
      <c r="AF54" s="311"/>
      <c r="AG54" s="311"/>
      <c r="AH54" s="311"/>
      <c r="AI54" s="311"/>
      <c r="AJ54" s="311"/>
      <c r="AK54" s="311"/>
      <c r="AL54" s="311"/>
      <c r="AM54" s="311"/>
      <c r="AN54" s="311"/>
      <c r="AO54" s="311"/>
      <c r="AP54" s="311"/>
      <c r="AQ54" s="311"/>
      <c r="AR54" s="311"/>
      <c r="AS54" s="311"/>
      <c r="AT54" s="311"/>
      <c r="AU54" s="311"/>
      <c r="AV54" s="311"/>
      <c r="AW54" s="311"/>
      <c r="AX54" s="311"/>
      <c r="AY54" s="311"/>
      <c r="AZ54" s="311"/>
      <c r="BA54" s="311"/>
      <c r="BB54" s="311"/>
      <c r="BC54" s="311"/>
      <c r="BD54" s="311"/>
      <c r="BE54" s="311"/>
      <c r="BF54" s="311"/>
      <c r="BG54" s="311"/>
      <c r="BH54" s="311"/>
      <c r="BI54" s="311"/>
      <c r="BJ54" s="311"/>
      <c r="BK54" s="311"/>
      <c r="BL54" s="311"/>
      <c r="BM54" s="311"/>
      <c r="BN54" s="311"/>
      <c r="BO54" s="311"/>
      <c r="BP54" s="311"/>
      <c r="BQ54" s="311"/>
      <c r="BR54" s="311"/>
      <c r="BS54" s="311"/>
      <c r="BT54" s="311"/>
      <c r="BU54" s="311"/>
      <c r="BV54" s="311"/>
      <c r="BW54" s="311"/>
      <c r="BX54" s="311"/>
      <c r="BY54" s="311"/>
      <c r="BZ54" s="311"/>
      <c r="CA54" s="311"/>
      <c r="CB54" s="311"/>
      <c r="CC54" s="311"/>
      <c r="CD54" s="311"/>
      <c r="CE54" s="311"/>
      <c r="CF54" s="311"/>
      <c r="CG54" s="311"/>
      <c r="CH54" s="311"/>
      <c r="CI54" s="311"/>
      <c r="CJ54" s="311"/>
      <c r="CK54" s="311"/>
      <c r="CL54" s="311"/>
      <c r="CM54" s="311"/>
      <c r="CN54" s="311"/>
      <c r="CO54" s="311"/>
      <c r="CP54" s="311"/>
      <c r="CQ54" s="311"/>
      <c r="CR54" s="311"/>
      <c r="CS54" s="311"/>
      <c r="CT54" s="311"/>
      <c r="CU54" s="311"/>
      <c r="CV54" s="311"/>
      <c r="CW54" s="311"/>
      <c r="CX54" s="311"/>
      <c r="CY54" s="311"/>
      <c r="CZ54" s="311"/>
      <c r="DA54" s="311"/>
      <c r="DB54" s="442"/>
      <c r="DC54" s="443"/>
      <c r="DQ54" s="441">
        <v>2</v>
      </c>
      <c r="DR54" s="441">
        <v>2</v>
      </c>
      <c r="DS54" s="441">
        <v>6</v>
      </c>
      <c r="DT54" s="441">
        <v>2</v>
      </c>
      <c r="DU54" s="441">
        <v>6</v>
      </c>
      <c r="DV54" s="441">
        <v>2</v>
      </c>
      <c r="DW54" s="441">
        <v>2</v>
      </c>
      <c r="DX54" s="441">
        <v>6</v>
      </c>
      <c r="DY54" s="441"/>
    </row>
    <row r="55" spans="1:129">
      <c r="A55" s="413">
        <v>9.0399999999999991</v>
      </c>
      <c r="B55" s="411">
        <v>55</v>
      </c>
      <c r="C55" s="409" t="s">
        <v>401</v>
      </c>
      <c r="D55" s="23"/>
      <c r="E55" s="23"/>
      <c r="F55" s="27" t="s">
        <v>17</v>
      </c>
      <c r="G55" s="442"/>
      <c r="H55" s="315"/>
      <c r="I55" s="311"/>
      <c r="J55" s="311"/>
      <c r="K55" s="311"/>
      <c r="L55" s="311"/>
      <c r="M55" s="311"/>
      <c r="N55" s="315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1"/>
      <c r="AC55" s="311"/>
      <c r="AD55" s="311"/>
      <c r="AE55" s="311"/>
      <c r="AF55" s="311"/>
      <c r="AG55" s="311"/>
      <c r="AH55" s="311"/>
      <c r="AI55" s="311"/>
      <c r="AJ55" s="311"/>
      <c r="AK55" s="311"/>
      <c r="AL55" s="311"/>
      <c r="AM55" s="311"/>
      <c r="AN55" s="311"/>
      <c r="AO55" s="311"/>
      <c r="AP55" s="311"/>
      <c r="AQ55" s="311"/>
      <c r="AR55" s="311"/>
      <c r="AS55" s="311"/>
      <c r="AT55" s="311"/>
      <c r="AU55" s="311"/>
      <c r="AV55" s="311"/>
      <c r="AW55" s="311"/>
      <c r="AX55" s="311"/>
      <c r="AY55" s="311"/>
      <c r="AZ55" s="311"/>
      <c r="BA55" s="311"/>
      <c r="BB55" s="311"/>
      <c r="BC55" s="311"/>
      <c r="BD55" s="311"/>
      <c r="BE55" s="311"/>
      <c r="BF55" s="311"/>
      <c r="BG55" s="311"/>
      <c r="BH55" s="311"/>
      <c r="BI55" s="311"/>
      <c r="BJ55" s="311"/>
      <c r="BK55" s="311"/>
      <c r="BL55" s="311"/>
      <c r="BM55" s="311"/>
      <c r="BN55" s="311"/>
      <c r="BO55" s="311"/>
      <c r="BP55" s="311"/>
      <c r="BQ55" s="311"/>
      <c r="BR55" s="311"/>
      <c r="BS55" s="311"/>
      <c r="BT55" s="311"/>
      <c r="BU55" s="311"/>
      <c r="BV55" s="311"/>
      <c r="BW55" s="311"/>
      <c r="BX55" s="311"/>
      <c r="BY55" s="311"/>
      <c r="BZ55" s="311"/>
      <c r="CA55" s="311"/>
      <c r="CB55" s="311"/>
      <c r="CC55" s="311"/>
      <c r="CD55" s="311"/>
      <c r="CE55" s="311"/>
      <c r="CF55" s="311"/>
      <c r="CG55" s="311"/>
      <c r="CH55" s="311"/>
      <c r="CI55" s="311"/>
      <c r="CJ55" s="311"/>
      <c r="CK55" s="311"/>
      <c r="CL55" s="311"/>
      <c r="CM55" s="311"/>
      <c r="CN55" s="311"/>
      <c r="CO55" s="311"/>
      <c r="CP55" s="311"/>
      <c r="CQ55" s="311"/>
      <c r="CR55" s="311"/>
      <c r="CS55" s="311"/>
      <c r="CT55" s="311"/>
      <c r="CU55" s="311"/>
      <c r="CV55" s="311"/>
      <c r="CW55" s="311"/>
      <c r="CX55" s="311"/>
      <c r="CY55" s="311"/>
      <c r="CZ55" s="311"/>
      <c r="DA55" s="311"/>
      <c r="DB55" s="442"/>
      <c r="DC55" s="443"/>
      <c r="DQ55" s="441"/>
      <c r="DR55" s="441"/>
      <c r="DS55" s="441"/>
      <c r="DT55" s="441"/>
      <c r="DU55" s="441"/>
      <c r="DV55" s="441"/>
      <c r="DW55" s="441"/>
      <c r="DX55" s="441"/>
      <c r="DY55" s="441"/>
    </row>
    <row r="56" spans="1:129">
      <c r="A56" s="413">
        <v>9.0499999999999989</v>
      </c>
      <c r="B56" s="411">
        <v>56</v>
      </c>
      <c r="C56" s="409" t="s">
        <v>402</v>
      </c>
      <c r="D56" s="23"/>
      <c r="E56" s="23"/>
      <c r="F56" s="27" t="s">
        <v>17</v>
      </c>
      <c r="G56" s="442"/>
      <c r="H56" s="315"/>
      <c r="I56" s="311"/>
      <c r="J56" s="311"/>
      <c r="K56" s="311"/>
      <c r="L56" s="311"/>
      <c r="M56" s="311"/>
      <c r="N56" s="315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311"/>
      <c r="AG56" s="311"/>
      <c r="AH56" s="311"/>
      <c r="AI56" s="311"/>
      <c r="AJ56" s="311"/>
      <c r="AK56" s="311"/>
      <c r="AL56" s="311"/>
      <c r="AM56" s="311"/>
      <c r="AN56" s="311"/>
      <c r="AO56" s="311"/>
      <c r="AP56" s="311"/>
      <c r="AQ56" s="311"/>
      <c r="AR56" s="311"/>
      <c r="AS56" s="311"/>
      <c r="AT56" s="311"/>
      <c r="AU56" s="311"/>
      <c r="AV56" s="311"/>
      <c r="AW56" s="311"/>
      <c r="AX56" s="311"/>
      <c r="AY56" s="311"/>
      <c r="AZ56" s="311"/>
      <c r="BA56" s="311"/>
      <c r="BB56" s="311"/>
      <c r="BC56" s="311"/>
      <c r="BD56" s="311"/>
      <c r="BE56" s="311"/>
      <c r="BF56" s="311"/>
      <c r="BG56" s="311"/>
      <c r="BH56" s="311"/>
      <c r="BI56" s="311"/>
      <c r="BJ56" s="311"/>
      <c r="BK56" s="311"/>
      <c r="BL56" s="311"/>
      <c r="BM56" s="311"/>
      <c r="BN56" s="311"/>
      <c r="BO56" s="311"/>
      <c r="BP56" s="311"/>
      <c r="BQ56" s="311"/>
      <c r="BR56" s="311"/>
      <c r="BS56" s="311"/>
      <c r="BT56" s="311"/>
      <c r="BU56" s="311"/>
      <c r="BV56" s="311"/>
      <c r="BW56" s="311"/>
      <c r="BX56" s="311"/>
      <c r="BY56" s="311"/>
      <c r="BZ56" s="311"/>
      <c r="CA56" s="311"/>
      <c r="CB56" s="311"/>
      <c r="CC56" s="311"/>
      <c r="CD56" s="311"/>
      <c r="CE56" s="311"/>
      <c r="CF56" s="311"/>
      <c r="CG56" s="311"/>
      <c r="CH56" s="311"/>
      <c r="CI56" s="311"/>
      <c r="CJ56" s="311"/>
      <c r="CK56" s="311"/>
      <c r="CL56" s="311"/>
      <c r="CM56" s="311"/>
      <c r="CN56" s="311"/>
      <c r="CO56" s="311"/>
      <c r="CP56" s="311"/>
      <c r="CQ56" s="311"/>
      <c r="CR56" s="311"/>
      <c r="CS56" s="311"/>
      <c r="CT56" s="311"/>
      <c r="CU56" s="311"/>
      <c r="CV56" s="311"/>
      <c r="CW56" s="311"/>
      <c r="CX56" s="311"/>
      <c r="CY56" s="311"/>
      <c r="CZ56" s="311"/>
      <c r="DA56" s="311"/>
      <c r="DB56" s="442"/>
      <c r="DC56" s="443"/>
      <c r="DQ56" s="441">
        <v>1</v>
      </c>
      <c r="DR56" s="441">
        <v>1</v>
      </c>
      <c r="DS56" s="441"/>
      <c r="DT56" s="441"/>
      <c r="DU56" s="441"/>
      <c r="DV56" s="441"/>
      <c r="DW56" s="441"/>
      <c r="DX56" s="441"/>
      <c r="DY56" s="441"/>
    </row>
    <row r="57" spans="1:129">
      <c r="A57" s="413">
        <v>9.0599999999999987</v>
      </c>
      <c r="B57" s="411">
        <v>57</v>
      </c>
      <c r="C57" s="409" t="s">
        <v>403</v>
      </c>
      <c r="D57" s="23"/>
      <c r="E57" s="23"/>
      <c r="F57" s="27" t="s">
        <v>17</v>
      </c>
      <c r="G57" s="311"/>
      <c r="H57" s="315"/>
      <c r="I57" s="311"/>
      <c r="J57" s="311"/>
      <c r="K57" s="311"/>
      <c r="L57" s="311"/>
      <c r="M57" s="311"/>
      <c r="N57" s="315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1"/>
      <c r="AM57" s="311"/>
      <c r="AN57" s="311"/>
      <c r="AO57" s="311"/>
      <c r="AP57" s="311"/>
      <c r="AQ57" s="311"/>
      <c r="AR57" s="311"/>
      <c r="AS57" s="311"/>
      <c r="AT57" s="311"/>
      <c r="AU57" s="311"/>
      <c r="AV57" s="311"/>
      <c r="AW57" s="311"/>
      <c r="AX57" s="311"/>
      <c r="AY57" s="311"/>
      <c r="AZ57" s="311"/>
      <c r="BA57" s="311"/>
      <c r="BB57" s="311"/>
      <c r="BC57" s="311"/>
      <c r="BD57" s="311"/>
      <c r="BE57" s="311"/>
      <c r="BF57" s="311"/>
      <c r="BG57" s="311"/>
      <c r="BH57" s="311"/>
      <c r="BI57" s="311"/>
      <c r="BJ57" s="311"/>
      <c r="BK57" s="311"/>
      <c r="BL57" s="311"/>
      <c r="BM57" s="311"/>
      <c r="BN57" s="311"/>
      <c r="BO57" s="311"/>
      <c r="BP57" s="311"/>
      <c r="BQ57" s="311"/>
      <c r="BR57" s="311"/>
      <c r="BS57" s="311"/>
      <c r="BT57" s="311"/>
      <c r="BU57" s="311"/>
      <c r="BV57" s="311"/>
      <c r="BW57" s="311"/>
      <c r="BX57" s="311"/>
      <c r="BY57" s="311"/>
      <c r="BZ57" s="311"/>
      <c r="CA57" s="311"/>
      <c r="CB57" s="311"/>
      <c r="CC57" s="311"/>
      <c r="CD57" s="311"/>
      <c r="CE57" s="311"/>
      <c r="CF57" s="311"/>
      <c r="CG57" s="311"/>
      <c r="CH57" s="311"/>
      <c r="CI57" s="311"/>
      <c r="CJ57" s="311"/>
      <c r="CK57" s="311"/>
      <c r="CL57" s="311"/>
      <c r="CM57" s="311"/>
      <c r="CN57" s="311"/>
      <c r="CO57" s="311"/>
      <c r="CP57" s="311"/>
      <c r="CQ57" s="311"/>
      <c r="CR57" s="311"/>
      <c r="CS57" s="311"/>
      <c r="CT57" s="311"/>
      <c r="CU57" s="311"/>
      <c r="CV57" s="311"/>
      <c r="CW57" s="311"/>
      <c r="CX57" s="311"/>
      <c r="CY57" s="311"/>
      <c r="CZ57" s="311"/>
      <c r="DA57" s="311"/>
      <c r="DB57" s="442"/>
      <c r="DC57" s="443"/>
      <c r="DQ57" s="441">
        <v>1</v>
      </c>
      <c r="DR57" s="441">
        <v>1</v>
      </c>
      <c r="DS57" s="441">
        <v>1</v>
      </c>
      <c r="DT57" s="441"/>
      <c r="DU57" s="441"/>
      <c r="DV57" s="441"/>
      <c r="DW57" s="441"/>
      <c r="DX57" s="441"/>
      <c r="DY57" s="441"/>
    </row>
    <row r="58" spans="1:129">
      <c r="A58" s="413">
        <v>9.0699999999999985</v>
      </c>
      <c r="B58" s="411">
        <v>58</v>
      </c>
      <c r="C58" s="409" t="s">
        <v>391</v>
      </c>
      <c r="D58" s="23"/>
      <c r="E58" s="23"/>
      <c r="F58" s="27" t="s">
        <v>17</v>
      </c>
      <c r="G58" s="442"/>
      <c r="H58" s="315"/>
      <c r="I58" s="442"/>
      <c r="J58" s="442"/>
      <c r="K58" s="442"/>
      <c r="L58" s="442"/>
      <c r="M58" s="442"/>
      <c r="N58" s="315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  <c r="BA58" s="442"/>
      <c r="BB58" s="442"/>
      <c r="BC58" s="442"/>
      <c r="BD58" s="442"/>
      <c r="BE58" s="442"/>
      <c r="BF58" s="442"/>
      <c r="BG58" s="442"/>
      <c r="BH58" s="442"/>
      <c r="BI58" s="442"/>
      <c r="BJ58" s="442"/>
      <c r="BK58" s="442"/>
      <c r="BL58" s="442"/>
      <c r="BM58" s="442"/>
      <c r="BN58" s="442"/>
      <c r="BO58" s="442"/>
      <c r="BP58" s="442"/>
      <c r="BQ58" s="442"/>
      <c r="BR58" s="442"/>
      <c r="BS58" s="442"/>
      <c r="BT58" s="442"/>
      <c r="BU58" s="442"/>
      <c r="BV58" s="442"/>
      <c r="BW58" s="442"/>
      <c r="BX58" s="442"/>
      <c r="BY58" s="442"/>
      <c r="BZ58" s="442"/>
      <c r="CA58" s="442"/>
      <c r="CB58" s="442"/>
      <c r="CC58" s="442"/>
      <c r="CD58" s="442"/>
      <c r="CE58" s="442"/>
      <c r="CF58" s="311"/>
      <c r="CG58" s="442"/>
      <c r="CH58" s="442"/>
      <c r="CI58" s="442"/>
      <c r="CJ58" s="442"/>
      <c r="CK58" s="442"/>
      <c r="CL58" s="311"/>
      <c r="CM58" s="442"/>
      <c r="CN58" s="311"/>
      <c r="CO58" s="442"/>
      <c r="CP58" s="311"/>
      <c r="CQ58" s="442"/>
      <c r="CR58" s="442"/>
      <c r="CS58" s="442"/>
      <c r="CT58" s="442"/>
      <c r="CU58" s="442"/>
      <c r="CV58" s="442"/>
      <c r="CW58" s="442"/>
      <c r="CX58" s="442"/>
      <c r="CY58" s="442"/>
      <c r="CZ58" s="442"/>
      <c r="DA58" s="442"/>
      <c r="DB58" s="442"/>
      <c r="DC58" s="443"/>
      <c r="DQ58" s="441"/>
      <c r="DR58" s="441"/>
      <c r="DS58" s="441"/>
      <c r="DT58" s="441"/>
      <c r="DU58" s="441"/>
      <c r="DV58" s="441"/>
      <c r="DW58" s="441"/>
      <c r="DX58" s="441"/>
      <c r="DY58" s="441"/>
    </row>
    <row r="59" spans="1:129">
      <c r="A59" s="413">
        <v>9.0799999999999983</v>
      </c>
      <c r="B59" s="411">
        <v>59</v>
      </c>
      <c r="C59" s="409" t="s">
        <v>404</v>
      </c>
      <c r="D59" s="23"/>
      <c r="E59" s="23"/>
      <c r="F59" s="27" t="s">
        <v>17</v>
      </c>
      <c r="G59" s="442"/>
      <c r="H59" s="315"/>
      <c r="I59" s="311"/>
      <c r="J59" s="311"/>
      <c r="K59" s="311"/>
      <c r="L59" s="311"/>
      <c r="M59" s="311"/>
      <c r="N59" s="315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1"/>
      <c r="AC59" s="311"/>
      <c r="AD59" s="311"/>
      <c r="AE59" s="311"/>
      <c r="AF59" s="311"/>
      <c r="AG59" s="311"/>
      <c r="AH59" s="311"/>
      <c r="AI59" s="311"/>
      <c r="AJ59" s="311"/>
      <c r="AK59" s="311"/>
      <c r="AL59" s="311"/>
      <c r="AM59" s="311"/>
      <c r="AN59" s="311"/>
      <c r="AO59" s="311"/>
      <c r="AP59" s="311"/>
      <c r="AQ59" s="311"/>
      <c r="AR59" s="311"/>
      <c r="AS59" s="311"/>
      <c r="AT59" s="311"/>
      <c r="AU59" s="311"/>
      <c r="AV59" s="311"/>
      <c r="AW59" s="311"/>
      <c r="AX59" s="311"/>
      <c r="AY59" s="311"/>
      <c r="AZ59" s="311"/>
      <c r="BA59" s="311"/>
      <c r="BB59" s="311"/>
      <c r="BC59" s="311"/>
      <c r="BD59" s="311"/>
      <c r="BE59" s="311"/>
      <c r="BF59" s="311"/>
      <c r="BG59" s="311"/>
      <c r="BH59" s="311"/>
      <c r="BI59" s="311"/>
      <c r="BJ59" s="311"/>
      <c r="BK59" s="311"/>
      <c r="BL59" s="311"/>
      <c r="BM59" s="311"/>
      <c r="BN59" s="311"/>
      <c r="BO59" s="311"/>
      <c r="BP59" s="311"/>
      <c r="BQ59" s="311"/>
      <c r="BR59" s="311"/>
      <c r="BS59" s="311"/>
      <c r="BT59" s="311"/>
      <c r="BU59" s="311"/>
      <c r="BV59" s="311"/>
      <c r="BW59" s="311"/>
      <c r="BX59" s="311"/>
      <c r="BY59" s="311"/>
      <c r="BZ59" s="311"/>
      <c r="CA59" s="311"/>
      <c r="CB59" s="311"/>
      <c r="CC59" s="311"/>
      <c r="CD59" s="311"/>
      <c r="CE59" s="311"/>
      <c r="CF59" s="311"/>
      <c r="CG59" s="311"/>
      <c r="CH59" s="311"/>
      <c r="CI59" s="311"/>
      <c r="CJ59" s="311"/>
      <c r="CK59" s="311"/>
      <c r="CL59" s="311"/>
      <c r="CM59" s="311"/>
      <c r="CN59" s="311"/>
      <c r="CO59" s="311"/>
      <c r="CP59" s="311"/>
      <c r="CQ59" s="311"/>
      <c r="CR59" s="311"/>
      <c r="CS59" s="311"/>
      <c r="CT59" s="311"/>
      <c r="CU59" s="311"/>
      <c r="CV59" s="311"/>
      <c r="CW59" s="311"/>
      <c r="CX59" s="311"/>
      <c r="CY59" s="311"/>
      <c r="CZ59" s="311"/>
      <c r="DA59" s="311"/>
      <c r="DB59" s="442"/>
      <c r="DC59" s="443"/>
      <c r="DQ59" s="441">
        <v>1</v>
      </c>
      <c r="DR59" s="441">
        <v>1</v>
      </c>
      <c r="DS59" s="441"/>
      <c r="DT59" s="441"/>
      <c r="DU59" s="441"/>
      <c r="DV59" s="441"/>
      <c r="DW59" s="441"/>
      <c r="DX59" s="441"/>
      <c r="DY59" s="441"/>
    </row>
    <row r="60" spans="1:129">
      <c r="A60" s="413">
        <v>9.0899999999999981</v>
      </c>
      <c r="B60" s="411">
        <v>60</v>
      </c>
      <c r="C60" s="409" t="s">
        <v>292</v>
      </c>
      <c r="D60" s="23"/>
      <c r="E60" s="23"/>
      <c r="F60" s="27" t="s">
        <v>17</v>
      </c>
      <c r="G60" s="442"/>
      <c r="H60" s="315"/>
      <c r="I60" s="311"/>
      <c r="J60" s="311"/>
      <c r="K60" s="311"/>
      <c r="L60" s="311"/>
      <c r="M60" s="311"/>
      <c r="N60" s="315"/>
      <c r="O60" s="311"/>
      <c r="P60" s="311"/>
      <c r="Q60" s="311"/>
      <c r="R60" s="311"/>
      <c r="S60" s="311"/>
      <c r="T60" s="311"/>
      <c r="U60" s="311"/>
      <c r="V60" s="311"/>
      <c r="W60" s="311"/>
      <c r="X60" s="311"/>
      <c r="Y60" s="311"/>
      <c r="Z60" s="311"/>
      <c r="AA60" s="311"/>
      <c r="AB60" s="311"/>
      <c r="AC60" s="311"/>
      <c r="AD60" s="311"/>
      <c r="AE60" s="311"/>
      <c r="AF60" s="311"/>
      <c r="AG60" s="311"/>
      <c r="AH60" s="311"/>
      <c r="AI60" s="311"/>
      <c r="AJ60" s="311"/>
      <c r="AK60" s="311"/>
      <c r="AL60" s="311"/>
      <c r="AM60" s="311"/>
      <c r="AN60" s="311"/>
      <c r="AO60" s="311"/>
      <c r="AP60" s="311"/>
      <c r="AQ60" s="311"/>
      <c r="AR60" s="311"/>
      <c r="AS60" s="311"/>
      <c r="AT60" s="311"/>
      <c r="AU60" s="311"/>
      <c r="AV60" s="311"/>
      <c r="AW60" s="311"/>
      <c r="AX60" s="311"/>
      <c r="AY60" s="311"/>
      <c r="AZ60" s="311"/>
      <c r="BA60" s="311"/>
      <c r="BB60" s="311"/>
      <c r="BC60" s="311"/>
      <c r="BD60" s="311"/>
      <c r="BE60" s="311"/>
      <c r="BF60" s="311"/>
      <c r="BG60" s="311"/>
      <c r="BH60" s="311"/>
      <c r="BI60" s="311"/>
      <c r="BJ60" s="311"/>
      <c r="BK60" s="311"/>
      <c r="BL60" s="311"/>
      <c r="BM60" s="311"/>
      <c r="BN60" s="311"/>
      <c r="BO60" s="311"/>
      <c r="BP60" s="311"/>
      <c r="BQ60" s="311"/>
      <c r="BR60" s="311"/>
      <c r="BS60" s="311"/>
      <c r="BT60" s="311"/>
      <c r="BU60" s="311"/>
      <c r="BV60" s="311"/>
      <c r="BW60" s="311"/>
      <c r="BX60" s="311"/>
      <c r="BY60" s="311"/>
      <c r="BZ60" s="311"/>
      <c r="CA60" s="311"/>
      <c r="CB60" s="311"/>
      <c r="CC60" s="311"/>
      <c r="CD60" s="311"/>
      <c r="CE60" s="311"/>
      <c r="CF60" s="311"/>
      <c r="CG60" s="311"/>
      <c r="CH60" s="311"/>
      <c r="CI60" s="311"/>
      <c r="CJ60" s="311"/>
      <c r="CK60" s="311"/>
      <c r="CL60" s="311"/>
      <c r="CM60" s="311"/>
      <c r="CN60" s="311"/>
      <c r="CO60" s="311"/>
      <c r="CP60" s="311"/>
      <c r="CQ60" s="311"/>
      <c r="CR60" s="311"/>
      <c r="CS60" s="311"/>
      <c r="CT60" s="311"/>
      <c r="CU60" s="311"/>
      <c r="CV60" s="311"/>
      <c r="CW60" s="311"/>
      <c r="CX60" s="311"/>
      <c r="CY60" s="311"/>
      <c r="CZ60" s="311"/>
      <c r="DA60" s="311"/>
      <c r="DB60" s="442"/>
      <c r="DC60" s="443"/>
      <c r="DQ60" s="441"/>
      <c r="DR60" s="441"/>
      <c r="DS60" s="441"/>
      <c r="DT60" s="441"/>
      <c r="DU60" s="441"/>
      <c r="DV60" s="441"/>
      <c r="DW60" s="441"/>
      <c r="DX60" s="441"/>
      <c r="DY60" s="441"/>
    </row>
    <row r="61" spans="1:129">
      <c r="A61" s="413"/>
      <c r="B61" s="410">
        <v>61</v>
      </c>
      <c r="C61" s="408" t="s">
        <v>104</v>
      </c>
      <c r="D61" s="111"/>
      <c r="E61" s="111"/>
      <c r="F61" s="27"/>
      <c r="G61" s="304"/>
      <c r="H61" s="315"/>
      <c r="I61" s="304"/>
      <c r="J61" s="304"/>
      <c r="K61" s="304"/>
      <c r="L61" s="304"/>
      <c r="M61" s="304"/>
      <c r="N61" s="315"/>
      <c r="O61" s="304"/>
      <c r="P61" s="304"/>
      <c r="Q61" s="304"/>
      <c r="R61" s="304"/>
      <c r="S61" s="304"/>
      <c r="T61" s="304"/>
      <c r="U61" s="304"/>
      <c r="V61" s="304"/>
      <c r="W61" s="304"/>
      <c r="X61" s="304"/>
      <c r="Y61" s="304"/>
      <c r="Z61" s="304"/>
      <c r="AA61" s="304"/>
      <c r="AB61" s="304"/>
      <c r="AC61" s="304"/>
      <c r="AD61" s="304"/>
      <c r="AE61" s="304"/>
      <c r="AF61" s="304"/>
      <c r="AG61" s="304"/>
      <c r="AH61" s="304"/>
      <c r="AI61" s="304"/>
      <c r="AJ61" s="304"/>
      <c r="AK61" s="304"/>
      <c r="AL61" s="304"/>
      <c r="AM61" s="304"/>
      <c r="AN61" s="304"/>
      <c r="AO61" s="304"/>
      <c r="AP61" s="304"/>
      <c r="AQ61" s="304"/>
      <c r="AR61" s="304"/>
      <c r="AS61" s="304"/>
      <c r="AT61" s="304"/>
      <c r="AU61" s="304"/>
      <c r="AV61" s="304"/>
      <c r="AW61" s="304"/>
      <c r="AX61" s="304"/>
      <c r="AY61" s="304"/>
      <c r="AZ61" s="304"/>
      <c r="BA61" s="304"/>
      <c r="BB61" s="304"/>
      <c r="BC61" s="304"/>
      <c r="BD61" s="304"/>
      <c r="BE61" s="304"/>
      <c r="BF61" s="304"/>
      <c r="BG61" s="304"/>
      <c r="BH61" s="304"/>
      <c r="BI61" s="304"/>
      <c r="BJ61" s="304"/>
      <c r="BK61" s="304"/>
      <c r="BL61" s="304"/>
      <c r="BM61" s="304"/>
      <c r="BN61" s="304"/>
      <c r="BO61" s="304"/>
      <c r="BP61" s="304"/>
      <c r="BQ61" s="304"/>
      <c r="BR61" s="304"/>
      <c r="BS61" s="304"/>
      <c r="BT61" s="304"/>
      <c r="BU61" s="304"/>
      <c r="BV61" s="304"/>
      <c r="BW61" s="304"/>
      <c r="BX61" s="304"/>
      <c r="BY61" s="304"/>
      <c r="BZ61" s="304"/>
      <c r="CA61" s="304"/>
      <c r="CB61" s="304"/>
      <c r="CC61" s="304"/>
      <c r="CD61" s="304"/>
      <c r="CE61" s="304"/>
      <c r="CF61" s="304"/>
      <c r="CG61" s="304"/>
      <c r="CH61" s="304"/>
      <c r="CI61" s="304"/>
      <c r="CJ61" s="304"/>
      <c r="CK61" s="304"/>
      <c r="CL61" s="304"/>
      <c r="CM61" s="304"/>
      <c r="CN61" s="304"/>
      <c r="CO61" s="304"/>
      <c r="CP61" s="304"/>
      <c r="CQ61" s="304"/>
      <c r="CR61" s="304"/>
      <c r="CS61" s="304"/>
      <c r="CT61" s="304"/>
      <c r="CU61" s="304"/>
      <c r="CV61" s="304"/>
      <c r="CW61" s="304"/>
      <c r="CX61" s="304"/>
      <c r="CY61" s="304"/>
      <c r="CZ61" s="304"/>
      <c r="DA61" s="304"/>
      <c r="DB61" s="304"/>
      <c r="DC61" s="306"/>
    </row>
    <row r="62" spans="1:129">
      <c r="A62" s="412">
        <v>10</v>
      </c>
      <c r="B62" s="410">
        <v>62</v>
      </c>
      <c r="C62" s="408" t="s">
        <v>71</v>
      </c>
      <c r="D62" s="105"/>
      <c r="E62" s="105"/>
      <c r="F62" s="27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  <c r="Z62" s="315"/>
      <c r="AA62" s="315"/>
      <c r="AB62" s="315"/>
      <c r="AC62" s="315"/>
      <c r="AD62" s="315"/>
      <c r="AE62" s="315"/>
      <c r="AF62" s="315"/>
      <c r="AG62" s="315"/>
      <c r="AH62" s="315"/>
      <c r="AI62" s="315"/>
      <c r="AJ62" s="315"/>
      <c r="AK62" s="315"/>
      <c r="AL62" s="315"/>
      <c r="AM62" s="315"/>
      <c r="AN62" s="315"/>
      <c r="AO62" s="315"/>
      <c r="AP62" s="315"/>
      <c r="AQ62" s="315"/>
      <c r="AR62" s="315"/>
      <c r="AS62" s="315"/>
      <c r="AT62" s="315"/>
      <c r="AU62" s="315"/>
      <c r="AV62" s="315"/>
      <c r="AW62" s="315"/>
      <c r="AX62" s="315"/>
      <c r="AY62" s="315"/>
      <c r="AZ62" s="315"/>
      <c r="BA62" s="315"/>
      <c r="BB62" s="315"/>
      <c r="BC62" s="315"/>
      <c r="BD62" s="315"/>
      <c r="BE62" s="315"/>
      <c r="BF62" s="315"/>
      <c r="BG62" s="315"/>
      <c r="BH62" s="315"/>
      <c r="BI62" s="315"/>
      <c r="BJ62" s="315"/>
      <c r="BK62" s="315"/>
      <c r="BL62" s="315"/>
      <c r="BM62" s="315"/>
      <c r="BN62" s="315"/>
      <c r="BO62" s="315"/>
      <c r="BP62" s="315"/>
      <c r="BQ62" s="315"/>
      <c r="BR62" s="315"/>
      <c r="BS62" s="315"/>
      <c r="BT62" s="315"/>
      <c r="BU62" s="315"/>
      <c r="BV62" s="315"/>
      <c r="BW62" s="315"/>
      <c r="BX62" s="315"/>
      <c r="BY62" s="315"/>
      <c r="BZ62" s="315"/>
      <c r="CA62" s="315"/>
      <c r="CB62" s="315"/>
      <c r="CC62" s="315"/>
      <c r="CD62" s="315"/>
      <c r="CE62" s="315"/>
      <c r="CF62" s="315"/>
      <c r="CG62" s="315"/>
      <c r="CH62" s="315"/>
      <c r="CI62" s="315"/>
      <c r="CJ62" s="315"/>
      <c r="CK62" s="315"/>
      <c r="CL62" s="315"/>
      <c r="CM62" s="315"/>
      <c r="CN62" s="315"/>
      <c r="CO62" s="315"/>
      <c r="CP62" s="315"/>
      <c r="CQ62" s="315"/>
      <c r="CR62" s="315"/>
      <c r="CS62" s="315"/>
      <c r="CT62" s="315"/>
      <c r="CU62" s="315"/>
      <c r="CV62" s="315"/>
      <c r="CW62" s="315"/>
      <c r="CX62" s="315"/>
      <c r="CY62" s="315"/>
      <c r="CZ62" s="315"/>
      <c r="DA62" s="315"/>
      <c r="DB62" s="315"/>
      <c r="DC62" s="316"/>
    </row>
    <row r="63" spans="1:129">
      <c r="A63" s="413">
        <v>10.01</v>
      </c>
      <c r="B63" s="410">
        <v>63</v>
      </c>
      <c r="C63" s="409" t="s">
        <v>405</v>
      </c>
      <c r="D63" s="111"/>
      <c r="E63" s="111"/>
      <c r="F63" s="27" t="s">
        <v>17</v>
      </c>
      <c r="G63" s="311"/>
      <c r="H63" s="315"/>
      <c r="I63" s="311"/>
      <c r="J63" s="311"/>
      <c r="K63" s="311"/>
      <c r="L63" s="311"/>
      <c r="M63" s="311"/>
      <c r="N63" s="315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1"/>
      <c r="AC63" s="311"/>
      <c r="AD63" s="311"/>
      <c r="AE63" s="311"/>
      <c r="AF63" s="311"/>
      <c r="AG63" s="311"/>
      <c r="AH63" s="311"/>
      <c r="AI63" s="311"/>
      <c r="AJ63" s="311"/>
      <c r="AK63" s="311"/>
      <c r="AL63" s="311"/>
      <c r="AM63" s="311"/>
      <c r="AN63" s="311"/>
      <c r="AO63" s="311"/>
      <c r="AP63" s="311"/>
      <c r="AQ63" s="311"/>
      <c r="AR63" s="311"/>
      <c r="AS63" s="311"/>
      <c r="AT63" s="311"/>
      <c r="AU63" s="311"/>
      <c r="AV63" s="311"/>
      <c r="AW63" s="311"/>
      <c r="AX63" s="311"/>
      <c r="AY63" s="311"/>
      <c r="AZ63" s="311"/>
      <c r="BA63" s="311"/>
      <c r="BB63" s="311"/>
      <c r="BC63" s="311"/>
      <c r="BD63" s="311"/>
      <c r="BE63" s="311"/>
      <c r="BF63" s="311"/>
      <c r="BG63" s="311"/>
      <c r="BH63" s="311"/>
      <c r="BI63" s="311"/>
      <c r="BJ63" s="311"/>
      <c r="BK63" s="311"/>
      <c r="BL63" s="311"/>
      <c r="BM63" s="311"/>
      <c r="BN63" s="311"/>
      <c r="BO63" s="311"/>
      <c r="BP63" s="311"/>
      <c r="BQ63" s="311"/>
      <c r="BR63" s="311"/>
      <c r="BS63" s="311"/>
      <c r="BT63" s="311"/>
      <c r="BU63" s="311"/>
      <c r="BV63" s="311"/>
      <c r="BW63" s="311"/>
      <c r="BX63" s="311"/>
      <c r="BY63" s="311"/>
      <c r="BZ63" s="311"/>
      <c r="CA63" s="311"/>
      <c r="CB63" s="311"/>
      <c r="CC63" s="311"/>
      <c r="CD63" s="311"/>
      <c r="CE63" s="311"/>
      <c r="CF63" s="311"/>
      <c r="CG63" s="311"/>
      <c r="CH63" s="311"/>
      <c r="CI63" s="311"/>
      <c r="CJ63" s="311"/>
      <c r="CK63" s="311"/>
      <c r="CL63" s="311"/>
      <c r="CM63" s="311"/>
      <c r="CN63" s="311"/>
      <c r="CO63" s="311"/>
      <c r="CP63" s="311"/>
      <c r="CQ63" s="311"/>
      <c r="CR63" s="311"/>
      <c r="CS63" s="311"/>
      <c r="CT63" s="311"/>
      <c r="CU63" s="311"/>
      <c r="CV63" s="311"/>
      <c r="CW63" s="311"/>
      <c r="CX63" s="311"/>
      <c r="CY63" s="311"/>
      <c r="CZ63" s="311"/>
      <c r="DA63" s="311"/>
      <c r="DB63" s="311"/>
      <c r="DC63" s="312"/>
    </row>
    <row r="64" spans="1:129" ht="12" customHeight="1">
      <c r="A64" s="413">
        <v>10.02</v>
      </c>
      <c r="B64" s="411">
        <v>64</v>
      </c>
      <c r="C64" s="409" t="s">
        <v>406</v>
      </c>
      <c r="D64" s="23"/>
      <c r="E64" s="23"/>
      <c r="F64" s="27" t="s">
        <v>17</v>
      </c>
      <c r="G64" s="304"/>
      <c r="H64" s="315"/>
      <c r="I64" s="304"/>
      <c r="J64" s="304"/>
      <c r="K64" s="304"/>
      <c r="L64" s="304"/>
      <c r="M64" s="304"/>
      <c r="N64" s="315"/>
      <c r="O64" s="304"/>
      <c r="P64" s="304"/>
      <c r="Q64" s="304"/>
      <c r="R64" s="304"/>
      <c r="S64" s="304"/>
      <c r="T64" s="304"/>
      <c r="U64" s="304"/>
      <c r="V64" s="304"/>
      <c r="W64" s="304"/>
      <c r="X64" s="304"/>
      <c r="Y64" s="304"/>
      <c r="Z64" s="304"/>
      <c r="AA64" s="304"/>
      <c r="AB64" s="304"/>
      <c r="AC64" s="304"/>
      <c r="AD64" s="304"/>
      <c r="AE64" s="304"/>
      <c r="AF64" s="304"/>
      <c r="AG64" s="304"/>
      <c r="AH64" s="304"/>
      <c r="AI64" s="304"/>
      <c r="AJ64" s="304"/>
      <c r="AK64" s="304"/>
      <c r="AL64" s="304"/>
      <c r="AM64" s="304"/>
      <c r="AN64" s="304"/>
      <c r="AO64" s="304"/>
      <c r="AP64" s="304"/>
      <c r="AQ64" s="304"/>
      <c r="AR64" s="304"/>
      <c r="AS64" s="304"/>
      <c r="AT64" s="304"/>
      <c r="AU64" s="304"/>
      <c r="AV64" s="304"/>
      <c r="AW64" s="304"/>
      <c r="AX64" s="304"/>
      <c r="AY64" s="304"/>
      <c r="AZ64" s="304"/>
      <c r="BA64" s="304"/>
      <c r="BB64" s="304"/>
      <c r="BC64" s="304"/>
      <c r="BD64" s="304"/>
      <c r="BE64" s="304"/>
      <c r="BF64" s="304"/>
      <c r="BG64" s="304"/>
      <c r="BH64" s="304"/>
      <c r="BI64" s="304"/>
      <c r="BJ64" s="304"/>
      <c r="BK64" s="304"/>
      <c r="BL64" s="304"/>
      <c r="BM64" s="304"/>
      <c r="BN64" s="304"/>
      <c r="BO64" s="304"/>
      <c r="BP64" s="304"/>
      <c r="BQ64" s="304"/>
      <c r="BR64" s="304"/>
      <c r="BS64" s="304"/>
      <c r="BT64" s="304"/>
      <c r="BU64" s="304"/>
      <c r="BV64" s="304"/>
      <c r="BW64" s="304"/>
      <c r="BX64" s="304"/>
      <c r="BY64" s="304"/>
      <c r="BZ64" s="304"/>
      <c r="CA64" s="304"/>
      <c r="CB64" s="304"/>
      <c r="CC64" s="304"/>
      <c r="CD64" s="304"/>
      <c r="CE64" s="304"/>
      <c r="CF64" s="304"/>
      <c r="CG64" s="304"/>
      <c r="CH64" s="304"/>
      <c r="CI64" s="304"/>
      <c r="CJ64" s="304"/>
      <c r="CK64" s="304"/>
      <c r="CL64" s="304"/>
      <c r="CM64" s="304"/>
      <c r="CN64" s="304"/>
      <c r="CO64" s="304"/>
      <c r="CP64" s="304"/>
      <c r="CQ64" s="304"/>
      <c r="CR64" s="304"/>
      <c r="CS64" s="304"/>
      <c r="CT64" s="304"/>
      <c r="CU64" s="304"/>
      <c r="CV64" s="304"/>
      <c r="CW64" s="304"/>
      <c r="CX64" s="304"/>
      <c r="CY64" s="304"/>
      <c r="CZ64" s="304"/>
      <c r="DA64" s="304"/>
      <c r="DB64" s="304"/>
      <c r="DC64" s="306"/>
    </row>
    <row r="65" spans="1:107">
      <c r="A65" s="413">
        <v>10.029999999999999</v>
      </c>
      <c r="B65" s="410">
        <v>65</v>
      </c>
      <c r="C65" s="409" t="s">
        <v>407</v>
      </c>
      <c r="D65" s="110"/>
      <c r="E65" s="110"/>
      <c r="F65" s="27" t="s">
        <v>17</v>
      </c>
      <c r="G65" s="305"/>
      <c r="H65" s="315"/>
      <c r="I65" s="305"/>
      <c r="J65" s="305"/>
      <c r="K65" s="305"/>
      <c r="L65" s="305"/>
      <c r="M65" s="305"/>
      <c r="N65" s="31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5"/>
      <c r="AB65" s="305"/>
      <c r="AC65" s="305"/>
      <c r="AD65" s="305"/>
      <c r="AE65" s="305"/>
      <c r="AF65" s="305"/>
      <c r="AG65" s="305"/>
      <c r="AH65" s="305"/>
      <c r="AI65" s="305"/>
      <c r="AJ65" s="305"/>
      <c r="AK65" s="305"/>
      <c r="AL65" s="305"/>
      <c r="AM65" s="305"/>
      <c r="AN65" s="305"/>
      <c r="AO65" s="305"/>
      <c r="AP65" s="305"/>
      <c r="AQ65" s="305"/>
      <c r="AR65" s="305"/>
      <c r="AS65" s="305"/>
      <c r="AT65" s="305"/>
      <c r="AU65" s="305"/>
      <c r="AV65" s="305"/>
      <c r="AW65" s="305"/>
      <c r="AX65" s="305"/>
      <c r="AY65" s="305"/>
      <c r="AZ65" s="305"/>
      <c r="BA65" s="305"/>
      <c r="BB65" s="305"/>
      <c r="BC65" s="305"/>
      <c r="BD65" s="305"/>
      <c r="BE65" s="305"/>
      <c r="BF65" s="305"/>
      <c r="BG65" s="305"/>
      <c r="BH65" s="305"/>
      <c r="BI65" s="305"/>
      <c r="BJ65" s="305"/>
      <c r="BK65" s="305"/>
      <c r="BL65" s="305"/>
      <c r="BM65" s="305"/>
      <c r="BN65" s="305"/>
      <c r="BO65" s="305"/>
      <c r="BP65" s="305"/>
      <c r="BQ65" s="305"/>
      <c r="BR65" s="305"/>
      <c r="BS65" s="305"/>
      <c r="BT65" s="305"/>
      <c r="BU65" s="305"/>
      <c r="BV65" s="305"/>
      <c r="BW65" s="305"/>
      <c r="BX65" s="305"/>
      <c r="BY65" s="305"/>
      <c r="BZ65" s="305"/>
      <c r="CA65" s="305"/>
      <c r="CB65" s="305"/>
      <c r="CC65" s="305"/>
      <c r="CD65" s="305"/>
      <c r="CE65" s="305"/>
      <c r="CF65" s="305"/>
      <c r="CG65" s="305"/>
      <c r="CH65" s="305"/>
      <c r="CI65" s="305"/>
      <c r="CJ65" s="305"/>
      <c r="CK65" s="305"/>
      <c r="CL65" s="305"/>
      <c r="CM65" s="305"/>
      <c r="CN65" s="305"/>
      <c r="CO65" s="305"/>
      <c r="CP65" s="305"/>
      <c r="CQ65" s="305"/>
      <c r="CR65" s="305"/>
      <c r="CS65" s="305"/>
      <c r="CT65" s="305"/>
      <c r="CU65" s="305"/>
      <c r="CV65" s="305"/>
      <c r="CW65" s="305"/>
      <c r="CX65" s="305"/>
      <c r="CY65" s="305"/>
      <c r="CZ65" s="305"/>
      <c r="DA65" s="305"/>
      <c r="DB65" s="305"/>
      <c r="DC65" s="310"/>
    </row>
    <row r="66" spans="1:107">
      <c r="A66" s="413">
        <v>10.039999999999999</v>
      </c>
      <c r="B66" s="410">
        <v>66</v>
      </c>
      <c r="C66" s="409" t="s">
        <v>408</v>
      </c>
      <c r="D66" s="111"/>
      <c r="E66" s="111"/>
      <c r="F66" s="27" t="s">
        <v>17</v>
      </c>
      <c r="G66" s="311"/>
      <c r="H66" s="315"/>
      <c r="I66" s="311"/>
      <c r="J66" s="311"/>
      <c r="K66" s="311"/>
      <c r="L66" s="311"/>
      <c r="M66" s="311"/>
      <c r="N66" s="315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1"/>
      <c r="AC66" s="311"/>
      <c r="AD66" s="311"/>
      <c r="AE66" s="311"/>
      <c r="AF66" s="311"/>
      <c r="AG66" s="311"/>
      <c r="AH66" s="311"/>
      <c r="AI66" s="311"/>
      <c r="AJ66" s="311"/>
      <c r="AK66" s="311"/>
      <c r="AL66" s="311"/>
      <c r="AM66" s="311"/>
      <c r="AN66" s="311"/>
      <c r="AO66" s="311"/>
      <c r="AP66" s="311"/>
      <c r="AQ66" s="311"/>
      <c r="AR66" s="311"/>
      <c r="AS66" s="311"/>
      <c r="AT66" s="311"/>
      <c r="AU66" s="311"/>
      <c r="AV66" s="311"/>
      <c r="AW66" s="311"/>
      <c r="AX66" s="311"/>
      <c r="AY66" s="311"/>
      <c r="AZ66" s="311"/>
      <c r="BA66" s="311"/>
      <c r="BB66" s="311"/>
      <c r="BC66" s="311"/>
      <c r="BD66" s="311"/>
      <c r="BE66" s="311"/>
      <c r="BF66" s="311"/>
      <c r="BG66" s="311"/>
      <c r="BH66" s="311"/>
      <c r="BI66" s="311"/>
      <c r="BJ66" s="311"/>
      <c r="BK66" s="311"/>
      <c r="BL66" s="311"/>
      <c r="BM66" s="311"/>
      <c r="BN66" s="311"/>
      <c r="BO66" s="311"/>
      <c r="BP66" s="311"/>
      <c r="BQ66" s="311"/>
      <c r="BR66" s="311"/>
      <c r="BS66" s="311"/>
      <c r="BT66" s="311"/>
      <c r="BU66" s="311"/>
      <c r="BV66" s="311"/>
      <c r="BW66" s="311"/>
      <c r="BX66" s="311"/>
      <c r="BY66" s="311"/>
      <c r="BZ66" s="311"/>
      <c r="CA66" s="311"/>
      <c r="CB66" s="311"/>
      <c r="CC66" s="311"/>
      <c r="CD66" s="311"/>
      <c r="CE66" s="311"/>
      <c r="CF66" s="311"/>
      <c r="CG66" s="311"/>
      <c r="CH66" s="311"/>
      <c r="CI66" s="311"/>
      <c r="CJ66" s="311"/>
      <c r="CK66" s="311"/>
      <c r="CL66" s="311"/>
      <c r="CM66" s="311"/>
      <c r="CN66" s="311"/>
      <c r="CO66" s="311"/>
      <c r="CP66" s="311"/>
      <c r="CQ66" s="311"/>
      <c r="CR66" s="311"/>
      <c r="CS66" s="311"/>
      <c r="CT66" s="311"/>
      <c r="CU66" s="311"/>
      <c r="CV66" s="311"/>
      <c r="CW66" s="311"/>
      <c r="CX66" s="311"/>
      <c r="CY66" s="311"/>
      <c r="CZ66" s="311"/>
      <c r="DA66" s="311"/>
      <c r="DB66" s="311"/>
      <c r="DC66" s="312"/>
    </row>
    <row r="67" spans="1:107">
      <c r="A67" s="413"/>
      <c r="B67" s="411">
        <v>67</v>
      </c>
      <c r="C67" s="409" t="s">
        <v>104</v>
      </c>
      <c r="D67" s="111"/>
      <c r="E67" s="111"/>
      <c r="F67" s="27"/>
      <c r="G67" s="311"/>
      <c r="H67" s="315"/>
      <c r="I67" s="311"/>
      <c r="J67" s="311"/>
      <c r="K67" s="311"/>
      <c r="L67" s="311"/>
      <c r="M67" s="311"/>
      <c r="N67" s="315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1"/>
      <c r="AC67" s="311"/>
      <c r="AD67" s="311"/>
      <c r="AE67" s="311"/>
      <c r="AF67" s="311"/>
      <c r="AG67" s="311"/>
      <c r="AH67" s="311"/>
      <c r="AI67" s="311"/>
      <c r="AJ67" s="311"/>
      <c r="AK67" s="311"/>
      <c r="AL67" s="311"/>
      <c r="AM67" s="311"/>
      <c r="AN67" s="311"/>
      <c r="AO67" s="311"/>
      <c r="AP67" s="311"/>
      <c r="AQ67" s="311"/>
      <c r="AR67" s="311"/>
      <c r="AS67" s="311"/>
      <c r="AT67" s="311"/>
      <c r="AU67" s="311"/>
      <c r="AV67" s="311"/>
      <c r="AW67" s="311"/>
      <c r="AX67" s="311"/>
      <c r="AY67" s="311"/>
      <c r="AZ67" s="311"/>
      <c r="BA67" s="311"/>
      <c r="BB67" s="311"/>
      <c r="BC67" s="311"/>
      <c r="BD67" s="311"/>
      <c r="BE67" s="311"/>
      <c r="BF67" s="311"/>
      <c r="BG67" s="311"/>
      <c r="BH67" s="311"/>
      <c r="BI67" s="311"/>
      <c r="BJ67" s="311"/>
      <c r="BK67" s="311"/>
      <c r="BL67" s="311"/>
      <c r="BM67" s="311"/>
      <c r="BN67" s="311"/>
      <c r="BO67" s="311"/>
      <c r="BP67" s="311"/>
      <c r="BQ67" s="311"/>
      <c r="BR67" s="311"/>
      <c r="BS67" s="311"/>
      <c r="BT67" s="311"/>
      <c r="BU67" s="311"/>
      <c r="BV67" s="311"/>
      <c r="BW67" s="311"/>
      <c r="BX67" s="311"/>
      <c r="BY67" s="311"/>
      <c r="BZ67" s="311"/>
      <c r="CA67" s="311"/>
      <c r="CB67" s="311"/>
      <c r="CC67" s="311"/>
      <c r="CD67" s="311"/>
      <c r="CE67" s="311"/>
      <c r="CF67" s="311"/>
      <c r="CG67" s="311"/>
      <c r="CH67" s="311"/>
      <c r="CI67" s="311"/>
      <c r="CJ67" s="311"/>
      <c r="CK67" s="311"/>
      <c r="CL67" s="311"/>
      <c r="CM67" s="311"/>
      <c r="CN67" s="311"/>
      <c r="CO67" s="311"/>
      <c r="CP67" s="311"/>
      <c r="CQ67" s="311"/>
      <c r="CR67" s="311"/>
      <c r="CS67" s="311"/>
      <c r="CT67" s="311"/>
      <c r="CU67" s="311"/>
      <c r="CV67" s="311"/>
      <c r="CW67" s="311"/>
      <c r="CX67" s="311"/>
      <c r="CY67" s="311"/>
      <c r="CZ67" s="311"/>
      <c r="DA67" s="311"/>
      <c r="DB67" s="311"/>
      <c r="DC67" s="312"/>
    </row>
    <row r="68" spans="1:107">
      <c r="A68" s="412">
        <v>11</v>
      </c>
      <c r="B68" s="410">
        <v>68</v>
      </c>
      <c r="C68" s="408" t="s">
        <v>19</v>
      </c>
      <c r="D68" s="105"/>
      <c r="E68" s="105"/>
      <c r="F68" s="27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5"/>
      <c r="AB68" s="315"/>
      <c r="AC68" s="315"/>
      <c r="AD68" s="315"/>
      <c r="AE68" s="315"/>
      <c r="AF68" s="315"/>
      <c r="AG68" s="315"/>
      <c r="AH68" s="315"/>
      <c r="AI68" s="315"/>
      <c r="AJ68" s="315"/>
      <c r="AK68" s="315"/>
      <c r="AL68" s="315"/>
      <c r="AM68" s="315"/>
      <c r="AN68" s="315"/>
      <c r="AO68" s="315"/>
      <c r="AP68" s="315"/>
      <c r="AQ68" s="315"/>
      <c r="AR68" s="315"/>
      <c r="AS68" s="315"/>
      <c r="AT68" s="315"/>
      <c r="AU68" s="315"/>
      <c r="AV68" s="315"/>
      <c r="AW68" s="315"/>
      <c r="AX68" s="315"/>
      <c r="AY68" s="315"/>
      <c r="AZ68" s="315"/>
      <c r="BA68" s="315"/>
      <c r="BB68" s="315"/>
      <c r="BC68" s="315"/>
      <c r="BD68" s="315"/>
      <c r="BE68" s="315"/>
      <c r="BF68" s="315"/>
      <c r="BG68" s="315"/>
      <c r="BH68" s="315"/>
      <c r="BI68" s="315"/>
      <c r="BJ68" s="315"/>
      <c r="BK68" s="315"/>
      <c r="BL68" s="315"/>
      <c r="BM68" s="315"/>
      <c r="BN68" s="315"/>
      <c r="BO68" s="315"/>
      <c r="BP68" s="315"/>
      <c r="BQ68" s="315"/>
      <c r="BR68" s="315"/>
      <c r="BS68" s="315"/>
      <c r="BT68" s="315"/>
      <c r="BU68" s="315"/>
      <c r="BV68" s="315"/>
      <c r="BW68" s="315"/>
      <c r="BX68" s="315"/>
      <c r="BY68" s="315"/>
      <c r="BZ68" s="315"/>
      <c r="CA68" s="315"/>
      <c r="CB68" s="315"/>
      <c r="CC68" s="315"/>
      <c r="CD68" s="315"/>
      <c r="CE68" s="315"/>
      <c r="CF68" s="315"/>
      <c r="CG68" s="315"/>
      <c r="CH68" s="315"/>
      <c r="CI68" s="315"/>
      <c r="CJ68" s="315"/>
      <c r="CK68" s="315"/>
      <c r="CL68" s="315"/>
      <c r="CM68" s="315"/>
      <c r="CN68" s="315"/>
      <c r="CO68" s="315"/>
      <c r="CP68" s="315"/>
      <c r="CQ68" s="315"/>
      <c r="CR68" s="315"/>
      <c r="CS68" s="315"/>
      <c r="CT68" s="315"/>
      <c r="CU68" s="315"/>
      <c r="CV68" s="315"/>
      <c r="CW68" s="315"/>
      <c r="CX68" s="315"/>
      <c r="CY68" s="315"/>
      <c r="CZ68" s="315"/>
      <c r="DA68" s="315"/>
      <c r="DB68" s="315"/>
      <c r="DC68" s="316"/>
    </row>
    <row r="69" spans="1:107" ht="12" customHeight="1">
      <c r="A69" s="413">
        <v>11.01</v>
      </c>
      <c r="B69" s="411">
        <v>69</v>
      </c>
      <c r="C69" s="409" t="s">
        <v>409</v>
      </c>
      <c r="D69" s="23"/>
      <c r="E69" s="23"/>
      <c r="F69" s="27" t="s">
        <v>17</v>
      </c>
      <c r="G69" s="311"/>
      <c r="H69" s="315"/>
      <c r="I69" s="311"/>
      <c r="J69" s="311"/>
      <c r="K69" s="311"/>
      <c r="L69" s="311"/>
      <c r="M69" s="311"/>
      <c r="N69" s="315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1"/>
      <c r="AC69" s="311"/>
      <c r="AD69" s="311"/>
      <c r="AE69" s="311"/>
      <c r="AF69" s="311"/>
      <c r="AG69" s="311"/>
      <c r="AH69" s="311"/>
      <c r="AI69" s="311"/>
      <c r="AJ69" s="311"/>
      <c r="AK69" s="311"/>
      <c r="AL69" s="311"/>
      <c r="AM69" s="311"/>
      <c r="AN69" s="311"/>
      <c r="AO69" s="311"/>
      <c r="AP69" s="311"/>
      <c r="AQ69" s="311"/>
      <c r="AR69" s="311"/>
      <c r="AS69" s="311"/>
      <c r="AT69" s="311"/>
      <c r="AU69" s="311"/>
      <c r="AV69" s="311"/>
      <c r="AW69" s="311"/>
      <c r="AX69" s="311"/>
      <c r="AY69" s="311"/>
      <c r="AZ69" s="311"/>
      <c r="BA69" s="311"/>
      <c r="BB69" s="311"/>
      <c r="BC69" s="311"/>
      <c r="BD69" s="311"/>
      <c r="BE69" s="311"/>
      <c r="BF69" s="311"/>
      <c r="BG69" s="311"/>
      <c r="BH69" s="311"/>
      <c r="BI69" s="311"/>
      <c r="BJ69" s="311"/>
      <c r="BK69" s="311"/>
      <c r="BL69" s="311"/>
      <c r="BM69" s="311"/>
      <c r="BN69" s="311"/>
      <c r="BO69" s="311"/>
      <c r="BP69" s="311"/>
      <c r="BQ69" s="311"/>
      <c r="BR69" s="311"/>
      <c r="BS69" s="311"/>
      <c r="BT69" s="311"/>
      <c r="BU69" s="311"/>
      <c r="BV69" s="311"/>
      <c r="BW69" s="311"/>
      <c r="BX69" s="311"/>
      <c r="BY69" s="311"/>
      <c r="BZ69" s="311"/>
      <c r="CA69" s="311"/>
      <c r="CB69" s="311"/>
      <c r="CC69" s="311"/>
      <c r="CD69" s="311"/>
      <c r="CE69" s="311"/>
      <c r="CF69" s="311"/>
      <c r="CG69" s="311"/>
      <c r="CH69" s="311"/>
      <c r="CI69" s="311"/>
      <c r="CJ69" s="311"/>
      <c r="CK69" s="311"/>
      <c r="CL69" s="311"/>
      <c r="CM69" s="311"/>
      <c r="CN69" s="311"/>
      <c r="CO69" s="311"/>
      <c r="CP69" s="311"/>
      <c r="CQ69" s="311"/>
      <c r="CR69" s="311"/>
      <c r="CS69" s="311"/>
      <c r="CT69" s="311"/>
      <c r="CU69" s="311"/>
      <c r="CV69" s="311"/>
      <c r="CW69" s="311"/>
      <c r="CX69" s="311"/>
      <c r="CY69" s="311"/>
      <c r="CZ69" s="311"/>
      <c r="DA69" s="311"/>
      <c r="DB69" s="311"/>
      <c r="DC69" s="312"/>
    </row>
    <row r="70" spans="1:107" ht="12" customHeight="1">
      <c r="A70" s="413">
        <v>11.02</v>
      </c>
      <c r="B70" s="410">
        <v>70</v>
      </c>
      <c r="C70" s="409" t="s">
        <v>410</v>
      </c>
      <c r="D70" s="105"/>
      <c r="E70" s="105"/>
      <c r="F70" s="27" t="s">
        <v>17</v>
      </c>
      <c r="G70" s="309"/>
      <c r="H70" s="315"/>
      <c r="I70" s="309"/>
      <c r="J70" s="309"/>
      <c r="K70" s="309"/>
      <c r="L70" s="309"/>
      <c r="M70" s="309"/>
      <c r="N70" s="315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  <c r="Z70" s="309"/>
      <c r="AA70" s="309"/>
      <c r="AB70" s="309"/>
      <c r="AC70" s="309"/>
      <c r="AD70" s="309"/>
      <c r="AE70" s="309"/>
      <c r="AF70" s="309"/>
      <c r="AG70" s="309"/>
      <c r="AH70" s="309"/>
      <c r="AI70" s="309"/>
      <c r="AJ70" s="309"/>
      <c r="AK70" s="309"/>
      <c r="AL70" s="309"/>
      <c r="AM70" s="309"/>
      <c r="AN70" s="309"/>
      <c r="AO70" s="309"/>
      <c r="AP70" s="309"/>
      <c r="AQ70" s="309"/>
      <c r="AR70" s="309"/>
      <c r="AS70" s="309"/>
      <c r="AT70" s="309"/>
      <c r="AU70" s="309"/>
      <c r="AV70" s="309"/>
      <c r="AW70" s="309"/>
      <c r="AX70" s="309"/>
      <c r="AY70" s="309"/>
      <c r="AZ70" s="309"/>
      <c r="BA70" s="309"/>
      <c r="BB70" s="309"/>
      <c r="BC70" s="309"/>
      <c r="BD70" s="309"/>
      <c r="BE70" s="309"/>
      <c r="BF70" s="309"/>
      <c r="BG70" s="309"/>
      <c r="BH70" s="309"/>
      <c r="BI70" s="309"/>
      <c r="BJ70" s="309"/>
      <c r="BK70" s="309"/>
      <c r="BL70" s="309"/>
      <c r="BM70" s="309"/>
      <c r="BN70" s="309"/>
      <c r="BO70" s="309"/>
      <c r="BP70" s="309"/>
      <c r="BQ70" s="309"/>
      <c r="BR70" s="309"/>
      <c r="BS70" s="309"/>
      <c r="BT70" s="309"/>
      <c r="BU70" s="309"/>
      <c r="BV70" s="309"/>
      <c r="BW70" s="309"/>
      <c r="BX70" s="309"/>
      <c r="BY70" s="309"/>
      <c r="BZ70" s="309"/>
      <c r="CA70" s="309"/>
      <c r="CB70" s="309"/>
      <c r="CC70" s="309"/>
      <c r="CD70" s="309"/>
      <c r="CE70" s="309"/>
      <c r="CF70" s="309"/>
      <c r="CG70" s="309"/>
      <c r="CH70" s="309"/>
      <c r="CI70" s="309"/>
      <c r="CJ70" s="309"/>
      <c r="CK70" s="309"/>
      <c r="CL70" s="309"/>
      <c r="CM70" s="309"/>
      <c r="CN70" s="309"/>
      <c r="CO70" s="309"/>
      <c r="CP70" s="309"/>
      <c r="CQ70" s="309"/>
      <c r="CR70" s="309"/>
      <c r="CS70" s="309"/>
      <c r="CT70" s="309"/>
      <c r="CU70" s="309"/>
      <c r="CV70" s="309"/>
      <c r="CW70" s="309"/>
      <c r="CX70" s="309"/>
      <c r="CY70" s="309"/>
      <c r="CZ70" s="309"/>
      <c r="DA70" s="309"/>
      <c r="DB70" s="309"/>
      <c r="DC70" s="313"/>
    </row>
    <row r="71" spans="1:107">
      <c r="A71" s="413">
        <v>11.03</v>
      </c>
      <c r="B71" s="410">
        <v>71</v>
      </c>
      <c r="C71" s="409" t="s">
        <v>411</v>
      </c>
      <c r="D71" s="23"/>
      <c r="E71" s="23"/>
      <c r="F71" s="27" t="s">
        <v>17</v>
      </c>
      <c r="G71" s="309"/>
      <c r="H71" s="315"/>
      <c r="I71" s="309"/>
      <c r="J71" s="309"/>
      <c r="K71" s="309"/>
      <c r="L71" s="309"/>
      <c r="M71" s="309"/>
      <c r="N71" s="315"/>
      <c r="O71" s="309"/>
      <c r="P71" s="309"/>
      <c r="Q71" s="309"/>
      <c r="R71" s="309"/>
      <c r="S71" s="309"/>
      <c r="T71" s="309"/>
      <c r="U71" s="309"/>
      <c r="V71" s="309"/>
      <c r="W71" s="309"/>
      <c r="X71" s="309"/>
      <c r="Y71" s="309"/>
      <c r="Z71" s="309"/>
      <c r="AA71" s="309"/>
      <c r="AB71" s="309"/>
      <c r="AC71" s="309"/>
      <c r="AD71" s="309"/>
      <c r="AE71" s="309"/>
      <c r="AF71" s="309"/>
      <c r="AG71" s="309"/>
      <c r="AH71" s="309"/>
      <c r="AI71" s="309"/>
      <c r="AJ71" s="309"/>
      <c r="AK71" s="309"/>
      <c r="AL71" s="309"/>
      <c r="AM71" s="309"/>
      <c r="AN71" s="309"/>
      <c r="AO71" s="309"/>
      <c r="AP71" s="309"/>
      <c r="AQ71" s="309"/>
      <c r="AR71" s="309"/>
      <c r="AS71" s="309"/>
      <c r="AT71" s="309"/>
      <c r="AU71" s="309"/>
      <c r="AV71" s="309"/>
      <c r="AW71" s="309"/>
      <c r="AX71" s="309"/>
      <c r="AY71" s="309"/>
      <c r="AZ71" s="309"/>
      <c r="BA71" s="309"/>
      <c r="BB71" s="309"/>
      <c r="BC71" s="309"/>
      <c r="BD71" s="309"/>
      <c r="BE71" s="309"/>
      <c r="BF71" s="309"/>
      <c r="BG71" s="309"/>
      <c r="BH71" s="309"/>
      <c r="BI71" s="309"/>
      <c r="BJ71" s="309"/>
      <c r="BK71" s="309"/>
      <c r="BL71" s="309"/>
      <c r="BM71" s="309"/>
      <c r="BN71" s="309"/>
      <c r="BO71" s="309"/>
      <c r="BP71" s="309"/>
      <c r="BQ71" s="309"/>
      <c r="BR71" s="309"/>
      <c r="BS71" s="309"/>
      <c r="BT71" s="309"/>
      <c r="BU71" s="309"/>
      <c r="BV71" s="309"/>
      <c r="BW71" s="339"/>
      <c r="BX71" s="339"/>
      <c r="BY71" s="339"/>
      <c r="BZ71" s="339"/>
      <c r="CA71" s="339"/>
      <c r="CB71" s="339"/>
      <c r="CC71" s="339"/>
      <c r="CD71" s="339"/>
      <c r="CE71" s="309"/>
      <c r="CF71" s="309"/>
      <c r="CG71" s="309"/>
      <c r="CH71" s="309"/>
      <c r="CI71" s="309"/>
      <c r="CJ71" s="309"/>
      <c r="CK71" s="309"/>
      <c r="CL71" s="309"/>
      <c r="CM71" s="309"/>
      <c r="CN71" s="309"/>
      <c r="CO71" s="309"/>
      <c r="CP71" s="309"/>
      <c r="CQ71" s="309"/>
      <c r="CR71" s="309"/>
      <c r="CS71" s="309"/>
      <c r="CT71" s="309"/>
      <c r="CU71" s="309"/>
      <c r="CV71" s="309"/>
      <c r="CW71" s="309"/>
      <c r="CX71" s="309"/>
      <c r="CY71" s="309"/>
      <c r="CZ71" s="309"/>
      <c r="DA71" s="309"/>
      <c r="DB71" s="309"/>
      <c r="DC71" s="313"/>
    </row>
    <row r="72" spans="1:107">
      <c r="A72"/>
      <c r="B72"/>
      <c r="C72"/>
      <c r="D72"/>
      <c r="E72"/>
      <c r="F72"/>
    </row>
    <row r="73" spans="1:107">
      <c r="A73"/>
      <c r="B73"/>
      <c r="C73"/>
      <c r="D73"/>
      <c r="E73"/>
      <c r="F73"/>
    </row>
    <row r="74" spans="1:107">
      <c r="A74"/>
      <c r="B74"/>
      <c r="C74"/>
      <c r="D74"/>
      <c r="E74"/>
      <c r="F74"/>
    </row>
    <row r="75" spans="1:107">
      <c r="A75"/>
      <c r="B75"/>
      <c r="C75"/>
      <c r="D75"/>
      <c r="E75"/>
      <c r="F75"/>
    </row>
    <row r="76" spans="1:107">
      <c r="A76"/>
      <c r="B76"/>
      <c r="C76"/>
      <c r="D76"/>
      <c r="E76"/>
      <c r="F76"/>
    </row>
    <row r="77" spans="1:107">
      <c r="A77"/>
      <c r="B77"/>
      <c r="C77"/>
      <c r="D77"/>
      <c r="E77"/>
      <c r="F77"/>
    </row>
    <row r="78" spans="1:107">
      <c r="A78"/>
      <c r="B78"/>
      <c r="C78"/>
      <c r="D78"/>
      <c r="E78"/>
      <c r="F78"/>
    </row>
    <row r="79" spans="1:107">
      <c r="A79"/>
      <c r="B79"/>
      <c r="C79"/>
      <c r="D79"/>
      <c r="E79"/>
      <c r="F79"/>
    </row>
    <row r="80" spans="1:107">
      <c r="A80"/>
      <c r="B80"/>
      <c r="C80"/>
      <c r="D80"/>
      <c r="E80"/>
      <c r="F80"/>
    </row>
    <row r="81" spans="1:6">
      <c r="A81"/>
      <c r="B81"/>
      <c r="C81"/>
      <c r="D81"/>
      <c r="E81"/>
      <c r="F81"/>
    </row>
    <row r="82" spans="1:6">
      <c r="A82"/>
      <c r="B82"/>
      <c r="C82"/>
      <c r="D82"/>
      <c r="E82"/>
      <c r="F82"/>
    </row>
    <row r="83" spans="1:6">
      <c r="A83"/>
      <c r="B83"/>
      <c r="C83"/>
      <c r="D83"/>
      <c r="E83"/>
      <c r="F83"/>
    </row>
    <row r="84" spans="1:6">
      <c r="A84"/>
      <c r="B84"/>
      <c r="C84"/>
      <c r="D84"/>
      <c r="E84"/>
      <c r="F84"/>
    </row>
    <row r="85" spans="1:6">
      <c r="A85"/>
      <c r="B85"/>
      <c r="C85"/>
      <c r="D85"/>
      <c r="E85"/>
      <c r="F85"/>
    </row>
    <row r="86" spans="1:6">
      <c r="A86"/>
      <c r="B86"/>
      <c r="C86"/>
      <c r="D86"/>
      <c r="E86"/>
      <c r="F86"/>
    </row>
    <row r="87" spans="1:6">
      <c r="A87"/>
      <c r="B87"/>
      <c r="C87"/>
      <c r="D87"/>
      <c r="E87"/>
      <c r="F87"/>
    </row>
    <row r="88" spans="1:6">
      <c r="A88"/>
      <c r="B88"/>
      <c r="C88"/>
      <c r="D88"/>
      <c r="E88"/>
      <c r="F88"/>
    </row>
    <row r="89" spans="1:6">
      <c r="A89"/>
      <c r="B89"/>
      <c r="C89"/>
      <c r="D89"/>
      <c r="E89"/>
      <c r="F89"/>
    </row>
    <row r="90" spans="1:6">
      <c r="A90"/>
      <c r="B90"/>
      <c r="C90"/>
      <c r="D90"/>
      <c r="E90"/>
      <c r="F90"/>
    </row>
    <row r="91" spans="1:6">
      <c r="A91"/>
      <c r="B91"/>
      <c r="C91"/>
      <c r="D91"/>
      <c r="E91"/>
      <c r="F91"/>
    </row>
    <row r="92" spans="1:6">
      <c r="A92"/>
      <c r="B92"/>
      <c r="C92"/>
      <c r="D92"/>
      <c r="E92"/>
      <c r="F92"/>
    </row>
    <row r="93" spans="1:6">
      <c r="A93"/>
      <c r="B93"/>
      <c r="C93"/>
      <c r="D93"/>
      <c r="E93"/>
      <c r="F93"/>
    </row>
    <row r="94" spans="1:6">
      <c r="A94"/>
      <c r="B94"/>
      <c r="C94"/>
      <c r="D94"/>
      <c r="E94"/>
      <c r="F94"/>
    </row>
    <row r="95" spans="1:6">
      <c r="A95"/>
      <c r="B95"/>
      <c r="C95"/>
      <c r="D95"/>
      <c r="E95"/>
      <c r="F95"/>
    </row>
    <row r="96" spans="1:6">
      <c r="A96"/>
      <c r="B96"/>
      <c r="C96"/>
      <c r="D96"/>
      <c r="E96"/>
      <c r="F96"/>
    </row>
    <row r="97" spans="1:6">
      <c r="A97"/>
      <c r="B97"/>
      <c r="C97"/>
      <c r="D97"/>
      <c r="E97"/>
      <c r="F97"/>
    </row>
    <row r="98" spans="1:6">
      <c r="A98"/>
      <c r="B98"/>
      <c r="C98"/>
      <c r="D98"/>
      <c r="E98"/>
      <c r="F98"/>
    </row>
    <row r="99" spans="1:6">
      <c r="A99"/>
      <c r="B99"/>
      <c r="C99"/>
      <c r="D99"/>
      <c r="E99"/>
      <c r="F99"/>
    </row>
    <row r="100" spans="1:6">
      <c r="A100"/>
      <c r="B100"/>
      <c r="C100"/>
      <c r="D100"/>
      <c r="E100"/>
      <c r="F100"/>
    </row>
    <row r="101" spans="1:6">
      <c r="A101"/>
      <c r="B101"/>
      <c r="C101"/>
      <c r="D101"/>
      <c r="E101"/>
      <c r="F101"/>
    </row>
    <row r="102" spans="1:6">
      <c r="A102"/>
      <c r="B102"/>
      <c r="C102"/>
      <c r="D102"/>
      <c r="E102"/>
      <c r="F102"/>
    </row>
    <row r="103" spans="1:6">
      <c r="A103"/>
      <c r="B103"/>
      <c r="C103"/>
      <c r="D103"/>
      <c r="E103"/>
      <c r="F103"/>
    </row>
    <row r="104" spans="1:6">
      <c r="A104"/>
      <c r="B104"/>
      <c r="C104"/>
      <c r="D104"/>
      <c r="E104"/>
      <c r="F104"/>
    </row>
    <row r="105" spans="1:6">
      <c r="A105"/>
      <c r="B105"/>
      <c r="C105"/>
      <c r="D105"/>
      <c r="E105"/>
      <c r="F105"/>
    </row>
    <row r="106" spans="1:6">
      <c r="A106"/>
      <c r="B106"/>
      <c r="C106"/>
      <c r="D106"/>
      <c r="E106"/>
      <c r="F106"/>
    </row>
    <row r="107" spans="1:6">
      <c r="A107"/>
      <c r="B107"/>
      <c r="C107"/>
      <c r="D107"/>
      <c r="E107"/>
      <c r="F107"/>
    </row>
    <row r="108" spans="1:6">
      <c r="A108"/>
      <c r="B108"/>
      <c r="C108"/>
      <c r="D108"/>
      <c r="E108"/>
      <c r="F108"/>
    </row>
    <row r="109" spans="1:6">
      <c r="A109"/>
      <c r="B109"/>
      <c r="C109"/>
      <c r="D109"/>
      <c r="E109"/>
      <c r="F109"/>
    </row>
    <row r="110" spans="1:6">
      <c r="A110"/>
      <c r="B110"/>
      <c r="C110"/>
      <c r="D110"/>
      <c r="E110"/>
      <c r="F110"/>
    </row>
    <row r="111" spans="1:6">
      <c r="A111"/>
      <c r="B111"/>
      <c r="C111"/>
      <c r="D111"/>
      <c r="E111"/>
      <c r="F111"/>
    </row>
    <row r="112" spans="1:6">
      <c r="A112"/>
      <c r="B112"/>
      <c r="C112"/>
      <c r="D112"/>
      <c r="E112"/>
      <c r="F112"/>
    </row>
    <row r="113" spans="1:6">
      <c r="A113"/>
      <c r="B113"/>
      <c r="C113"/>
      <c r="D113"/>
      <c r="E113"/>
      <c r="F113"/>
    </row>
    <row r="114" spans="1:6">
      <c r="A114"/>
      <c r="B114"/>
      <c r="C114"/>
      <c r="D114"/>
      <c r="E114"/>
      <c r="F114"/>
    </row>
    <row r="115" spans="1:6">
      <c r="A115"/>
      <c r="B115"/>
      <c r="C115"/>
      <c r="D115"/>
      <c r="E115"/>
      <c r="F115"/>
    </row>
    <row r="116" spans="1:6">
      <c r="A116"/>
      <c r="B116"/>
      <c r="C116"/>
      <c r="D116"/>
      <c r="E116"/>
      <c r="F116"/>
    </row>
    <row r="117" spans="1:6">
      <c r="A117"/>
      <c r="B117"/>
      <c r="C117"/>
      <c r="D117"/>
      <c r="E117"/>
      <c r="F117"/>
    </row>
    <row r="118" spans="1:6">
      <c r="A118"/>
      <c r="B118"/>
      <c r="C118"/>
      <c r="D118"/>
      <c r="E118"/>
      <c r="F118"/>
    </row>
    <row r="119" spans="1:6">
      <c r="A119"/>
      <c r="B119"/>
      <c r="C119"/>
      <c r="D119"/>
      <c r="E119"/>
      <c r="F119"/>
    </row>
    <row r="120" spans="1:6">
      <c r="A120"/>
      <c r="B120"/>
      <c r="C120"/>
      <c r="D120"/>
      <c r="E120"/>
      <c r="F120"/>
    </row>
    <row r="121" spans="1:6">
      <c r="A121"/>
      <c r="B121"/>
      <c r="C121"/>
      <c r="D121"/>
      <c r="E121"/>
      <c r="F121"/>
    </row>
    <row r="122" spans="1:6">
      <c r="A122"/>
      <c r="B122"/>
      <c r="C122"/>
      <c r="D122"/>
      <c r="E122"/>
      <c r="F122"/>
    </row>
    <row r="123" spans="1:6">
      <c r="A123"/>
      <c r="B123"/>
      <c r="C123"/>
      <c r="D123"/>
      <c r="E123"/>
      <c r="F123"/>
    </row>
    <row r="124" spans="1:6">
      <c r="A124"/>
      <c r="B124"/>
      <c r="C124"/>
      <c r="D124"/>
      <c r="E124"/>
      <c r="F124"/>
    </row>
    <row r="125" spans="1:6">
      <c r="A125"/>
      <c r="B125"/>
      <c r="C125"/>
      <c r="D125"/>
      <c r="E125"/>
      <c r="F125"/>
    </row>
    <row r="126" spans="1:6">
      <c r="A126"/>
      <c r="B126"/>
      <c r="C126"/>
      <c r="D126"/>
      <c r="E126"/>
      <c r="F126"/>
    </row>
    <row r="127" spans="1:6">
      <c r="A127"/>
      <c r="B127"/>
      <c r="C127"/>
      <c r="D127"/>
      <c r="E127"/>
      <c r="F127"/>
    </row>
    <row r="128" spans="1:6">
      <c r="A128"/>
      <c r="B128"/>
      <c r="C128"/>
      <c r="D128"/>
      <c r="E128"/>
      <c r="F128"/>
    </row>
    <row r="129" spans="1:6">
      <c r="A129"/>
      <c r="B129"/>
      <c r="C129"/>
      <c r="D129"/>
      <c r="E129"/>
      <c r="F129"/>
    </row>
    <row r="130" spans="1:6">
      <c r="A130"/>
      <c r="B130"/>
      <c r="C130"/>
      <c r="D130"/>
      <c r="E130"/>
      <c r="F130"/>
    </row>
    <row r="131" spans="1:6">
      <c r="A131"/>
      <c r="B131"/>
      <c r="C131"/>
      <c r="D131"/>
      <c r="E131"/>
      <c r="F131"/>
    </row>
    <row r="132" spans="1:6">
      <c r="A132"/>
      <c r="B132"/>
      <c r="C132"/>
      <c r="D132"/>
      <c r="E132"/>
      <c r="F132"/>
    </row>
    <row r="133" spans="1:6">
      <c r="A133"/>
      <c r="B133"/>
      <c r="C133"/>
      <c r="D133"/>
      <c r="E133"/>
      <c r="F133"/>
    </row>
    <row r="134" spans="1:6">
      <c r="A134"/>
      <c r="B134"/>
      <c r="C134"/>
      <c r="D134"/>
      <c r="E134"/>
      <c r="F134"/>
    </row>
    <row r="135" spans="1:6">
      <c r="A135"/>
      <c r="B135"/>
      <c r="C135"/>
      <c r="D135"/>
      <c r="E135"/>
      <c r="F135"/>
    </row>
    <row r="136" spans="1:6">
      <c r="A136"/>
      <c r="B136"/>
      <c r="C136"/>
      <c r="D136"/>
      <c r="E136"/>
      <c r="F136"/>
    </row>
    <row r="137" spans="1:6">
      <c r="A137"/>
      <c r="B137"/>
      <c r="C137"/>
      <c r="D137"/>
      <c r="E137"/>
      <c r="F137"/>
    </row>
    <row r="138" spans="1:6">
      <c r="A138"/>
      <c r="B138"/>
      <c r="C138"/>
      <c r="D138"/>
      <c r="E138"/>
      <c r="F138"/>
    </row>
    <row r="139" spans="1:6">
      <c r="A139"/>
      <c r="B139"/>
      <c r="C139"/>
      <c r="D139"/>
      <c r="E139"/>
      <c r="F139"/>
    </row>
    <row r="140" spans="1:6">
      <c r="A140"/>
      <c r="B140"/>
      <c r="C140"/>
      <c r="D140"/>
      <c r="E140"/>
      <c r="F140"/>
    </row>
    <row r="141" spans="1:6">
      <c r="A141"/>
      <c r="B141"/>
      <c r="C141"/>
      <c r="D141"/>
      <c r="E141"/>
      <c r="F141"/>
    </row>
    <row r="142" spans="1:6">
      <c r="A142"/>
      <c r="B142"/>
      <c r="C142"/>
      <c r="D142"/>
      <c r="E142"/>
      <c r="F142"/>
    </row>
    <row r="143" spans="1:6">
      <c r="A143"/>
      <c r="B143"/>
      <c r="C143"/>
      <c r="D143"/>
      <c r="E143"/>
      <c r="F143"/>
    </row>
    <row r="144" spans="1:6">
      <c r="A144"/>
      <c r="B144"/>
      <c r="C144"/>
      <c r="D144"/>
      <c r="E144"/>
      <c r="F144"/>
    </row>
    <row r="145" spans="1:6">
      <c r="A145"/>
      <c r="B145"/>
      <c r="C145"/>
      <c r="D145"/>
      <c r="E145"/>
      <c r="F145"/>
    </row>
    <row r="146" spans="1:6">
      <c r="A146"/>
      <c r="B146"/>
      <c r="C146"/>
      <c r="D146"/>
      <c r="E146"/>
      <c r="F146"/>
    </row>
    <row r="147" spans="1:6">
      <c r="A147"/>
      <c r="B147"/>
      <c r="C147"/>
      <c r="D147"/>
      <c r="E147"/>
      <c r="F147"/>
    </row>
    <row r="148" spans="1:6">
      <c r="A148"/>
      <c r="B148"/>
      <c r="C148"/>
      <c r="D148"/>
      <c r="E148"/>
      <c r="F148"/>
    </row>
    <row r="149" spans="1:6">
      <c r="A149"/>
      <c r="B149"/>
      <c r="C149"/>
      <c r="D149"/>
      <c r="E149"/>
      <c r="F149"/>
    </row>
    <row r="150" spans="1:6">
      <c r="A150"/>
      <c r="B150"/>
      <c r="C150"/>
      <c r="D150"/>
      <c r="E150"/>
      <c r="F150"/>
    </row>
    <row r="151" spans="1:6">
      <c r="A151"/>
      <c r="B151"/>
      <c r="C151"/>
      <c r="D151"/>
      <c r="E151"/>
      <c r="F151"/>
    </row>
    <row r="152" spans="1:6">
      <c r="A152"/>
      <c r="B152"/>
      <c r="C152"/>
      <c r="D152"/>
      <c r="E152"/>
      <c r="F152"/>
    </row>
    <row r="153" spans="1:6">
      <c r="A153"/>
      <c r="B153"/>
      <c r="C153"/>
      <c r="D153"/>
      <c r="E153"/>
      <c r="F153"/>
    </row>
    <row r="154" spans="1:6">
      <c r="A154"/>
      <c r="B154"/>
      <c r="C154"/>
      <c r="D154"/>
      <c r="E154"/>
      <c r="F154"/>
    </row>
    <row r="155" spans="1:6">
      <c r="A155"/>
      <c r="B155"/>
      <c r="C155"/>
      <c r="D155"/>
      <c r="E155"/>
      <c r="F155"/>
    </row>
    <row r="156" spans="1:6">
      <c r="A156"/>
      <c r="B156"/>
      <c r="C156"/>
      <c r="D156"/>
      <c r="E156"/>
      <c r="F156"/>
    </row>
    <row r="157" spans="1:6">
      <c r="A157"/>
      <c r="B157"/>
      <c r="C157"/>
      <c r="D157"/>
      <c r="E157"/>
      <c r="F157"/>
    </row>
    <row r="158" spans="1:6">
      <c r="A158"/>
      <c r="B158"/>
      <c r="C158"/>
      <c r="D158"/>
      <c r="E158"/>
      <c r="F158"/>
    </row>
    <row r="159" spans="1:6">
      <c r="A159"/>
      <c r="B159"/>
      <c r="C159"/>
      <c r="D159"/>
      <c r="E159"/>
      <c r="F159"/>
    </row>
    <row r="160" spans="1:6">
      <c r="A160"/>
      <c r="B160"/>
      <c r="C160"/>
      <c r="D160"/>
      <c r="E160"/>
      <c r="F160"/>
    </row>
    <row r="161" spans="1:6">
      <c r="A161"/>
      <c r="B161"/>
      <c r="C161"/>
      <c r="D161"/>
      <c r="E161"/>
      <c r="F161"/>
    </row>
    <row r="162" spans="1:6">
      <c r="A162"/>
      <c r="B162"/>
      <c r="C162"/>
      <c r="D162"/>
      <c r="E162"/>
      <c r="F162"/>
    </row>
    <row r="163" spans="1:6">
      <c r="A163"/>
      <c r="B163"/>
      <c r="C163"/>
      <c r="D163"/>
      <c r="E163"/>
      <c r="F163"/>
    </row>
    <row r="164" spans="1:6">
      <c r="A164"/>
      <c r="B164"/>
      <c r="C164"/>
      <c r="D164"/>
      <c r="E164"/>
      <c r="F164"/>
    </row>
    <row r="165" spans="1:6">
      <c r="A165"/>
      <c r="B165"/>
      <c r="C165"/>
      <c r="D165"/>
      <c r="E165"/>
      <c r="F165"/>
    </row>
    <row r="166" spans="1:6">
      <c r="A166"/>
      <c r="B166"/>
      <c r="C166"/>
      <c r="D166"/>
      <c r="E166"/>
      <c r="F166"/>
    </row>
    <row r="167" spans="1:6">
      <c r="A167"/>
      <c r="B167"/>
      <c r="C167"/>
      <c r="D167"/>
      <c r="E167"/>
      <c r="F167"/>
    </row>
    <row r="168" spans="1:6">
      <c r="A168"/>
      <c r="B168"/>
      <c r="C168"/>
      <c r="D168"/>
      <c r="E168"/>
      <c r="F168"/>
    </row>
    <row r="169" spans="1:6">
      <c r="A169"/>
      <c r="B169"/>
      <c r="C169"/>
      <c r="D169"/>
      <c r="E169"/>
      <c r="F169"/>
    </row>
    <row r="170" spans="1:6">
      <c r="A170"/>
      <c r="B170"/>
      <c r="C170"/>
      <c r="D170"/>
      <c r="E170"/>
      <c r="F170"/>
    </row>
    <row r="171" spans="1:6">
      <c r="A171"/>
      <c r="B171"/>
      <c r="C171"/>
      <c r="D171"/>
      <c r="E171"/>
      <c r="F171"/>
    </row>
    <row r="172" spans="1:6">
      <c r="A172"/>
      <c r="B172"/>
      <c r="C172"/>
      <c r="D172"/>
      <c r="E172"/>
      <c r="F172"/>
    </row>
    <row r="173" spans="1:6">
      <c r="A173"/>
      <c r="B173"/>
      <c r="C173"/>
      <c r="D173"/>
      <c r="E173"/>
      <c r="F173"/>
    </row>
    <row r="174" spans="1:6">
      <c r="A174"/>
      <c r="B174"/>
      <c r="C174"/>
      <c r="D174"/>
      <c r="E174"/>
      <c r="F174"/>
    </row>
    <row r="175" spans="1:6">
      <c r="A175"/>
      <c r="B175"/>
      <c r="C175"/>
      <c r="D175"/>
      <c r="E175"/>
      <c r="F175"/>
    </row>
    <row r="176" spans="1:6">
      <c r="A176"/>
      <c r="B176"/>
      <c r="C176"/>
      <c r="D176"/>
      <c r="E176"/>
      <c r="F176"/>
    </row>
    <row r="177" spans="1:6">
      <c r="A177"/>
      <c r="B177"/>
      <c r="C177"/>
      <c r="D177"/>
      <c r="E177"/>
      <c r="F177"/>
    </row>
    <row r="178" spans="1:6">
      <c r="A178"/>
      <c r="B178"/>
      <c r="C178"/>
      <c r="D178"/>
      <c r="E178"/>
      <c r="F178"/>
    </row>
    <row r="179" spans="1:6">
      <c r="A179"/>
      <c r="B179"/>
      <c r="C179"/>
      <c r="D179"/>
      <c r="E179"/>
      <c r="F179"/>
    </row>
    <row r="180" spans="1:6">
      <c r="A180"/>
      <c r="B180"/>
      <c r="C180"/>
      <c r="D180"/>
      <c r="E180"/>
      <c r="F180"/>
    </row>
    <row r="181" spans="1:6">
      <c r="A181"/>
      <c r="B181"/>
      <c r="C181"/>
      <c r="D181"/>
      <c r="E181"/>
      <c r="F181"/>
    </row>
    <row r="182" spans="1:6">
      <c r="A182"/>
      <c r="B182"/>
      <c r="C182"/>
      <c r="D182"/>
      <c r="E182"/>
      <c r="F182"/>
    </row>
    <row r="183" spans="1:6">
      <c r="A183"/>
      <c r="B183"/>
      <c r="C183"/>
      <c r="D183"/>
      <c r="E183"/>
      <c r="F183"/>
    </row>
    <row r="184" spans="1:6">
      <c r="A184"/>
      <c r="B184"/>
      <c r="C184"/>
      <c r="D184"/>
      <c r="E184"/>
      <c r="F184"/>
    </row>
    <row r="185" spans="1:6">
      <c r="A185"/>
      <c r="B185"/>
      <c r="C185"/>
      <c r="D185"/>
      <c r="E185"/>
      <c r="F185"/>
    </row>
    <row r="186" spans="1:6">
      <c r="A186"/>
      <c r="B186"/>
      <c r="C186"/>
      <c r="D186"/>
      <c r="E186"/>
      <c r="F186"/>
    </row>
    <row r="187" spans="1:6">
      <c r="A187"/>
      <c r="B187"/>
      <c r="C187"/>
      <c r="D187"/>
      <c r="E187"/>
      <c r="F187"/>
    </row>
  </sheetData>
  <conditionalFormatting sqref="B2:B71">
    <cfRule type="cellIs" dxfId="56" priority="81" stopIfTrue="1" operator="equal">
      <formula>0</formula>
    </cfRule>
  </conditionalFormatting>
  <conditionalFormatting sqref="G57:DA57">
    <cfRule type="cellIs" dxfId="55" priority="21" operator="greaterThan">
      <formula>0</formula>
    </cfRule>
    <cfRule type="cellIs" dxfId="54" priority="22" operator="greaterThan">
      <formula>0</formula>
    </cfRule>
  </conditionalFormatting>
  <conditionalFormatting sqref="G3:DC44">
    <cfRule type="cellIs" dxfId="53" priority="72" operator="greaterThan">
      <formula>0</formula>
    </cfRule>
    <cfRule type="cellIs" dxfId="52" priority="71" operator="greaterThan">
      <formula>35.15</formula>
    </cfRule>
  </conditionalFormatting>
  <conditionalFormatting sqref="G3:DC53">
    <cfRule type="cellIs" dxfId="51" priority="49" operator="greaterThan">
      <formula>0</formula>
    </cfRule>
    <cfRule type="cellIs" dxfId="50" priority="50" operator="greaterThan">
      <formula>0</formula>
    </cfRule>
  </conditionalFormatting>
  <conditionalFormatting sqref="G49:DC51">
    <cfRule type="cellIs" dxfId="49" priority="124" operator="greaterThan">
      <formula>0</formula>
    </cfRule>
    <cfRule type="cellIs" dxfId="48" priority="123" operator="greaterThan">
      <formula>35.15</formula>
    </cfRule>
  </conditionalFormatting>
  <conditionalFormatting sqref="G61:DC62">
    <cfRule type="cellIs" dxfId="47" priority="115" operator="greaterThan">
      <formula>0</formula>
    </cfRule>
    <cfRule type="cellIs" dxfId="46" priority="114" operator="greaterThan">
      <formula>35.15</formula>
    </cfRule>
  </conditionalFormatting>
  <conditionalFormatting sqref="G61:DC71">
    <cfRule type="cellIs" dxfId="45" priority="74" operator="greaterThan">
      <formula>0</formula>
    </cfRule>
    <cfRule type="cellIs" dxfId="44" priority="73" operator="greaterThan">
      <formula>0</formula>
    </cfRule>
  </conditionalFormatting>
  <conditionalFormatting sqref="G68:DC68">
    <cfRule type="cellIs" dxfId="43" priority="75" operator="greaterThan">
      <formula>35.15</formula>
    </cfRule>
    <cfRule type="cellIs" dxfId="42" priority="76" operator="greaterThan">
      <formula>0</formula>
    </cfRule>
  </conditionalFormatting>
  <conditionalFormatting sqref="H45:H48 N45:N48">
    <cfRule type="cellIs" dxfId="41" priority="59" operator="greaterThan">
      <formula>35.15</formula>
    </cfRule>
    <cfRule type="cellIs" dxfId="40" priority="60" operator="greaterThan">
      <formula>0</formula>
    </cfRule>
  </conditionalFormatting>
  <conditionalFormatting sqref="H52:H53 N52:N53">
    <cfRule type="cellIs" dxfId="39" priority="51" operator="greaterThan">
      <formula>35.15</formula>
    </cfRule>
    <cfRule type="cellIs" dxfId="38" priority="52" operator="greaterThan">
      <formula>0</formula>
    </cfRule>
  </conditionalFormatting>
  <conditionalFormatting sqref="H54:H56 N54:N56">
    <cfRule type="cellIs" dxfId="37" priority="27" operator="greaterThan">
      <formula>35.15</formula>
    </cfRule>
    <cfRule type="cellIs" dxfId="36" priority="28" operator="greaterThan">
      <formula>0</formula>
    </cfRule>
  </conditionalFormatting>
  <conditionalFormatting sqref="H57 N57">
    <cfRule type="cellIs" dxfId="35" priority="24" operator="greaterThan">
      <formula>0</formula>
    </cfRule>
    <cfRule type="cellIs" dxfId="34" priority="23" operator="greaterThan">
      <formula>35.15</formula>
    </cfRule>
  </conditionalFormatting>
  <conditionalFormatting sqref="H58 N58">
    <cfRule type="cellIs" dxfId="33" priority="20" operator="greaterThan">
      <formula>0</formula>
    </cfRule>
    <cfRule type="cellIs" dxfId="32" priority="19" operator="greaterThan">
      <formula>35.15</formula>
    </cfRule>
    <cfRule type="cellIs" dxfId="31" priority="18" operator="greaterThan">
      <formula>0</formula>
    </cfRule>
    <cfRule type="cellIs" dxfId="30" priority="17" operator="greaterThan">
      <formula>0</formula>
    </cfRule>
  </conditionalFormatting>
  <conditionalFormatting sqref="H59:H60 N59:N60">
    <cfRule type="cellIs" dxfId="29" priority="3" operator="greaterThan">
      <formula>35.15</formula>
    </cfRule>
    <cfRule type="cellIs" dxfId="28" priority="4" operator="greaterThan">
      <formula>0</formula>
    </cfRule>
  </conditionalFormatting>
  <conditionalFormatting sqref="H63 N63 G64:DC65 H66:H67 N66:N67 H69:H71 N69:N71">
    <cfRule type="cellIs" dxfId="27" priority="456" operator="greaterThan">
      <formula>35.15</formula>
    </cfRule>
    <cfRule type="cellIs" dxfId="26" priority="457" operator="greaterThan">
      <formula>0</formula>
    </cfRule>
  </conditionalFormatting>
  <conditionalFormatting sqref="H54:DA56">
    <cfRule type="cellIs" dxfId="25" priority="26" operator="greaterThan">
      <formula>0</formula>
    </cfRule>
    <cfRule type="cellIs" dxfId="24" priority="25" operator="greaterThan">
      <formula>0</formula>
    </cfRule>
  </conditionalFormatting>
  <conditionalFormatting sqref="H59:DA60">
    <cfRule type="cellIs" dxfId="23" priority="1" operator="greaterThan">
      <formula>0</formula>
    </cfRule>
    <cfRule type="cellIs" dxfId="22" priority="2" operator="greaterThan">
      <formula>0</formula>
    </cfRule>
  </conditionalFormatting>
  <conditionalFormatting sqref="CF58">
    <cfRule type="cellIs" dxfId="21" priority="16" operator="greaterThan">
      <formula>0</formula>
    </cfRule>
    <cfRule type="cellIs" dxfId="20" priority="15" operator="greaterThan">
      <formula>0</formula>
    </cfRule>
  </conditionalFormatting>
  <conditionalFormatting sqref="CL58">
    <cfRule type="cellIs" dxfId="19" priority="13" operator="greaterThan">
      <formula>0</formula>
    </cfRule>
    <cfRule type="cellIs" dxfId="18" priority="14" operator="greaterThan">
      <formula>0</formula>
    </cfRule>
  </conditionalFormatting>
  <conditionalFormatting sqref="CN58">
    <cfRule type="cellIs" dxfId="17" priority="11" operator="greaterThan">
      <formula>0</formula>
    </cfRule>
    <cfRule type="cellIs" dxfId="16" priority="12" operator="greaterThan">
      <formula>0</formula>
    </cfRule>
  </conditionalFormatting>
  <conditionalFormatting sqref="CP58">
    <cfRule type="cellIs" dxfId="15" priority="9" operator="greaterThan">
      <formula>0</formula>
    </cfRule>
    <cfRule type="cellIs" dxfId="14" priority="10" operator="greaterThan">
      <formula>0</formula>
    </cfRule>
  </conditionalFormatting>
  <conditionalFormatting sqref="DF54:DJ54">
    <cfRule type="cellIs" dxfId="13" priority="35" operator="greaterThan">
      <formula>0</formula>
    </cfRule>
    <cfRule type="cellIs" dxfId="12" priority="36" operator="greaterThan">
      <formula>0</formula>
    </cfRule>
  </conditionalFormatting>
  <pageMargins left="0.59055118110236227" right="0.59055118110236227" top="0.78740157480314965" bottom="0.78740157480314965" header="0.39370078740157483" footer="0.39370078740157483"/>
  <pageSetup paperSize="8" scale="55" fitToWidth="30" fitToHeight="2" orientation="landscape" blackAndWhite="1" horizontalDpi="300" verticalDpi="300" r:id="rId1"/>
  <headerFooter alignWithMargins="0"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7" tint="0.39997558519241921"/>
    <pageSetUpPr autoPageBreaks="0"/>
  </sheetPr>
  <dimension ref="A3:AI28"/>
  <sheetViews>
    <sheetView view="pageBreakPreview" topLeftCell="B1" zoomScaleNormal="85" zoomScaleSheetLayoutView="100" workbookViewId="0">
      <selection activeCell="AG1" sqref="AG1"/>
    </sheetView>
  </sheetViews>
  <sheetFormatPr defaultColWidth="11.42578125" defaultRowHeight="12.75"/>
  <cols>
    <col min="1" max="1" width="1.85546875" style="187" customWidth="1"/>
    <col min="2" max="2" width="4.5703125" style="187" customWidth="1"/>
    <col min="3" max="4" width="8.7109375" style="187" customWidth="1"/>
    <col min="5" max="5" width="7.28515625" style="187" customWidth="1"/>
    <col min="6" max="6" width="8.7109375" style="187" customWidth="1"/>
    <col min="7" max="7" width="8.42578125" style="187" customWidth="1"/>
    <col min="8" max="8" width="10.7109375" style="187" customWidth="1"/>
    <col min="9" max="9" width="7.28515625" style="187" customWidth="1"/>
    <col min="10" max="10" width="8.140625" style="187" customWidth="1"/>
    <col min="11" max="11" width="15.7109375" style="187" customWidth="1"/>
    <col min="12" max="12" width="7.42578125" style="187" customWidth="1"/>
    <col min="13" max="13" width="4.7109375" style="187" customWidth="1"/>
    <col min="14" max="14" width="7.5703125" style="187" customWidth="1"/>
    <col min="15" max="15" width="7.28515625" style="187" customWidth="1"/>
    <col min="16" max="18" width="7.7109375" style="187" customWidth="1"/>
    <col min="19" max="19" width="9.28515625" style="187" customWidth="1"/>
    <col min="20" max="20" width="8.28515625" style="187" customWidth="1"/>
    <col min="21" max="21" width="6.140625" style="187" customWidth="1"/>
    <col min="22" max="22" width="8.42578125" style="187" customWidth="1"/>
    <col min="23" max="23" width="6.42578125" style="187" customWidth="1"/>
    <col min="24" max="24" width="5" style="187" customWidth="1"/>
    <col min="25" max="26" width="7.28515625" style="187" customWidth="1"/>
    <col min="27" max="27" width="7.140625" style="187" customWidth="1"/>
    <col min="28" max="28" width="7.7109375" style="187" customWidth="1"/>
    <col min="29" max="29" width="8.7109375" style="187" customWidth="1"/>
    <col min="30" max="30" width="11" style="187" customWidth="1"/>
    <col min="31" max="31" width="11.5703125" style="187" customWidth="1"/>
    <col min="32" max="32" width="5.85546875" style="187" customWidth="1"/>
    <col min="33" max="33" width="10" style="187" customWidth="1"/>
    <col min="34" max="34" width="13.7109375" style="187" hidden="1" customWidth="1"/>
    <col min="35" max="35" width="17.140625" style="187" hidden="1" customWidth="1"/>
    <col min="36" max="16384" width="11.42578125" style="187"/>
  </cols>
  <sheetData>
    <row r="3" spans="2:3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2:35" ht="18" customHeight="1">
      <c r="B4" s="401" t="s">
        <v>14</v>
      </c>
      <c r="C4" s="349"/>
      <c r="D4" s="349"/>
      <c r="E4" s="350"/>
      <c r="F4" s="494" t="s">
        <v>26</v>
      </c>
      <c r="G4" s="495"/>
      <c r="H4" s="497" t="s">
        <v>224</v>
      </c>
      <c r="I4" s="498"/>
      <c r="J4" s="498"/>
      <c r="K4" s="498"/>
      <c r="L4" s="498"/>
      <c r="M4" s="498"/>
      <c r="N4" s="498"/>
      <c r="O4" s="498"/>
      <c r="P4" s="498"/>
      <c r="Q4" s="498"/>
      <c r="R4" s="498"/>
      <c r="S4" s="498"/>
      <c r="T4" s="499"/>
      <c r="U4" s="533">
        <v>1</v>
      </c>
      <c r="V4" s="534"/>
      <c r="W4" s="527"/>
      <c r="X4" s="528"/>
      <c r="Y4" s="21" t="s">
        <v>15</v>
      </c>
      <c r="Z4" s="344"/>
      <c r="AA4" s="18"/>
      <c r="AB4" s="18"/>
      <c r="AC4" s="243"/>
      <c r="AD4" s="223"/>
      <c r="AE4" s="223"/>
      <c r="AF4" s="223"/>
      <c r="AG4" s="243"/>
      <c r="AH4" s="243"/>
      <c r="AI4" s="321"/>
    </row>
    <row r="5" spans="2:35" ht="15.75" customHeight="1">
      <c r="B5" s="488" t="s">
        <v>446</v>
      </c>
      <c r="C5" s="489"/>
      <c r="D5" s="489"/>
      <c r="E5" s="490"/>
      <c r="F5" s="496">
        <v>1</v>
      </c>
      <c r="G5" s="496"/>
      <c r="H5" s="500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2"/>
      <c r="U5" s="535"/>
      <c r="V5" s="536"/>
      <c r="W5" s="529"/>
      <c r="X5" s="530"/>
      <c r="Y5" s="506" t="s">
        <v>447</v>
      </c>
      <c r="Z5" s="507"/>
      <c r="AA5" s="507"/>
      <c r="AB5" s="507"/>
      <c r="AC5" s="507"/>
      <c r="AD5" s="507"/>
      <c r="AE5" s="507"/>
      <c r="AF5" s="507"/>
      <c r="AG5" s="507"/>
      <c r="AH5" s="507"/>
      <c r="AI5" s="508"/>
    </row>
    <row r="6" spans="2:35" ht="15.75" customHeight="1">
      <c r="B6" s="491"/>
      <c r="C6" s="492"/>
      <c r="D6" s="492"/>
      <c r="E6" s="493"/>
      <c r="F6" s="496"/>
      <c r="G6" s="496"/>
      <c r="H6" s="500"/>
      <c r="I6" s="501"/>
      <c r="J6" s="501"/>
      <c r="K6" s="501"/>
      <c r="L6" s="501"/>
      <c r="M6" s="501"/>
      <c r="N6" s="501"/>
      <c r="O6" s="501"/>
      <c r="P6" s="501"/>
      <c r="Q6" s="501"/>
      <c r="R6" s="501"/>
      <c r="S6" s="501"/>
      <c r="T6" s="502"/>
      <c r="U6" s="537"/>
      <c r="V6" s="538"/>
      <c r="W6" s="531"/>
      <c r="X6" s="532"/>
      <c r="Y6" s="506"/>
      <c r="Z6" s="507"/>
      <c r="AA6" s="507"/>
      <c r="AB6" s="507"/>
      <c r="AC6" s="507"/>
      <c r="AD6" s="507"/>
      <c r="AE6" s="507"/>
      <c r="AF6" s="507"/>
      <c r="AG6" s="507"/>
      <c r="AH6" s="507"/>
      <c r="AI6" s="508"/>
    </row>
    <row r="7" spans="2:35" ht="15" customHeight="1">
      <c r="B7" s="401" t="s">
        <v>60</v>
      </c>
      <c r="C7" s="347"/>
      <c r="D7" s="436" t="s">
        <v>380</v>
      </c>
      <c r="E7" s="348"/>
      <c r="F7" s="496"/>
      <c r="G7" s="496"/>
      <c r="H7" s="503"/>
      <c r="I7" s="504"/>
      <c r="J7" s="504"/>
      <c r="K7" s="504"/>
      <c r="L7" s="504"/>
      <c r="M7" s="504"/>
      <c r="N7" s="504"/>
      <c r="O7" s="504"/>
      <c r="P7" s="504"/>
      <c r="Q7" s="504"/>
      <c r="R7" s="504"/>
      <c r="S7" s="504"/>
      <c r="T7" s="505"/>
      <c r="U7" s="223"/>
      <c r="V7" s="223"/>
      <c r="W7" s="2"/>
      <c r="X7" s="2"/>
      <c r="Y7" s="506"/>
      <c r="Z7" s="507"/>
      <c r="AA7" s="507"/>
      <c r="AB7" s="507"/>
      <c r="AC7" s="507"/>
      <c r="AD7" s="507"/>
      <c r="AE7" s="507"/>
      <c r="AF7" s="507"/>
      <c r="AG7" s="507"/>
      <c r="AH7" s="507"/>
      <c r="AI7" s="508"/>
    </row>
    <row r="8" spans="2:35" ht="15" customHeight="1">
      <c r="B8" s="476"/>
      <c r="C8" s="477"/>
      <c r="D8" s="477"/>
      <c r="E8" s="478"/>
      <c r="F8" s="482"/>
      <c r="G8" s="483"/>
      <c r="H8" s="483"/>
      <c r="I8" s="483"/>
      <c r="J8" s="483"/>
      <c r="K8" s="483"/>
      <c r="L8" s="483"/>
      <c r="M8" s="483"/>
      <c r="N8" s="483"/>
      <c r="O8" s="483"/>
      <c r="P8" s="483"/>
      <c r="Q8" s="483"/>
      <c r="R8" s="483"/>
      <c r="S8" s="483"/>
      <c r="T8" s="484"/>
      <c r="U8" s="5" t="s">
        <v>13</v>
      </c>
      <c r="V8" s="6"/>
      <c r="W8" s="7"/>
      <c r="X8" s="7"/>
      <c r="Y8" s="239"/>
      <c r="Z8" s="240"/>
      <c r="AA8" s="240"/>
      <c r="AB8" s="240"/>
      <c r="AC8" s="240"/>
      <c r="AD8" s="240"/>
      <c r="AE8" s="240"/>
      <c r="AF8" s="240"/>
      <c r="AG8" s="240"/>
      <c r="AH8" s="240"/>
      <c r="AI8" s="322"/>
    </row>
    <row r="9" spans="2:35" ht="12.75" customHeight="1">
      <c r="B9" s="479"/>
      <c r="C9" s="480"/>
      <c r="D9" s="480"/>
      <c r="E9" s="481"/>
      <c r="F9" s="485"/>
      <c r="G9" s="486"/>
      <c r="H9" s="486"/>
      <c r="I9" s="486"/>
      <c r="J9" s="486"/>
      <c r="K9" s="486"/>
      <c r="L9" s="486"/>
      <c r="M9" s="486"/>
      <c r="N9" s="486"/>
      <c r="O9" s="486"/>
      <c r="P9" s="486"/>
      <c r="Q9" s="486"/>
      <c r="R9" s="486"/>
      <c r="S9" s="486"/>
      <c r="T9" s="487"/>
      <c r="U9" s="8" t="s">
        <v>29</v>
      </c>
      <c r="V9" s="9"/>
      <c r="W9" s="242"/>
      <c r="X9" s="242"/>
      <c r="Y9" s="19" t="s">
        <v>61</v>
      </c>
      <c r="Z9" s="345"/>
      <c r="AA9" s="241"/>
      <c r="AB9" s="241"/>
      <c r="AC9" s="324" t="s">
        <v>448</v>
      </c>
      <c r="AD9" s="244"/>
      <c r="AE9" s="244"/>
      <c r="AF9" s="244"/>
      <c r="AG9" s="320"/>
      <c r="AH9" s="320"/>
      <c r="AI9" s="323"/>
    </row>
    <row r="10" spans="2:35">
      <c r="B10" s="418" t="s">
        <v>210</v>
      </c>
      <c r="C10" s="419">
        <v>1</v>
      </c>
      <c r="D10" s="10"/>
      <c r="E10" s="10"/>
      <c r="F10" s="10"/>
      <c r="G10" s="10"/>
      <c r="H10" s="10"/>
      <c r="I10" s="10"/>
      <c r="J10" s="10"/>
      <c r="K10" s="11"/>
      <c r="L10" s="11"/>
      <c r="M10" s="12"/>
      <c r="N10" s="12"/>
      <c r="O10" s="12"/>
      <c r="P10" s="12"/>
      <c r="Q10" s="13"/>
      <c r="R10" s="14"/>
      <c r="S10" s="14"/>
      <c r="T10" s="14"/>
      <c r="U10" s="11"/>
      <c r="V10" s="11"/>
      <c r="W10" s="12"/>
      <c r="X10" s="17"/>
      <c r="Y10" s="17"/>
      <c r="Z10" s="17"/>
      <c r="AA10" s="17"/>
      <c r="AB10" s="17"/>
      <c r="AC10" s="2"/>
      <c r="AD10" s="2"/>
      <c r="AE10" s="2"/>
      <c r="AF10" s="2"/>
      <c r="AG10" s="3"/>
      <c r="AH10" s="3"/>
    </row>
    <row r="11" spans="2:35" ht="12.75" customHeight="1">
      <c r="B11" s="512" t="s">
        <v>12</v>
      </c>
      <c r="C11" s="15" t="s">
        <v>185</v>
      </c>
      <c r="D11" s="16"/>
      <c r="E11" s="15"/>
      <c r="F11" s="15" t="s">
        <v>136</v>
      </c>
      <c r="G11" s="221"/>
      <c r="H11" s="16" t="s">
        <v>168</v>
      </c>
      <c r="I11" s="16"/>
      <c r="J11" s="15"/>
      <c r="K11" s="221"/>
      <c r="L11" s="247" t="s">
        <v>11</v>
      </c>
      <c r="M11" s="248"/>
      <c r="N11" s="248"/>
      <c r="O11" s="248"/>
      <c r="P11" s="248"/>
      <c r="Q11" s="248"/>
      <c r="R11" s="249"/>
      <c r="S11" s="16" t="s">
        <v>3</v>
      </c>
      <c r="T11" s="224"/>
      <c r="U11" s="224"/>
      <c r="V11" s="225"/>
      <c r="W11" s="16" t="s">
        <v>7</v>
      </c>
      <c r="X11" s="224"/>
      <c r="Y11" s="225"/>
      <c r="Z11" s="224"/>
      <c r="AA11" s="246" t="s">
        <v>10</v>
      </c>
      <c r="AB11" s="458" t="s">
        <v>220</v>
      </c>
      <c r="AC11" s="474" t="s">
        <v>186</v>
      </c>
      <c r="AD11" s="458" t="s">
        <v>212</v>
      </c>
      <c r="AE11" s="458" t="s">
        <v>211</v>
      </c>
      <c r="AF11" s="474" t="s">
        <v>166</v>
      </c>
      <c r="AG11" s="515" t="s">
        <v>188</v>
      </c>
      <c r="AH11" s="458" t="s">
        <v>236</v>
      </c>
      <c r="AI11" s="509" t="s">
        <v>216</v>
      </c>
    </row>
    <row r="12" spans="2:35" ht="35.25" customHeight="1">
      <c r="B12" s="513"/>
      <c r="C12" s="520" t="s">
        <v>162</v>
      </c>
      <c r="D12" s="518" t="s">
        <v>163</v>
      </c>
      <c r="E12" s="463" t="s">
        <v>182</v>
      </c>
      <c r="F12" s="465" t="s">
        <v>103</v>
      </c>
      <c r="G12" s="463" t="s">
        <v>171</v>
      </c>
      <c r="H12" s="467" t="s">
        <v>173</v>
      </c>
      <c r="I12" s="469" t="s">
        <v>174</v>
      </c>
      <c r="J12" s="469" t="s">
        <v>172</v>
      </c>
      <c r="K12" s="463" t="s">
        <v>169</v>
      </c>
      <c r="L12" s="523" t="s">
        <v>30</v>
      </c>
      <c r="M12" s="523" t="s">
        <v>164</v>
      </c>
      <c r="N12" s="525" t="s">
        <v>219</v>
      </c>
      <c r="O12" s="456" t="s">
        <v>218</v>
      </c>
      <c r="P12" s="471" t="s">
        <v>251</v>
      </c>
      <c r="Q12" s="472"/>
      <c r="R12" s="473"/>
      <c r="S12" s="295" t="s">
        <v>9</v>
      </c>
      <c r="T12" s="289" t="s">
        <v>165</v>
      </c>
      <c r="U12" s="289" t="s">
        <v>31</v>
      </c>
      <c r="V12" s="229" t="s">
        <v>170</v>
      </c>
      <c r="W12" s="292" t="s">
        <v>121</v>
      </c>
      <c r="X12" s="293" t="s">
        <v>122</v>
      </c>
      <c r="Y12" s="290" t="s">
        <v>234</v>
      </c>
      <c r="Z12" s="290" t="s">
        <v>235</v>
      </c>
      <c r="AA12" s="474" t="s">
        <v>134</v>
      </c>
      <c r="AB12" s="459"/>
      <c r="AC12" s="522"/>
      <c r="AD12" s="461"/>
      <c r="AE12" s="461"/>
      <c r="AF12" s="522"/>
      <c r="AG12" s="516"/>
      <c r="AH12" s="461"/>
      <c r="AI12" s="510"/>
    </row>
    <row r="13" spans="2:35" ht="12.75" customHeight="1">
      <c r="B13" s="514"/>
      <c r="C13" s="521"/>
      <c r="D13" s="519"/>
      <c r="E13" s="464"/>
      <c r="F13" s="466"/>
      <c r="G13" s="464"/>
      <c r="H13" s="468"/>
      <c r="I13" s="470"/>
      <c r="J13" s="470"/>
      <c r="K13" s="464"/>
      <c r="L13" s="524"/>
      <c r="M13" s="524"/>
      <c r="N13" s="526"/>
      <c r="O13" s="457"/>
      <c r="P13" s="250" t="s">
        <v>56</v>
      </c>
      <c r="Q13" s="251" t="s">
        <v>252</v>
      </c>
      <c r="R13" s="252" t="s">
        <v>253</v>
      </c>
      <c r="S13" s="218" t="s">
        <v>20</v>
      </c>
      <c r="T13" s="217" t="s">
        <v>65</v>
      </c>
      <c r="U13" s="222" t="s">
        <v>32</v>
      </c>
      <c r="V13" s="228" t="s">
        <v>181</v>
      </c>
      <c r="W13" s="296" t="s">
        <v>8</v>
      </c>
      <c r="X13" s="294" t="s">
        <v>8</v>
      </c>
      <c r="Y13" s="291" t="s">
        <v>8</v>
      </c>
      <c r="Z13" s="291" t="s">
        <v>8</v>
      </c>
      <c r="AA13" s="475"/>
      <c r="AB13" s="460"/>
      <c r="AC13" s="475"/>
      <c r="AD13" s="462"/>
      <c r="AE13" s="462"/>
      <c r="AF13" s="475"/>
      <c r="AG13" s="517"/>
      <c r="AH13" s="462"/>
      <c r="AI13" s="511"/>
    </row>
    <row r="14" spans="2:35">
      <c r="B14" s="100"/>
      <c r="C14" s="100"/>
      <c r="D14" s="100"/>
      <c r="E14" s="230"/>
      <c r="F14" s="121"/>
      <c r="G14" s="121"/>
      <c r="H14" s="100"/>
      <c r="I14" s="100"/>
      <c r="J14" s="100"/>
      <c r="K14" s="100"/>
      <c r="L14" s="100"/>
      <c r="M14" s="332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21"/>
      <c r="AC14" s="100"/>
      <c r="AD14" s="100"/>
      <c r="AE14" s="287"/>
      <c r="AF14" s="227"/>
      <c r="AG14" s="227"/>
      <c r="AH14" s="100"/>
      <c r="AI14" s="100"/>
    </row>
    <row r="15" spans="2:35">
      <c r="B15" s="100"/>
      <c r="C15" s="100"/>
      <c r="D15" s="100"/>
      <c r="E15" s="230"/>
      <c r="F15" s="121"/>
      <c r="G15" s="121"/>
      <c r="H15" s="100"/>
      <c r="I15" s="100"/>
      <c r="J15" s="100"/>
      <c r="K15" s="100"/>
      <c r="L15" s="100"/>
      <c r="M15" s="332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21"/>
      <c r="AC15" s="100"/>
      <c r="AD15" s="100"/>
      <c r="AE15" s="287"/>
      <c r="AF15" s="227"/>
      <c r="AG15" s="227"/>
      <c r="AH15" s="100"/>
      <c r="AI15" s="100"/>
    </row>
    <row r="16" spans="2:35">
      <c r="B16" s="100"/>
      <c r="C16" s="100"/>
      <c r="D16" s="100"/>
      <c r="E16" s="230"/>
      <c r="F16" s="121"/>
      <c r="G16" s="121"/>
      <c r="H16" s="100"/>
      <c r="I16" s="100"/>
      <c r="J16" s="100"/>
      <c r="K16" s="100"/>
      <c r="L16" s="100"/>
      <c r="M16" s="332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21"/>
      <c r="AC16" s="100"/>
      <c r="AD16" s="100"/>
      <c r="AE16" s="287"/>
      <c r="AF16" s="227"/>
      <c r="AG16" s="227"/>
    </row>
    <row r="17" spans="1:35">
      <c r="B17" s="273" t="s">
        <v>207</v>
      </c>
      <c r="C17" s="273"/>
      <c r="D17" s="273"/>
      <c r="E17"/>
      <c r="F17" s="273" t="s">
        <v>208</v>
      </c>
      <c r="G17" s="273"/>
      <c r="H17" s="273"/>
      <c r="I17" s="273"/>
      <c r="J17" s="273"/>
      <c r="K17" s="273"/>
      <c r="L17"/>
      <c r="M17"/>
      <c r="N17"/>
      <c r="O17"/>
      <c r="Q17" s="273" t="s">
        <v>209</v>
      </c>
      <c r="R17" s="273"/>
      <c r="S17" s="273"/>
      <c r="U17" s="273" t="s">
        <v>7</v>
      </c>
      <c r="V17" s="273"/>
      <c r="W17" s="278"/>
      <c r="AA17" s="273" t="s">
        <v>10</v>
      </c>
      <c r="AB17" s="273"/>
      <c r="AC17"/>
      <c r="AD17" s="278"/>
      <c r="AE17"/>
      <c r="AF17" s="278"/>
      <c r="AG17" s="278"/>
      <c r="AH17" s="278"/>
      <c r="AI17"/>
    </row>
    <row r="18" spans="1:35">
      <c r="B18" s="275" t="s">
        <v>371</v>
      </c>
      <c r="C18" s="276"/>
      <c r="D18" s="277">
        <f ca="1">SUMIF(OFFSET($O$15,0,0,$C$10),B18,OFFSET($L$15,0,0,$C$10))</f>
        <v>0</v>
      </c>
      <c r="E18" s="278"/>
      <c r="F18" s="275" t="s">
        <v>2</v>
      </c>
      <c r="G18" s="279">
        <f t="shared" ref="G18:G27" ca="1" si="0">COUNTIF(OFFSET($C$15:$D$15,0,0,$C$10),F18)</f>
        <v>0</v>
      </c>
      <c r="H18" s="275" t="s">
        <v>385</v>
      </c>
      <c r="I18" s="279">
        <f t="shared" ref="I18:I27" ca="1" si="1">COUNTIF(OFFSET($C$15:$D$15,0,0,$C$10),H18)</f>
        <v>0</v>
      </c>
      <c r="J18" s="275" t="s">
        <v>309</v>
      </c>
      <c r="K18" s="279">
        <f t="shared" ref="K18:K27" ca="1" si="2">COUNTIF(OFFSET($C$15:$D$15,0,0,$C$10),J18)</f>
        <v>0</v>
      </c>
      <c r="L18"/>
      <c r="M18"/>
      <c r="N18"/>
      <c r="O18"/>
      <c r="Q18" s="275" t="s">
        <v>0</v>
      </c>
      <c r="R18" s="280"/>
      <c r="S18" s="286">
        <f ca="1">SUMIF(OFFSET($T$15,0,0,$C$10),Q18,OFFSET($S$15,0,0,$C$10))*F_COND/1000</f>
        <v>0</v>
      </c>
      <c r="T18" s="284"/>
      <c r="U18" s="275" t="s">
        <v>121</v>
      </c>
      <c r="V18" s="274">
        <f ca="1">SUM(OFFSET($W$15,0,0,$C$10))</f>
        <v>0</v>
      </c>
      <c r="W18" s="278"/>
      <c r="AA18" s="275" t="s">
        <v>1</v>
      </c>
      <c r="AB18" s="274">
        <f ca="1">COUNTIF(OFFSET($AA$15,0,0,$C$10),AA18)</f>
        <v>0</v>
      </c>
      <c r="AC18" s="278"/>
      <c r="AD18" s="278"/>
      <c r="AE18" s="283"/>
      <c r="AI18" s="278"/>
    </row>
    <row r="19" spans="1:35">
      <c r="B19" s="275" t="s">
        <v>346</v>
      </c>
      <c r="C19" s="276"/>
      <c r="D19" s="277">
        <f ca="1">SUMIF(OFFSET($O$15,0,0,$C$10),B19,OFFSET($L$15,0,0,$C$10))</f>
        <v>0</v>
      </c>
      <c r="E19" s="278"/>
      <c r="F19" s="275" t="s">
        <v>202</v>
      </c>
      <c r="G19" s="279">
        <f t="shared" ca="1" si="0"/>
        <v>0</v>
      </c>
      <c r="H19" s="275" t="s">
        <v>308</v>
      </c>
      <c r="I19" s="279">
        <f t="shared" ca="1" si="1"/>
        <v>0</v>
      </c>
      <c r="J19" s="275" t="s">
        <v>307</v>
      </c>
      <c r="K19" s="279">
        <f t="shared" ca="1" si="2"/>
        <v>0</v>
      </c>
      <c r="L19"/>
      <c r="M19"/>
      <c r="N19"/>
      <c r="O19"/>
      <c r="Q19" s="275" t="s">
        <v>352</v>
      </c>
      <c r="R19" s="280"/>
      <c r="S19" s="286">
        <f ca="1">SUMIF(OFFSET($T$15,0,0,$C$10),Q19,OFFSET($S$15,0,0,$C$10))*F_COND/1000</f>
        <v>0</v>
      </c>
      <c r="U19" s="275" t="s">
        <v>122</v>
      </c>
      <c r="V19" s="274">
        <f ca="1">SUM(OFFSET($X$15,0,0,$C$10))</f>
        <v>0</v>
      </c>
      <c r="W19" s="278"/>
      <c r="AA19" s="275" t="s">
        <v>370</v>
      </c>
      <c r="AB19" s="274">
        <f ca="1">COUNTIF(OFFSET($AA$15,0,0,$C$10),AA19)</f>
        <v>0</v>
      </c>
      <c r="AC19" s="278"/>
      <c r="AD19" s="278"/>
      <c r="AE19" s="283"/>
      <c r="AI19" s="278"/>
    </row>
    <row r="20" spans="1:35">
      <c r="A20"/>
      <c r="B20" s="275" t="s">
        <v>378</v>
      </c>
      <c r="C20" s="276"/>
      <c r="D20" s="277">
        <f ca="1">SUMIF(OFFSET($O$15,0,0,$C$10),B20,OFFSET($L$15,0,0,$C$10))</f>
        <v>0</v>
      </c>
      <c r="E20" s="278"/>
      <c r="F20" s="275" t="s">
        <v>108</v>
      </c>
      <c r="G20" s="279">
        <f t="shared" ca="1" si="0"/>
        <v>0</v>
      </c>
      <c r="H20" s="275" t="s">
        <v>310</v>
      </c>
      <c r="I20" s="279">
        <f t="shared" ca="1" si="1"/>
        <v>0</v>
      </c>
      <c r="J20" s="275" t="s">
        <v>313</v>
      </c>
      <c r="K20" s="279">
        <f t="shared" ca="1" si="2"/>
        <v>0</v>
      </c>
      <c r="L20"/>
      <c r="M20"/>
      <c r="O20"/>
      <c r="Q20" s="275" t="s">
        <v>63</v>
      </c>
      <c r="R20" s="280"/>
      <c r="S20" s="286">
        <f ca="1">SUMIF(OFFSET($T$15,0,0,$C$10),Q20,OFFSET($S$15,0,0,$C$10))*F_COND/1000</f>
        <v>0</v>
      </c>
      <c r="U20" s="275" t="s">
        <v>234</v>
      </c>
      <c r="V20" s="274">
        <f ca="1">SUM(OFFSET($Y$15,0,0,$C$10))</f>
        <v>0</v>
      </c>
      <c r="AC20" s="278"/>
      <c r="AI20" s="278"/>
    </row>
    <row r="21" spans="1:35">
      <c r="B21"/>
      <c r="C21"/>
      <c r="D21"/>
      <c r="E21" s="278"/>
      <c r="F21" s="275" t="s">
        <v>25</v>
      </c>
      <c r="G21" s="279">
        <f t="shared" ca="1" si="0"/>
        <v>0</v>
      </c>
      <c r="H21" s="275" t="s">
        <v>311</v>
      </c>
      <c r="I21" s="279">
        <f t="shared" ca="1" si="1"/>
        <v>0</v>
      </c>
      <c r="J21" s="275" t="s">
        <v>324</v>
      </c>
      <c r="K21" s="279">
        <f t="shared" ca="1" si="2"/>
        <v>0</v>
      </c>
      <c r="L21"/>
      <c r="M21"/>
      <c r="N21"/>
      <c r="O21"/>
      <c r="U21" s="275" t="s">
        <v>235</v>
      </c>
      <c r="V21" s="274">
        <f ca="1">SUM(OFFSET($Y$15,0,0,$C$10))</f>
        <v>0</v>
      </c>
      <c r="AC21" s="278"/>
      <c r="AI21" s="278"/>
    </row>
    <row r="22" spans="1:35" ht="12.75" customHeight="1">
      <c r="B22"/>
      <c r="C22"/>
      <c r="D22"/>
      <c r="E22" s="278"/>
      <c r="F22" s="275" t="s">
        <v>109</v>
      </c>
      <c r="G22" s="279">
        <f t="shared" ca="1" si="0"/>
        <v>0</v>
      </c>
      <c r="H22" s="275" t="s">
        <v>318</v>
      </c>
      <c r="I22" s="279">
        <f t="shared" ca="1" si="1"/>
        <v>0</v>
      </c>
      <c r="J22" s="275" t="s">
        <v>319</v>
      </c>
      <c r="K22" s="279">
        <f t="shared" ca="1" si="2"/>
        <v>0</v>
      </c>
      <c r="L22"/>
      <c r="M22"/>
      <c r="N22"/>
      <c r="O22"/>
      <c r="Q22" s="273" t="s">
        <v>213</v>
      </c>
      <c r="R22" s="273"/>
      <c r="S22" s="273"/>
      <c r="V22"/>
      <c r="W22"/>
    </row>
    <row r="23" spans="1:35">
      <c r="B23"/>
      <c r="C23"/>
      <c r="D23"/>
      <c r="E23" s="278"/>
      <c r="F23" s="275" t="s">
        <v>24</v>
      </c>
      <c r="G23" s="279">
        <f t="shared" ca="1" si="0"/>
        <v>0</v>
      </c>
      <c r="H23" s="275" t="s">
        <v>314</v>
      </c>
      <c r="I23" s="279">
        <f t="shared" ca="1" si="1"/>
        <v>0</v>
      </c>
      <c r="J23" s="275" t="s">
        <v>327</v>
      </c>
      <c r="K23" s="279">
        <f t="shared" ca="1" si="2"/>
        <v>0</v>
      </c>
      <c r="L23"/>
      <c r="M23"/>
      <c r="N23"/>
      <c r="O23"/>
      <c r="Q23" s="274">
        <f ca="1">SUM(OFFSET($V$15,0,0,$C$10))</f>
        <v>0</v>
      </c>
      <c r="R23" s="282"/>
      <c r="S23" s="281"/>
      <c r="V23"/>
      <c r="W23"/>
    </row>
    <row r="24" spans="1:35">
      <c r="B24"/>
      <c r="C24"/>
      <c r="D24"/>
      <c r="E24" s="278"/>
      <c r="F24" s="275" t="s">
        <v>326</v>
      </c>
      <c r="G24" s="279">
        <f t="shared" ca="1" si="0"/>
        <v>0</v>
      </c>
      <c r="H24" s="275" t="s">
        <v>111</v>
      </c>
      <c r="I24" s="279">
        <f t="shared" ca="1" si="1"/>
        <v>0</v>
      </c>
      <c r="J24" s="275" t="s">
        <v>316</v>
      </c>
      <c r="K24" s="279">
        <f t="shared" ca="1" si="2"/>
        <v>0</v>
      </c>
      <c r="L24"/>
      <c r="M24"/>
      <c r="N24"/>
      <c r="O24"/>
      <c r="V24" s="278"/>
    </row>
    <row r="25" spans="1:35">
      <c r="B25"/>
      <c r="C25"/>
      <c r="D25"/>
      <c r="E25" s="278"/>
      <c r="F25" s="275" t="s">
        <v>6</v>
      </c>
      <c r="G25" s="279">
        <f t="shared" ca="1" si="0"/>
        <v>0</v>
      </c>
      <c r="H25" s="275" t="s">
        <v>269</v>
      </c>
      <c r="I25" s="279">
        <f t="shared" ca="1" si="1"/>
        <v>0</v>
      </c>
      <c r="J25" s="187" t="s">
        <v>323</v>
      </c>
      <c r="K25" s="279">
        <f t="shared" ca="1" si="2"/>
        <v>0</v>
      </c>
      <c r="L25"/>
      <c r="M25"/>
      <c r="N25"/>
      <c r="O25"/>
      <c r="V25" s="278"/>
    </row>
    <row r="26" spans="1:35">
      <c r="B26" s="278"/>
      <c r="C26" s="278"/>
      <c r="D26" s="278"/>
      <c r="E26" s="278"/>
      <c r="F26" s="275" t="s">
        <v>64</v>
      </c>
      <c r="G26" s="279">
        <f t="shared" ca="1" si="0"/>
        <v>0</v>
      </c>
      <c r="H26" s="275" t="s">
        <v>320</v>
      </c>
      <c r="I26" s="279">
        <f t="shared" ca="1" si="1"/>
        <v>0</v>
      </c>
      <c r="J26" s="187" t="s">
        <v>384</v>
      </c>
      <c r="K26" s="279">
        <f t="shared" ca="1" si="2"/>
        <v>0</v>
      </c>
      <c r="L26"/>
      <c r="M26"/>
      <c r="N26"/>
      <c r="O26"/>
      <c r="V26" s="278"/>
    </row>
    <row r="27" spans="1:35">
      <c r="B27" s="285"/>
      <c r="C27" s="285"/>
      <c r="D27" s="285"/>
      <c r="E27" s="285"/>
      <c r="F27" s="275" t="s">
        <v>110</v>
      </c>
      <c r="G27" s="279">
        <f t="shared" ca="1" si="0"/>
        <v>0</v>
      </c>
      <c r="H27" s="275" t="s">
        <v>379</v>
      </c>
      <c r="I27" s="279">
        <f t="shared" ca="1" si="1"/>
        <v>0</v>
      </c>
      <c r="J27" s="275" t="s">
        <v>383</v>
      </c>
      <c r="K27" s="279">
        <f t="shared" ca="1" si="2"/>
        <v>0</v>
      </c>
      <c r="L27"/>
      <c r="M27"/>
      <c r="N27"/>
      <c r="O27"/>
      <c r="V27" s="278"/>
    </row>
    <row r="28" spans="1:35"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</row>
  </sheetData>
  <mergeCells count="33">
    <mergeCell ref="Y5:AI7"/>
    <mergeCell ref="AI11:AI13"/>
    <mergeCell ref="B11:B13"/>
    <mergeCell ref="AG11:AG13"/>
    <mergeCell ref="D12:D13"/>
    <mergeCell ref="C12:C13"/>
    <mergeCell ref="AE11:AE13"/>
    <mergeCell ref="AF11:AF13"/>
    <mergeCell ref="J12:J13"/>
    <mergeCell ref="K12:K13"/>
    <mergeCell ref="L12:L13"/>
    <mergeCell ref="M12:M13"/>
    <mergeCell ref="N12:N13"/>
    <mergeCell ref="AC11:AC13"/>
    <mergeCell ref="W4:X6"/>
    <mergeCell ref="U4:V6"/>
    <mergeCell ref="B8:E9"/>
    <mergeCell ref="F8:T9"/>
    <mergeCell ref="B5:E6"/>
    <mergeCell ref="F4:G4"/>
    <mergeCell ref="F5:G7"/>
    <mergeCell ref="H4:T7"/>
    <mergeCell ref="O12:O13"/>
    <mergeCell ref="AB11:AB13"/>
    <mergeCell ref="AH11:AH13"/>
    <mergeCell ref="E12:E13"/>
    <mergeCell ref="F12:F13"/>
    <mergeCell ref="G12:G13"/>
    <mergeCell ref="H12:H13"/>
    <mergeCell ref="I12:I13"/>
    <mergeCell ref="P12:R12"/>
    <mergeCell ref="AA12:AA13"/>
    <mergeCell ref="AD11:AD13"/>
  </mergeCells>
  <conditionalFormatting sqref="E14:E16">
    <cfRule type="expression" dxfId="11" priority="10">
      <formula>OR(E14=1)</formula>
    </cfRule>
  </conditionalFormatting>
  <conditionalFormatting sqref="G14:G16">
    <cfRule type="cellIs" dxfId="10" priority="9" operator="greaterThan">
      <formula>1650</formula>
    </cfRule>
  </conditionalFormatting>
  <conditionalFormatting sqref="J14:J16">
    <cfRule type="expression" dxfId="9" priority="11">
      <formula>J14="0°"</formula>
    </cfRule>
  </conditionalFormatting>
  <conditionalFormatting sqref="S14:S16">
    <cfRule type="expression" dxfId="8" priority="5">
      <formula>S14="AAAC-70"</formula>
    </cfRule>
  </conditionalFormatting>
  <conditionalFormatting sqref="T14:T16">
    <cfRule type="cellIs" dxfId="7" priority="4" operator="greaterThan">
      <formula>1</formula>
    </cfRule>
  </conditionalFormatting>
  <conditionalFormatting sqref="V14:W16">
    <cfRule type="expression" dxfId="6" priority="8">
      <formula>V14&gt;0</formula>
    </cfRule>
  </conditionalFormatting>
  <conditionalFormatting sqref="X14:X16">
    <cfRule type="expression" dxfId="5" priority="7">
      <formula>X14="PAT-1"</formula>
    </cfRule>
  </conditionalFormatting>
  <conditionalFormatting sqref="X14:Z16">
    <cfRule type="expression" dxfId="4" priority="3">
      <formula>X14="CIM1"</formula>
    </cfRule>
  </conditionalFormatting>
  <conditionalFormatting sqref="Y14:Z16">
    <cfRule type="expression" dxfId="3" priority="2">
      <formula>Y14="CIM4"</formula>
    </cfRule>
    <cfRule type="expression" dxfId="2" priority="6">
      <formula>Y14="CIM3"</formula>
    </cfRule>
  </conditionalFormatting>
  <conditionalFormatting sqref="AD14:AD16">
    <cfRule type="expression" dxfId="1" priority="1">
      <formula>AD14="S"</formula>
    </cfRule>
  </conditionalFormatting>
  <printOptions horizontalCentered="1"/>
  <pageMargins left="0.70866141732283472" right="0.70866141732283472" top="0.74803149606299213" bottom="0.74803149606299213" header="0.59055118110236227" footer="0.31496062992125984"/>
  <pageSetup paperSize="9" scale="51" fitToHeight="10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theme="5" tint="0.39997558519241921"/>
    <pageSetUpPr autoPageBreaks="0"/>
  </sheetPr>
  <dimension ref="A1:M192"/>
  <sheetViews>
    <sheetView showGridLines="0" showZeros="0" view="pageBreakPreview" topLeftCell="A28" zoomScale="115" zoomScaleNormal="100" zoomScaleSheetLayoutView="115" workbookViewId="0">
      <selection activeCell="C68" sqref="C68"/>
    </sheetView>
  </sheetViews>
  <sheetFormatPr defaultColWidth="11.42578125" defaultRowHeight="12.75"/>
  <cols>
    <col min="1" max="1" width="7.7109375" style="117" customWidth="1"/>
    <col min="2" max="2" width="1.28515625" style="201" customWidth="1"/>
    <col min="3" max="3" width="66.7109375" style="117" customWidth="1"/>
    <col min="4" max="4" width="7.7109375" style="117" customWidth="1"/>
    <col min="5" max="7" width="13.7109375" style="117" customWidth="1"/>
    <col min="8" max="8" width="13.7109375" style="102" customWidth="1"/>
    <col min="9" max="9" width="13.7109375" style="117" customWidth="1"/>
    <col min="10" max="10" width="11.5703125"/>
    <col min="11" max="11" width="11.42578125" style="117" customWidth="1"/>
    <col min="12" max="16384" width="11.42578125" style="117"/>
  </cols>
  <sheetData>
    <row r="1" spans="1:9" s="117" customFormat="1" ht="9" customHeight="1">
      <c r="A1" s="113"/>
      <c r="B1" s="200"/>
      <c r="C1" s="333" t="s">
        <v>12</v>
      </c>
      <c r="D1" s="220"/>
      <c r="F1" s="214"/>
      <c r="G1" s="245"/>
      <c r="H1" s="215"/>
      <c r="I1" s="26"/>
    </row>
    <row r="2" spans="1:9" s="117" customFormat="1" ht="9" customHeight="1">
      <c r="A2" s="113"/>
      <c r="B2" s="200"/>
      <c r="C2" s="333" t="s">
        <v>185</v>
      </c>
      <c r="D2" s="219" t="s">
        <v>162</v>
      </c>
      <c r="F2" s="204"/>
      <c r="G2" s="213"/>
      <c r="H2" s="216"/>
      <c r="I2" s="26"/>
    </row>
    <row r="3" spans="1:9" s="117" customFormat="1" ht="9" customHeight="1">
      <c r="A3" s="113"/>
      <c r="B3" s="200"/>
      <c r="C3" s="333"/>
      <c r="D3" s="219" t="s">
        <v>163</v>
      </c>
      <c r="F3" s="204"/>
      <c r="G3" s="213"/>
      <c r="H3" s="216"/>
      <c r="I3" s="26"/>
    </row>
    <row r="4" spans="1:9" s="117" customFormat="1" ht="9" customHeight="1">
      <c r="A4" s="113"/>
      <c r="B4" s="200"/>
      <c r="C4" s="333"/>
      <c r="D4" s="219" t="s">
        <v>182</v>
      </c>
      <c r="F4" s="204"/>
      <c r="G4" s="213"/>
      <c r="H4" s="216"/>
      <c r="I4" s="26"/>
    </row>
    <row r="5" spans="1:9" s="117" customFormat="1" ht="9" customHeight="1">
      <c r="A5" s="113"/>
      <c r="B5" s="200"/>
      <c r="C5" s="333" t="s">
        <v>136</v>
      </c>
      <c r="D5" s="219" t="s">
        <v>103</v>
      </c>
      <c r="F5" s="204"/>
      <c r="G5" s="213"/>
      <c r="H5" s="216"/>
      <c r="I5" s="26"/>
    </row>
    <row r="6" spans="1:9" s="117" customFormat="1" ht="9" customHeight="1">
      <c r="A6" s="113"/>
      <c r="B6" s="200"/>
      <c r="C6" s="333"/>
      <c r="D6" s="219" t="s">
        <v>171</v>
      </c>
      <c r="F6" s="204"/>
      <c r="G6" s="219"/>
      <c r="H6" s="216"/>
      <c r="I6" s="26"/>
    </row>
    <row r="7" spans="1:9" s="117" customFormat="1" ht="9" customHeight="1">
      <c r="A7" s="113"/>
      <c r="B7" s="200"/>
      <c r="C7" s="333" t="s">
        <v>168</v>
      </c>
      <c r="D7" s="219" t="s">
        <v>173</v>
      </c>
      <c r="F7" s="204"/>
      <c r="G7" s="219"/>
      <c r="H7" s="216"/>
      <c r="I7" s="26"/>
    </row>
    <row r="8" spans="1:9" s="117" customFormat="1" ht="9" customHeight="1">
      <c r="A8" s="113"/>
      <c r="B8" s="200"/>
      <c r="C8" s="333"/>
      <c r="D8" s="219" t="s">
        <v>174</v>
      </c>
      <c r="F8" s="204"/>
      <c r="G8" s="219"/>
      <c r="H8" s="216"/>
      <c r="I8" s="26"/>
    </row>
    <row r="9" spans="1:9" s="117" customFormat="1" ht="9" customHeight="1">
      <c r="A9" s="113"/>
      <c r="B9" s="200"/>
      <c r="C9" s="333"/>
      <c r="D9" s="219" t="s">
        <v>172</v>
      </c>
      <c r="F9" s="204"/>
      <c r="G9" s="219"/>
      <c r="H9" s="216"/>
      <c r="I9" s="26"/>
    </row>
    <row r="10" spans="1:9" s="117" customFormat="1" ht="9" customHeight="1">
      <c r="A10" s="113"/>
      <c r="B10" s="200"/>
      <c r="C10" s="333"/>
      <c r="D10" s="219" t="s">
        <v>169</v>
      </c>
      <c r="F10" s="204"/>
      <c r="G10" s="219"/>
      <c r="H10" s="216"/>
      <c r="I10" s="26"/>
    </row>
    <row r="11" spans="1:9" s="117" customFormat="1" ht="9" customHeight="1">
      <c r="A11" s="113"/>
      <c r="B11" s="200"/>
      <c r="C11" s="539" t="s">
        <v>11</v>
      </c>
      <c r="D11" s="219" t="s">
        <v>30</v>
      </c>
      <c r="F11" s="204"/>
      <c r="G11" s="219"/>
      <c r="H11" s="216"/>
      <c r="I11" s="26"/>
    </row>
    <row r="12" spans="1:9" s="117" customFormat="1" ht="9" customHeight="1">
      <c r="A12" s="113"/>
      <c r="B12" s="200"/>
      <c r="C12" s="540"/>
      <c r="D12" s="219" t="s">
        <v>164</v>
      </c>
      <c r="F12" s="204"/>
      <c r="G12" s="219"/>
      <c r="H12" s="216"/>
      <c r="I12" s="26"/>
    </row>
    <row r="13" spans="1:9" s="117" customFormat="1" ht="9" customHeight="1">
      <c r="A13" s="113"/>
      <c r="B13" s="200"/>
      <c r="C13" s="540"/>
      <c r="D13" s="219" t="s">
        <v>219</v>
      </c>
      <c r="F13" s="204"/>
      <c r="G13" s="219"/>
      <c r="H13" s="216"/>
      <c r="I13" s="26"/>
    </row>
    <row r="14" spans="1:9" s="117" customFormat="1" ht="9" customHeight="1">
      <c r="A14" s="113"/>
      <c r="B14" s="200"/>
      <c r="C14" s="541"/>
      <c r="D14" s="219" t="s">
        <v>218</v>
      </c>
      <c r="F14" s="204"/>
      <c r="G14" s="219"/>
      <c r="H14" s="216"/>
      <c r="I14" s="26"/>
    </row>
    <row r="15" spans="1:9" s="117" customFormat="1" ht="9" customHeight="1">
      <c r="A15" s="113"/>
      <c r="B15" s="200"/>
      <c r="C15" s="553" t="s">
        <v>187</v>
      </c>
      <c r="D15" s="219" t="s">
        <v>33</v>
      </c>
      <c r="F15" s="204"/>
      <c r="G15" s="219"/>
      <c r="H15" s="216"/>
      <c r="I15" s="26"/>
    </row>
    <row r="16" spans="1:9" s="117" customFormat="1" ht="9" customHeight="1">
      <c r="A16" s="113"/>
      <c r="B16" s="200"/>
      <c r="C16" s="554"/>
      <c r="D16" s="219" t="s">
        <v>34</v>
      </c>
      <c r="F16" s="204"/>
      <c r="G16" s="219"/>
      <c r="H16" s="216"/>
      <c r="I16" s="26"/>
    </row>
    <row r="17" spans="1:9" s="117" customFormat="1" ht="9" customHeight="1">
      <c r="A17" s="113"/>
      <c r="B17" s="200"/>
      <c r="C17" s="555"/>
      <c r="D17" s="219" t="s">
        <v>97</v>
      </c>
      <c r="F17" s="204"/>
      <c r="G17" s="219"/>
      <c r="H17" s="216"/>
      <c r="I17" s="26"/>
    </row>
    <row r="18" spans="1:9" s="117" customFormat="1" ht="9" customHeight="1">
      <c r="A18" s="113"/>
      <c r="B18" s="200"/>
      <c r="C18" s="539" t="s">
        <v>3</v>
      </c>
      <c r="D18" s="219" t="s">
        <v>9</v>
      </c>
      <c r="F18" s="204"/>
      <c r="G18" s="213"/>
      <c r="H18" s="216"/>
      <c r="I18" s="26"/>
    </row>
    <row r="19" spans="1:9" s="117" customFormat="1" ht="9" customHeight="1">
      <c r="A19" s="113"/>
      <c r="B19" s="200"/>
      <c r="C19" s="540"/>
      <c r="D19" s="219" t="s">
        <v>165</v>
      </c>
      <c r="F19" s="204"/>
      <c r="G19" s="219"/>
      <c r="H19" s="216"/>
      <c r="I19" s="26"/>
    </row>
    <row r="20" spans="1:9" s="117" customFormat="1" ht="9" customHeight="1">
      <c r="A20" s="113"/>
      <c r="B20" s="200"/>
      <c r="C20" s="540"/>
      <c r="D20" s="219" t="s">
        <v>31</v>
      </c>
      <c r="F20" s="204"/>
      <c r="G20" s="219"/>
      <c r="H20" s="216"/>
      <c r="I20" s="26"/>
    </row>
    <row r="21" spans="1:9" s="117" customFormat="1" ht="9" customHeight="1">
      <c r="A21" s="113"/>
      <c r="B21" s="200"/>
      <c r="C21" s="541"/>
      <c r="D21" s="219" t="s">
        <v>170</v>
      </c>
      <c r="F21" s="204"/>
      <c r="G21" s="219"/>
      <c r="H21" s="216"/>
      <c r="I21" s="26"/>
    </row>
    <row r="22" spans="1:9" s="117" customFormat="1" ht="9" customHeight="1">
      <c r="A22" s="113"/>
      <c r="B22" s="200"/>
      <c r="C22" s="539" t="s">
        <v>7</v>
      </c>
      <c r="D22" s="219" t="s">
        <v>121</v>
      </c>
      <c r="F22" s="204"/>
      <c r="G22" s="219"/>
      <c r="H22" s="216"/>
      <c r="I22" s="26"/>
    </row>
    <row r="23" spans="1:9" s="117" customFormat="1" ht="9" customHeight="1">
      <c r="A23" s="113"/>
      <c r="B23" s="342"/>
      <c r="C23" s="540"/>
      <c r="D23" s="219" t="s">
        <v>122</v>
      </c>
      <c r="F23" s="204"/>
      <c r="G23" s="219"/>
      <c r="H23" s="343"/>
      <c r="I23" s="26"/>
    </row>
    <row r="24" spans="1:9" s="117" customFormat="1" ht="9" customHeight="1">
      <c r="A24" s="113"/>
      <c r="B24" s="342"/>
      <c r="C24" s="540"/>
      <c r="D24" s="219" t="s">
        <v>234</v>
      </c>
      <c r="F24" s="204"/>
      <c r="G24" s="219"/>
      <c r="H24" s="343"/>
      <c r="I24" s="26"/>
    </row>
    <row r="25" spans="1:9" s="117" customFormat="1" ht="9" customHeight="1">
      <c r="A25" s="113"/>
      <c r="B25" s="342"/>
      <c r="C25" s="541"/>
      <c r="D25" s="219" t="s">
        <v>235</v>
      </c>
      <c r="F25" s="204"/>
      <c r="G25" s="219"/>
      <c r="H25" s="343"/>
      <c r="I25" s="26"/>
    </row>
    <row r="26" spans="1:9" s="117" customFormat="1" ht="9" customHeight="1">
      <c r="A26" s="113"/>
      <c r="B26" s="200"/>
      <c r="C26" s="334"/>
      <c r="D26" s="333" t="s">
        <v>10</v>
      </c>
      <c r="F26" s="204"/>
      <c r="G26" s="219"/>
      <c r="H26" s="343"/>
      <c r="I26" s="26"/>
    </row>
    <row r="27" spans="1:9" s="117" customFormat="1" ht="9" customHeight="1">
      <c r="A27" s="113"/>
      <c r="B27" s="200"/>
      <c r="C27" s="334"/>
      <c r="D27" s="333" t="s">
        <v>220</v>
      </c>
      <c r="F27" s="336"/>
      <c r="G27" s="219"/>
      <c r="H27" s="216"/>
      <c r="I27" s="26"/>
    </row>
    <row r="28" spans="1:9" s="117" customFormat="1" ht="9" customHeight="1">
      <c r="A28" s="113"/>
      <c r="B28" s="200"/>
      <c r="C28" s="334"/>
      <c r="D28" s="333" t="s">
        <v>186</v>
      </c>
      <c r="F28" s="336"/>
      <c r="G28" s="219"/>
      <c r="H28" s="20"/>
      <c r="I28" s="26"/>
    </row>
    <row r="29" spans="1:9" s="117" customFormat="1" ht="9" customHeight="1">
      <c r="A29" s="113"/>
      <c r="B29" s="200"/>
      <c r="C29" s="334"/>
      <c r="D29" s="333" t="s">
        <v>212</v>
      </c>
      <c r="F29" s="337"/>
      <c r="G29" s="199"/>
      <c r="H29" s="20"/>
      <c r="I29" s="26"/>
    </row>
    <row r="30" spans="1:9" s="117" customFormat="1" ht="9" customHeight="1">
      <c r="A30" s="113"/>
      <c r="B30" s="200"/>
      <c r="C30" s="334"/>
      <c r="D30" s="351" t="s">
        <v>211</v>
      </c>
      <c r="F30" s="266"/>
      <c r="G30" s="199"/>
      <c r="H30" s="20"/>
      <c r="I30" s="26"/>
    </row>
    <row r="31" spans="1:9" s="117" customFormat="1" ht="9" customHeight="1">
      <c r="A31" s="115"/>
      <c r="B31" s="201"/>
      <c r="C31" s="334"/>
      <c r="D31" s="351" t="s">
        <v>166</v>
      </c>
      <c r="F31" s="266"/>
      <c r="G31" s="199"/>
      <c r="H31" s="20"/>
      <c r="I31" s="26"/>
    </row>
    <row r="32" spans="1:9" s="117" customFormat="1" ht="9" customHeight="1">
      <c r="A32" s="115"/>
      <c r="B32" s="201"/>
      <c r="C32" s="334"/>
      <c r="D32" s="333" t="s">
        <v>188</v>
      </c>
      <c r="F32" s="266"/>
      <c r="G32" s="199"/>
      <c r="H32" s="20"/>
      <c r="I32" s="26"/>
    </row>
    <row r="33" spans="1:10" ht="9" customHeight="1">
      <c r="A33" s="115"/>
      <c r="C33" s="334"/>
      <c r="D33" s="333" t="s">
        <v>236</v>
      </c>
      <c r="F33" s="266"/>
      <c r="G33" s="199"/>
      <c r="H33" s="20"/>
      <c r="I33" s="26"/>
      <c r="J33" s="117"/>
    </row>
    <row r="34" spans="1:10" ht="9" customHeight="1">
      <c r="A34" s="24"/>
      <c r="B34" s="202"/>
      <c r="C34" s="334"/>
      <c r="D34" s="333" t="s">
        <v>216</v>
      </c>
      <c r="F34" s="266"/>
      <c r="G34" s="199"/>
      <c r="H34" s="20"/>
      <c r="I34" s="26"/>
      <c r="J34" s="117"/>
    </row>
    <row r="35" spans="1:10" ht="6" customHeight="1">
      <c r="A35" s="25"/>
      <c r="B35" s="203"/>
      <c r="C35" s="325"/>
      <c r="D35" s="325"/>
      <c r="E35" s="325"/>
      <c r="F35" s="325"/>
      <c r="G35" s="325"/>
      <c r="H35" s="325"/>
      <c r="I35" s="325"/>
      <c r="J35" s="117"/>
    </row>
    <row r="36" spans="1:10" ht="9" customHeight="1">
      <c r="A36" s="25"/>
      <c r="B36" s="203"/>
      <c r="C36" s="325"/>
      <c r="D36" s="325"/>
      <c r="E36" s="325"/>
      <c r="F36" s="325"/>
      <c r="G36" s="325"/>
      <c r="H36" s="325"/>
      <c r="I36" s="325"/>
      <c r="J36" s="117"/>
    </row>
    <row r="37" spans="1:10" ht="9" customHeight="1">
      <c r="A37" s="25"/>
      <c r="B37" s="203"/>
      <c r="C37" s="325"/>
      <c r="D37" s="325"/>
      <c r="E37" s="325"/>
      <c r="F37" s="325"/>
      <c r="G37" s="325"/>
      <c r="H37" s="325"/>
      <c r="I37" s="325"/>
      <c r="J37" s="117"/>
    </row>
    <row r="38" spans="1:10" ht="9" customHeight="1">
      <c r="A38" s="25"/>
      <c r="B38" s="203"/>
      <c r="D38" s="325"/>
      <c r="E38" s="325"/>
      <c r="F38" s="325"/>
      <c r="G38" s="325"/>
      <c r="H38" s="325"/>
      <c r="I38" s="325"/>
      <c r="J38" s="117"/>
    </row>
    <row r="39" spans="1:10" ht="9" customHeight="1">
      <c r="A39" s="25"/>
      <c r="B39" s="203"/>
      <c r="C39" s="325"/>
      <c r="D39"/>
      <c r="E39" s="119"/>
      <c r="F39" s="116"/>
      <c r="G39" s="115"/>
      <c r="H39" s="20"/>
      <c r="I39" s="119"/>
      <c r="J39" s="117"/>
    </row>
    <row r="40" spans="1:10" ht="9" customHeight="1">
      <c r="A40" s="25"/>
      <c r="B40" s="203"/>
      <c r="C40" s="101"/>
      <c r="D40" s="101"/>
      <c r="E40" s="119"/>
      <c r="F40" s="116"/>
      <c r="G40" s="115"/>
      <c r="H40" s="20"/>
      <c r="I40" s="119"/>
      <c r="J40" s="117"/>
    </row>
    <row r="41" spans="1:10" ht="9" customHeight="1">
      <c r="A41" s="25"/>
      <c r="B41" s="203"/>
      <c r="C41" s="101"/>
      <c r="D41" s="101"/>
      <c r="E41" s="119"/>
      <c r="F41" s="116"/>
      <c r="G41" s="115"/>
      <c r="H41" s="20"/>
      <c r="I41" s="119"/>
      <c r="J41" s="117"/>
    </row>
    <row r="42" spans="1:10" ht="9" customHeight="1">
      <c r="A42" s="25"/>
      <c r="B42" s="203"/>
      <c r="D42" s="101"/>
      <c r="E42" s="119"/>
      <c r="F42" s="116"/>
      <c r="G42" s="115"/>
      <c r="H42" s="20"/>
      <c r="I42" s="119"/>
      <c r="J42" s="117"/>
    </row>
    <row r="43" spans="1:10" ht="9" customHeight="1">
      <c r="A43" s="25"/>
      <c r="B43" s="203"/>
      <c r="C43" s="101"/>
      <c r="D43" s="101"/>
      <c r="E43" s="119"/>
      <c r="F43" s="116"/>
      <c r="G43" s="115"/>
      <c r="H43" s="20"/>
      <c r="I43" s="119"/>
      <c r="J43" s="117"/>
    </row>
    <row r="44" spans="1:10" ht="9" customHeight="1">
      <c r="A44" s="25"/>
      <c r="B44" s="203"/>
      <c r="C44" s="101"/>
      <c r="D44" s="101"/>
      <c r="E44" s="119"/>
      <c r="F44" s="116"/>
      <c r="G44" s="115"/>
      <c r="H44" s="20"/>
      <c r="I44" s="119"/>
      <c r="J44" s="117"/>
    </row>
    <row r="45" spans="1:10" ht="9" customHeight="1">
      <c r="A45" s="118"/>
      <c r="D45" s="119"/>
      <c r="E45" s="119"/>
      <c r="F45" s="116"/>
      <c r="G45" s="119"/>
      <c r="H45" s="20"/>
      <c r="I45" s="115"/>
      <c r="J45" s="117"/>
    </row>
    <row r="46" spans="1:10" ht="9" customHeight="1">
      <c r="A46" s="118"/>
      <c r="C46" s="119"/>
      <c r="D46" s="119"/>
      <c r="E46" s="119"/>
      <c r="F46" s="120"/>
      <c r="G46" s="119"/>
      <c r="J46" s="117"/>
    </row>
    <row r="47" spans="1:10">
      <c r="A47" s="335"/>
      <c r="C47" s="119"/>
      <c r="D47" s="119"/>
      <c r="E47" s="119"/>
      <c r="F47" s="116"/>
      <c r="G47" s="115"/>
      <c r="H47" s="127">
        <f>+DATOS!J47</f>
        <v>2.8571428571428571E-2</v>
      </c>
      <c r="I47" s="119"/>
      <c r="J47" s="117"/>
    </row>
    <row r="48" spans="1:10">
      <c r="A48" s="118"/>
      <c r="C48" s="119"/>
      <c r="D48" s="119"/>
      <c r="E48" s="119"/>
      <c r="F48" s="116"/>
      <c r="G48" s="115"/>
      <c r="H48" s="20"/>
      <c r="I48" s="119"/>
      <c r="J48" s="117"/>
    </row>
    <row r="49" spans="1:10" customFormat="1" ht="14.25" customHeight="1">
      <c r="A49" s="550" t="s">
        <v>27</v>
      </c>
      <c r="B49" s="544" t="s">
        <v>105</v>
      </c>
      <c r="C49" s="545"/>
      <c r="D49" s="548" t="s">
        <v>36</v>
      </c>
      <c r="E49" s="548" t="s">
        <v>159</v>
      </c>
      <c r="F49" s="552" t="s">
        <v>160</v>
      </c>
      <c r="G49" s="542" t="s">
        <v>239</v>
      </c>
      <c r="H49" s="426"/>
      <c r="I49" s="427"/>
    </row>
    <row r="50" spans="1:10" customFormat="1" ht="12.75" customHeight="1">
      <c r="A50" s="550"/>
      <c r="B50" s="546"/>
      <c r="C50" s="547"/>
      <c r="D50" s="549"/>
      <c r="E50" s="549"/>
      <c r="F50" s="552"/>
      <c r="G50" s="542"/>
      <c r="H50" s="426"/>
      <c r="I50" s="428">
        <f>+I1</f>
        <v>0</v>
      </c>
    </row>
    <row r="51" spans="1:10" customFormat="1">
      <c r="A51" s="551"/>
      <c r="B51" s="546"/>
      <c r="C51" s="547"/>
      <c r="D51" s="549"/>
      <c r="E51" s="549"/>
      <c r="F51" s="548"/>
      <c r="G51" s="543"/>
      <c r="H51" s="426"/>
      <c r="I51" s="429">
        <f>+I2</f>
        <v>0</v>
      </c>
    </row>
    <row r="52" spans="1:10" customFormat="1">
      <c r="A52" s="421"/>
      <c r="B52" s="420">
        <v>2</v>
      </c>
      <c r="C52" s="422"/>
      <c r="D52" s="423"/>
      <c r="E52" s="399"/>
      <c r="F52" s="399"/>
      <c r="G52" s="399"/>
      <c r="H52" s="426"/>
      <c r="I52" s="437">
        <f>+I3</f>
        <v>0</v>
      </c>
    </row>
    <row r="53" spans="1:10" customFormat="1">
      <c r="A53" s="359">
        <v>1</v>
      </c>
      <c r="B53" s="359">
        <f>B52+1</f>
        <v>3</v>
      </c>
      <c r="C53" s="403" t="s">
        <v>270</v>
      </c>
      <c r="D53" s="265"/>
      <c r="E53" s="398"/>
      <c r="F53" s="398"/>
      <c r="G53" s="398"/>
      <c r="H53" s="426"/>
      <c r="I53" s="424"/>
    </row>
    <row r="54" spans="1:10" customFormat="1">
      <c r="A54" s="360">
        <v>1.01</v>
      </c>
      <c r="B54" s="360">
        <f t="shared" ref="B54:B117" si="0">B53+1</f>
        <v>4</v>
      </c>
      <c r="C54" s="404" t="s">
        <v>381</v>
      </c>
      <c r="D54" s="265" t="s">
        <v>17</v>
      </c>
      <c r="E54" s="398"/>
      <c r="F54" s="398"/>
      <c r="G54" s="398">
        <f>+SUM($I54:$FZ54)</f>
        <v>0</v>
      </c>
      <c r="H54" s="426"/>
      <c r="I54" s="338">
        <f t="shared" ref="I54" si="1">HLOOKUP(I$2,LP_ARMADOS,$B54,FALSE)+HLOOKUP(I$3,LP_ARMADOS,$B54,FALSE)</f>
        <v>0</v>
      </c>
      <c r="J54" s="430"/>
    </row>
    <row r="55" spans="1:10" customFormat="1">
      <c r="A55" s="360"/>
      <c r="B55" s="360">
        <f t="shared" si="0"/>
        <v>5</v>
      </c>
      <c r="C55" s="404" t="s">
        <v>104</v>
      </c>
      <c r="D55" s="265"/>
      <c r="E55" s="398"/>
      <c r="F55" s="398"/>
      <c r="G55" s="398"/>
      <c r="H55" s="426"/>
      <c r="I55" s="338"/>
      <c r="J55" s="430"/>
    </row>
    <row r="56" spans="1:10" customFormat="1">
      <c r="A56" s="359">
        <v>2</v>
      </c>
      <c r="B56" s="359">
        <f t="shared" si="0"/>
        <v>6</v>
      </c>
      <c r="C56" s="403" t="s">
        <v>386</v>
      </c>
      <c r="D56" s="265"/>
      <c r="E56" s="398"/>
      <c r="F56" s="398"/>
      <c r="G56" s="398"/>
      <c r="H56" s="426"/>
      <c r="I56" s="338"/>
    </row>
    <row r="57" spans="1:10" customFormat="1">
      <c r="A57" s="360">
        <v>2.0099999999999998</v>
      </c>
      <c r="B57" s="360">
        <f t="shared" si="0"/>
        <v>7</v>
      </c>
      <c r="C57" s="404" t="s">
        <v>387</v>
      </c>
      <c r="D57" s="265" t="s">
        <v>17</v>
      </c>
      <c r="E57" s="398"/>
      <c r="F57" s="398"/>
      <c r="G57" s="398">
        <f t="shared" ref="G57:G118" si="2">+SUM($I57:$FZ57)</f>
        <v>0</v>
      </c>
      <c r="H57" s="426" t="s">
        <v>62</v>
      </c>
      <c r="I57" s="338">
        <f t="shared" ref="I57" si="3">IF($H57=I$14,I$11,0)</f>
        <v>0</v>
      </c>
      <c r="J57" s="430"/>
    </row>
    <row r="58" spans="1:10" customFormat="1">
      <c r="A58" s="360"/>
      <c r="B58" s="360">
        <f t="shared" si="0"/>
        <v>8</v>
      </c>
      <c r="C58" s="404" t="s">
        <v>104</v>
      </c>
      <c r="D58" s="265"/>
      <c r="E58" s="398"/>
      <c r="F58" s="398"/>
      <c r="G58" s="398"/>
      <c r="H58" s="426"/>
      <c r="I58" s="338"/>
      <c r="J58" s="430"/>
    </row>
    <row r="59" spans="1:10" customFormat="1">
      <c r="A59" s="359">
        <v>3</v>
      </c>
      <c r="B59" s="359">
        <f t="shared" si="0"/>
        <v>9</v>
      </c>
      <c r="C59" s="403" t="s">
        <v>66</v>
      </c>
      <c r="D59" s="265"/>
      <c r="E59" s="398"/>
      <c r="F59" s="398"/>
      <c r="G59" s="398"/>
      <c r="H59" s="426"/>
      <c r="I59" s="338"/>
    </row>
    <row r="60" spans="1:10" customFormat="1">
      <c r="A60" s="360">
        <v>3.01</v>
      </c>
      <c r="B60" s="360">
        <f t="shared" si="0"/>
        <v>10</v>
      </c>
      <c r="C60" s="404" t="s">
        <v>388</v>
      </c>
      <c r="D60" s="265" t="s">
        <v>17</v>
      </c>
      <c r="E60" s="398"/>
      <c r="F60" s="398"/>
      <c r="G60" s="398">
        <f t="shared" si="2"/>
        <v>0</v>
      </c>
      <c r="H60" s="426" t="s">
        <v>90</v>
      </c>
      <c r="I60" s="338">
        <f>IF(AND($H60=I$29),HLOOKUP(I$2,LP_ARMADOS,$B60,FALSE)+HLOOKUP(I$3,LP_ARMADOS,$B60,FALSE),0)</f>
        <v>0</v>
      </c>
      <c r="J60" s="430"/>
    </row>
    <row r="61" spans="1:10" customFormat="1" ht="25.5">
      <c r="A61" s="360">
        <v>3.0199999999999996</v>
      </c>
      <c r="B61" s="360">
        <f t="shared" si="0"/>
        <v>11</v>
      </c>
      <c r="C61" s="404" t="s">
        <v>389</v>
      </c>
      <c r="D61" s="265" t="s">
        <v>17</v>
      </c>
      <c r="E61" s="398"/>
      <c r="F61" s="398"/>
      <c r="G61" s="398">
        <f t="shared" si="2"/>
        <v>0</v>
      </c>
      <c r="H61" s="426" t="s">
        <v>90</v>
      </c>
      <c r="I61" s="338">
        <f>IF(AND($H61=I$29),HLOOKUP(I$2,LP_ARMADOS,$B61,FALSE)+HLOOKUP(I$3,LP_ARMADOS,$B61,FALSE),0)</f>
        <v>0</v>
      </c>
      <c r="J61" s="430"/>
    </row>
    <row r="62" spans="1:10" customFormat="1">
      <c r="A62" s="360"/>
      <c r="B62" s="360">
        <f t="shared" si="0"/>
        <v>12</v>
      </c>
      <c r="C62" s="404" t="s">
        <v>104</v>
      </c>
      <c r="D62" s="265"/>
      <c r="E62" s="398"/>
      <c r="F62" s="398"/>
      <c r="G62" s="398"/>
      <c r="H62" s="426"/>
      <c r="I62" s="338"/>
      <c r="J62" s="430"/>
    </row>
    <row r="63" spans="1:10" customFormat="1">
      <c r="A63" s="359">
        <v>4</v>
      </c>
      <c r="B63" s="359">
        <f t="shared" si="0"/>
        <v>13</v>
      </c>
      <c r="C63" s="403" t="s">
        <v>390</v>
      </c>
      <c r="D63" s="265"/>
      <c r="E63" s="398"/>
      <c r="F63" s="398"/>
      <c r="G63" s="398"/>
      <c r="H63" s="426"/>
      <c r="I63" s="338"/>
    </row>
    <row r="64" spans="1:10" customFormat="1" ht="25.5">
      <c r="A64" s="360">
        <v>4.01</v>
      </c>
      <c r="B64" s="360">
        <f t="shared" si="0"/>
        <v>14</v>
      </c>
      <c r="C64" s="404" t="s">
        <v>391</v>
      </c>
      <c r="D64" s="265" t="s">
        <v>17</v>
      </c>
      <c r="E64" s="398"/>
      <c r="F64" s="398"/>
      <c r="G64" s="398">
        <f t="shared" si="2"/>
        <v>0</v>
      </c>
      <c r="H64" s="426" t="s">
        <v>382</v>
      </c>
      <c r="I64" s="338">
        <f>IF($H64=I$30,HLOOKUP(I$2,LP_ARMADOS,$B64,FALSE)+HLOOKUP(I$3,LP_ARMADOS,$B64,FALSE),0)</f>
        <v>0</v>
      </c>
      <c r="J64" s="430"/>
    </row>
    <row r="65" spans="1:10" customFormat="1">
      <c r="A65" s="360"/>
      <c r="B65" s="360">
        <f t="shared" si="0"/>
        <v>15</v>
      </c>
      <c r="C65" s="404" t="s">
        <v>104</v>
      </c>
      <c r="D65" s="265"/>
      <c r="E65" s="398"/>
      <c r="F65" s="398"/>
      <c r="G65" s="398">
        <f t="shared" si="2"/>
        <v>0</v>
      </c>
      <c r="H65" s="426"/>
      <c r="I65" s="338"/>
      <c r="J65" s="430"/>
    </row>
    <row r="66" spans="1:10" customFormat="1">
      <c r="A66" s="359">
        <v>5</v>
      </c>
      <c r="B66" s="359">
        <f t="shared" si="0"/>
        <v>16</v>
      </c>
      <c r="C66" s="403" t="s">
        <v>67</v>
      </c>
      <c r="D66" s="265"/>
      <c r="E66" s="398"/>
      <c r="F66" s="398"/>
      <c r="G66" s="398">
        <f t="shared" si="2"/>
        <v>0</v>
      </c>
      <c r="H66" s="426"/>
      <c r="I66" s="338"/>
    </row>
    <row r="67" spans="1:10" customFormat="1">
      <c r="A67" s="360">
        <v>5.01</v>
      </c>
      <c r="B67" s="360">
        <f t="shared" si="0"/>
        <v>17</v>
      </c>
      <c r="C67" s="404" t="s">
        <v>271</v>
      </c>
      <c r="D67" s="265" t="s">
        <v>23</v>
      </c>
      <c r="E67" s="398"/>
      <c r="F67" s="398"/>
      <c r="G67" s="398">
        <f t="shared" si="2"/>
        <v>0</v>
      </c>
      <c r="H67" s="426" t="s">
        <v>0</v>
      </c>
      <c r="I67" s="338">
        <f>IF(I$19=$H67,I$18*I$20*F_COND/1000,0)</f>
        <v>0</v>
      </c>
      <c r="J67" s="430"/>
    </row>
    <row r="68" spans="1:10" customFormat="1">
      <c r="A68" s="360">
        <v>5.0199999999999996</v>
      </c>
      <c r="B68" s="360">
        <f t="shared" si="0"/>
        <v>18</v>
      </c>
      <c r="C68" s="404" t="s">
        <v>272</v>
      </c>
      <c r="D68" s="265" t="s">
        <v>23</v>
      </c>
      <c r="E68" s="398"/>
      <c r="F68" s="398"/>
      <c r="G68" s="398">
        <f t="shared" si="2"/>
        <v>0</v>
      </c>
      <c r="H68" s="426" t="s">
        <v>63</v>
      </c>
      <c r="I68" s="338">
        <f>IF(I$19=$H68,I$18*I$20*F_COND/1000,0)</f>
        <v>0</v>
      </c>
      <c r="J68" s="430"/>
    </row>
    <row r="69" spans="1:10" customFormat="1">
      <c r="A69" s="360"/>
      <c r="B69" s="360">
        <f t="shared" si="0"/>
        <v>19</v>
      </c>
      <c r="C69" s="404" t="s">
        <v>104</v>
      </c>
      <c r="D69" s="265"/>
      <c r="E69" s="398"/>
      <c r="F69" s="398"/>
      <c r="G69" s="398">
        <f t="shared" si="2"/>
        <v>0</v>
      </c>
      <c r="H69" s="426"/>
      <c r="I69" s="338"/>
      <c r="J69" s="430"/>
    </row>
    <row r="70" spans="1:10" customFormat="1">
      <c r="A70" s="359">
        <v>6</v>
      </c>
      <c r="B70" s="359">
        <f t="shared" si="0"/>
        <v>20</v>
      </c>
      <c r="C70" s="403" t="s">
        <v>68</v>
      </c>
      <c r="D70" s="265"/>
      <c r="E70" s="398"/>
      <c r="F70" s="398"/>
      <c r="G70" s="398">
        <f t="shared" si="2"/>
        <v>0</v>
      </c>
      <c r="H70" s="426"/>
      <c r="I70" s="338"/>
    </row>
    <row r="71" spans="1:10" customFormat="1">
      <c r="A71" s="360">
        <v>6.01</v>
      </c>
      <c r="B71" s="360">
        <f t="shared" si="0"/>
        <v>21</v>
      </c>
      <c r="C71" s="404" t="s">
        <v>273</v>
      </c>
      <c r="D71" s="265" t="s">
        <v>17</v>
      </c>
      <c r="E71" s="398"/>
      <c r="F71" s="398"/>
      <c r="G71" s="398">
        <f t="shared" si="2"/>
        <v>0</v>
      </c>
      <c r="H71" s="426" t="s">
        <v>0</v>
      </c>
      <c r="I71" s="338">
        <f t="shared" ref="I71:I82" si="4">IF($H71=I$19,+HLOOKUP(I$2,LP_ARMADOS,$B71,FALSE)+HLOOKUP(I$3,LP_ARMADOS,$B71,FALSE),0)</f>
        <v>0</v>
      </c>
      <c r="J71" s="430"/>
    </row>
    <row r="72" spans="1:10" customFormat="1">
      <c r="A72" s="360">
        <v>6.02</v>
      </c>
      <c r="B72" s="360">
        <f t="shared" si="0"/>
        <v>22</v>
      </c>
      <c r="C72" s="404" t="s">
        <v>274</v>
      </c>
      <c r="D72" s="265" t="s">
        <v>17</v>
      </c>
      <c r="E72" s="398"/>
      <c r="F72" s="398"/>
      <c r="G72" s="398">
        <f t="shared" si="2"/>
        <v>0</v>
      </c>
      <c r="H72" s="426" t="s">
        <v>63</v>
      </c>
      <c r="I72" s="338">
        <f t="shared" si="4"/>
        <v>0</v>
      </c>
      <c r="J72" s="430"/>
    </row>
    <row r="73" spans="1:10" customFormat="1">
      <c r="A73" s="360">
        <v>6.0299999999999994</v>
      </c>
      <c r="B73" s="360">
        <f t="shared" si="0"/>
        <v>23</v>
      </c>
      <c r="C73" s="404" t="s">
        <v>275</v>
      </c>
      <c r="D73" s="265" t="s">
        <v>17</v>
      </c>
      <c r="E73" s="398"/>
      <c r="F73" s="398"/>
      <c r="G73" s="398">
        <f t="shared" si="2"/>
        <v>0</v>
      </c>
      <c r="H73" s="426" t="s">
        <v>0</v>
      </c>
      <c r="I73" s="338">
        <f t="shared" si="4"/>
        <v>0</v>
      </c>
      <c r="J73" s="430"/>
    </row>
    <row r="74" spans="1:10" customFormat="1">
      <c r="A74" s="360">
        <v>6.0399999999999991</v>
      </c>
      <c r="B74" s="360">
        <f t="shared" si="0"/>
        <v>24</v>
      </c>
      <c r="C74" s="404" t="s">
        <v>276</v>
      </c>
      <c r="D74" s="265" t="s">
        <v>17</v>
      </c>
      <c r="E74" s="398"/>
      <c r="F74" s="398"/>
      <c r="G74" s="398">
        <f t="shared" si="2"/>
        <v>0</v>
      </c>
      <c r="H74" s="426" t="s">
        <v>0</v>
      </c>
      <c r="I74" s="338">
        <f t="shared" si="4"/>
        <v>0</v>
      </c>
      <c r="J74" s="430"/>
    </row>
    <row r="75" spans="1:10" customFormat="1">
      <c r="A75" s="360">
        <v>6.0499999999999989</v>
      </c>
      <c r="B75" s="360">
        <f t="shared" si="0"/>
        <v>25</v>
      </c>
      <c r="C75" s="404" t="s">
        <v>277</v>
      </c>
      <c r="D75" s="265" t="s">
        <v>17</v>
      </c>
      <c r="E75" s="398"/>
      <c r="F75" s="398"/>
      <c r="G75" s="398">
        <f t="shared" si="2"/>
        <v>0</v>
      </c>
      <c r="H75" s="426" t="s">
        <v>63</v>
      </c>
      <c r="I75" s="338">
        <f t="shared" si="4"/>
        <v>0</v>
      </c>
      <c r="J75" s="430"/>
    </row>
    <row r="76" spans="1:10" customFormat="1">
      <c r="A76" s="360">
        <v>6.0599999999999987</v>
      </c>
      <c r="B76" s="360">
        <f t="shared" si="0"/>
        <v>26</v>
      </c>
      <c r="C76" s="404" t="s">
        <v>278</v>
      </c>
      <c r="D76" s="265" t="s">
        <v>17</v>
      </c>
      <c r="E76" s="398"/>
      <c r="F76" s="398"/>
      <c r="G76" s="398">
        <f t="shared" si="2"/>
        <v>0</v>
      </c>
      <c r="H76" s="426" t="s">
        <v>0</v>
      </c>
      <c r="I76" s="338">
        <f t="shared" si="4"/>
        <v>0</v>
      </c>
      <c r="J76" s="430"/>
    </row>
    <row r="77" spans="1:10" customFormat="1">
      <c r="A77" s="360">
        <v>6.0699999999999985</v>
      </c>
      <c r="B77" s="360">
        <f t="shared" si="0"/>
        <v>27</v>
      </c>
      <c r="C77" s="404" t="s">
        <v>279</v>
      </c>
      <c r="D77" s="265" t="s">
        <v>17</v>
      </c>
      <c r="E77" s="398"/>
      <c r="F77" s="398"/>
      <c r="G77" s="398">
        <f t="shared" si="2"/>
        <v>0</v>
      </c>
      <c r="H77" s="426" t="s">
        <v>63</v>
      </c>
      <c r="I77" s="338">
        <f t="shared" si="4"/>
        <v>0</v>
      </c>
      <c r="J77" s="430"/>
    </row>
    <row r="78" spans="1:10" customFormat="1">
      <c r="A78" s="360">
        <v>6.0799999999999983</v>
      </c>
      <c r="B78" s="360">
        <f t="shared" si="0"/>
        <v>28</v>
      </c>
      <c r="C78" s="404" t="s">
        <v>280</v>
      </c>
      <c r="D78" s="265" t="s">
        <v>20</v>
      </c>
      <c r="E78" s="398"/>
      <c r="F78" s="398"/>
      <c r="G78" s="398">
        <f t="shared" si="2"/>
        <v>0</v>
      </c>
      <c r="H78" s="426"/>
      <c r="I78" s="338">
        <f>HLOOKUP(I$2,LP_ARMADOS,$B78,FALSE)+HLOOKUP(I$3,LP_ARMADOS,$B78,FALSE)</f>
        <v>0</v>
      </c>
      <c r="J78" s="430"/>
    </row>
    <row r="79" spans="1:10" customFormat="1">
      <c r="A79" s="360">
        <v>6.0899999999999981</v>
      </c>
      <c r="B79" s="360">
        <f t="shared" si="0"/>
        <v>29</v>
      </c>
      <c r="C79" s="404" t="s">
        <v>392</v>
      </c>
      <c r="D79" s="265" t="s">
        <v>17</v>
      </c>
      <c r="E79" s="398"/>
      <c r="F79" s="398"/>
      <c r="G79" s="398">
        <f t="shared" si="2"/>
        <v>0</v>
      </c>
      <c r="H79" s="426" t="s">
        <v>0</v>
      </c>
      <c r="I79" s="338">
        <f t="shared" si="4"/>
        <v>0</v>
      </c>
      <c r="J79" s="430"/>
    </row>
    <row r="80" spans="1:10" customFormat="1">
      <c r="A80" s="360">
        <v>6.0999999999999979</v>
      </c>
      <c r="B80" s="360">
        <f t="shared" si="0"/>
        <v>30</v>
      </c>
      <c r="C80" s="404" t="s">
        <v>393</v>
      </c>
      <c r="D80" s="265" t="s">
        <v>17</v>
      </c>
      <c r="E80" s="398"/>
      <c r="F80" s="398"/>
      <c r="G80" s="398">
        <f t="shared" si="2"/>
        <v>0</v>
      </c>
      <c r="H80" s="426" t="s">
        <v>0</v>
      </c>
      <c r="I80" s="338">
        <f t="shared" si="4"/>
        <v>0</v>
      </c>
      <c r="J80" s="430"/>
    </row>
    <row r="81" spans="1:10" customFormat="1">
      <c r="A81" s="360">
        <v>6.1099999999999977</v>
      </c>
      <c r="B81" s="360">
        <f t="shared" si="0"/>
        <v>31</v>
      </c>
      <c r="C81" s="404" t="s">
        <v>281</v>
      </c>
      <c r="D81" s="265" t="s">
        <v>17</v>
      </c>
      <c r="E81" s="398"/>
      <c r="F81" s="398"/>
      <c r="G81" s="398">
        <f t="shared" si="2"/>
        <v>0</v>
      </c>
      <c r="H81" s="426" t="s">
        <v>0</v>
      </c>
      <c r="I81" s="338">
        <f t="shared" si="4"/>
        <v>0</v>
      </c>
      <c r="J81" s="430"/>
    </row>
    <row r="82" spans="1:10" customFormat="1">
      <c r="A82" s="360">
        <v>6.1199999999999974</v>
      </c>
      <c r="B82" s="360">
        <f t="shared" si="0"/>
        <v>32</v>
      </c>
      <c r="C82" s="404" t="s">
        <v>282</v>
      </c>
      <c r="D82" s="265" t="s">
        <v>17</v>
      </c>
      <c r="E82" s="398"/>
      <c r="F82" s="398"/>
      <c r="G82" s="398">
        <f t="shared" si="2"/>
        <v>0</v>
      </c>
      <c r="H82" s="426" t="s">
        <v>63</v>
      </c>
      <c r="I82" s="338">
        <f t="shared" si="4"/>
        <v>0</v>
      </c>
      <c r="J82" s="430"/>
    </row>
    <row r="83" spans="1:10" customFormat="1">
      <c r="A83" s="360"/>
      <c r="B83" s="360">
        <f t="shared" si="0"/>
        <v>33</v>
      </c>
      <c r="C83" s="404" t="s">
        <v>104</v>
      </c>
      <c r="D83" s="265"/>
      <c r="E83" s="398"/>
      <c r="F83" s="398"/>
      <c r="G83" s="398"/>
      <c r="H83" s="426"/>
      <c r="I83" s="338"/>
      <c r="J83" s="430"/>
    </row>
    <row r="84" spans="1:10" customFormat="1">
      <c r="A84" s="359">
        <v>7</v>
      </c>
      <c r="B84" s="359">
        <f t="shared" si="0"/>
        <v>34</v>
      </c>
      <c r="C84" s="403" t="s">
        <v>69</v>
      </c>
      <c r="D84" s="265"/>
      <c r="E84" s="398"/>
      <c r="F84" s="398"/>
      <c r="G84" s="398"/>
      <c r="H84" s="426"/>
      <c r="I84" s="338"/>
    </row>
    <row r="85" spans="1:10" customFormat="1" ht="25.5">
      <c r="A85" s="360">
        <v>7.01</v>
      </c>
      <c r="B85" s="360">
        <f t="shared" si="0"/>
        <v>35</v>
      </c>
      <c r="C85" s="404" t="s">
        <v>394</v>
      </c>
      <c r="D85" s="265" t="s">
        <v>20</v>
      </c>
      <c r="E85" s="398"/>
      <c r="F85" s="398"/>
      <c r="G85" s="398">
        <f t="shared" si="2"/>
        <v>0</v>
      </c>
      <c r="H85" s="426"/>
      <c r="I85" s="338">
        <f>+HLOOKUP(I$2,LP_ARMADOS,$B85,FALSE)+HLOOKUP(I$3,LP_ARMADOS,$B85,FALSE)</f>
        <v>0</v>
      </c>
      <c r="J85" s="430"/>
    </row>
    <row r="86" spans="1:10" customFormat="1">
      <c r="A86" s="360"/>
      <c r="B86" s="360">
        <f t="shared" si="0"/>
        <v>36</v>
      </c>
      <c r="C86" s="404" t="s">
        <v>104</v>
      </c>
      <c r="D86" s="265"/>
      <c r="E86" s="398"/>
      <c r="F86" s="398"/>
      <c r="G86" s="398"/>
      <c r="H86" s="426"/>
      <c r="I86" s="338"/>
      <c r="J86" s="430"/>
    </row>
    <row r="87" spans="1:10" customFormat="1">
      <c r="A87" s="359">
        <v>8</v>
      </c>
      <c r="B87" s="359">
        <f t="shared" si="0"/>
        <v>37</v>
      </c>
      <c r="C87" s="403" t="s">
        <v>22</v>
      </c>
      <c r="D87" s="265"/>
      <c r="E87" s="398"/>
      <c r="F87" s="398"/>
      <c r="G87" s="398"/>
      <c r="H87" s="426"/>
      <c r="I87" s="338"/>
    </row>
    <row r="88" spans="1:10" customFormat="1" ht="25.5">
      <c r="A88" s="360">
        <v>8.01</v>
      </c>
      <c r="B88" s="360">
        <f t="shared" si="0"/>
        <v>38</v>
      </c>
      <c r="C88" s="404" t="s">
        <v>283</v>
      </c>
      <c r="D88" s="265" t="s">
        <v>17</v>
      </c>
      <c r="E88" s="398"/>
      <c r="F88" s="398"/>
      <c r="G88" s="398">
        <f t="shared" si="2"/>
        <v>0</v>
      </c>
      <c r="H88" s="426"/>
      <c r="I88" s="338">
        <f t="shared" ref="I88:I99" si="5">+HLOOKUP(I$2,LP_ARMADOS,$B88,FALSE)+HLOOKUP(I$3,LP_ARMADOS,$B88,FALSE)</f>
        <v>0</v>
      </c>
      <c r="J88" s="430"/>
    </row>
    <row r="89" spans="1:10" customFormat="1">
      <c r="A89" s="360">
        <v>8.02</v>
      </c>
      <c r="B89" s="360">
        <f t="shared" si="0"/>
        <v>39</v>
      </c>
      <c r="C89" s="404" t="s">
        <v>284</v>
      </c>
      <c r="D89" s="265" t="s">
        <v>17</v>
      </c>
      <c r="E89" s="398"/>
      <c r="F89" s="398"/>
      <c r="G89" s="398">
        <f t="shared" si="2"/>
        <v>0</v>
      </c>
      <c r="H89" s="426"/>
      <c r="I89" s="338">
        <f t="shared" si="5"/>
        <v>0</v>
      </c>
      <c r="J89" s="430"/>
    </row>
    <row r="90" spans="1:10" customFormat="1">
      <c r="A90" s="360">
        <v>8.0299999999999994</v>
      </c>
      <c r="B90" s="360">
        <f t="shared" si="0"/>
        <v>40</v>
      </c>
      <c r="C90" s="404" t="s">
        <v>285</v>
      </c>
      <c r="D90" s="265" t="s">
        <v>17</v>
      </c>
      <c r="E90" s="398"/>
      <c r="F90" s="398"/>
      <c r="G90" s="398">
        <f t="shared" si="2"/>
        <v>0</v>
      </c>
      <c r="H90" s="426"/>
      <c r="I90" s="338">
        <f t="shared" si="5"/>
        <v>0</v>
      </c>
      <c r="J90" s="430"/>
    </row>
    <row r="91" spans="1:10" customFormat="1">
      <c r="A91" s="360">
        <v>8.0399999999999991</v>
      </c>
      <c r="B91" s="360">
        <f t="shared" si="0"/>
        <v>41</v>
      </c>
      <c r="C91" s="404" t="s">
        <v>286</v>
      </c>
      <c r="D91" s="265" t="s">
        <v>17</v>
      </c>
      <c r="E91" s="398"/>
      <c r="F91" s="398"/>
      <c r="G91" s="398">
        <f t="shared" si="2"/>
        <v>0</v>
      </c>
      <c r="H91" s="426"/>
      <c r="I91" s="338">
        <f t="shared" si="5"/>
        <v>0</v>
      </c>
      <c r="J91" s="430"/>
    </row>
    <row r="92" spans="1:10" customFormat="1" ht="25.5">
      <c r="A92" s="360">
        <v>8.0499999999999989</v>
      </c>
      <c r="B92" s="360">
        <f t="shared" si="0"/>
        <v>42</v>
      </c>
      <c r="C92" s="404" t="s">
        <v>287</v>
      </c>
      <c r="D92" s="265" t="s">
        <v>17</v>
      </c>
      <c r="E92" s="398"/>
      <c r="F92" s="398"/>
      <c r="G92" s="398">
        <f t="shared" si="2"/>
        <v>0</v>
      </c>
      <c r="H92" s="426"/>
      <c r="I92" s="338">
        <f t="shared" si="5"/>
        <v>0</v>
      </c>
      <c r="J92" s="430"/>
    </row>
    <row r="93" spans="1:10" customFormat="1">
      <c r="A93" s="360">
        <v>8.0599999999999987</v>
      </c>
      <c r="B93" s="360">
        <f t="shared" si="0"/>
        <v>43</v>
      </c>
      <c r="C93" s="404" t="s">
        <v>290</v>
      </c>
      <c r="D93" s="265" t="s">
        <v>17</v>
      </c>
      <c r="E93" s="398"/>
      <c r="F93" s="398"/>
      <c r="G93" s="398">
        <f t="shared" si="2"/>
        <v>0</v>
      </c>
      <c r="H93" s="426"/>
      <c r="I93" s="338">
        <f t="shared" si="5"/>
        <v>0</v>
      </c>
      <c r="J93" s="430"/>
    </row>
    <row r="94" spans="1:10" customFormat="1">
      <c r="A94" s="360">
        <v>8.0699999999999985</v>
      </c>
      <c r="B94" s="360">
        <f t="shared" si="0"/>
        <v>44</v>
      </c>
      <c r="C94" s="404" t="s">
        <v>395</v>
      </c>
      <c r="D94" s="265" t="s">
        <v>17</v>
      </c>
      <c r="E94" s="398"/>
      <c r="F94" s="398"/>
      <c r="G94" s="398">
        <f t="shared" si="2"/>
        <v>0</v>
      </c>
      <c r="H94" s="426"/>
      <c r="I94" s="338">
        <f t="shared" si="5"/>
        <v>0</v>
      </c>
      <c r="J94" s="430"/>
    </row>
    <row r="95" spans="1:10" customFormat="1">
      <c r="A95" s="360">
        <v>8.0799999999999983</v>
      </c>
      <c r="B95" s="360">
        <f t="shared" si="0"/>
        <v>45</v>
      </c>
      <c r="C95" s="404" t="s">
        <v>291</v>
      </c>
      <c r="D95" s="265" t="s">
        <v>17</v>
      </c>
      <c r="E95" s="398"/>
      <c r="F95" s="398"/>
      <c r="G95" s="398">
        <f t="shared" si="2"/>
        <v>0</v>
      </c>
      <c r="H95" s="426"/>
      <c r="I95" s="338">
        <f t="shared" si="5"/>
        <v>0</v>
      </c>
      <c r="J95" s="430"/>
    </row>
    <row r="96" spans="1:10" customFormat="1" ht="25.5">
      <c r="A96" s="360">
        <v>8.0899999999999981</v>
      </c>
      <c r="B96" s="360">
        <f t="shared" si="0"/>
        <v>46</v>
      </c>
      <c r="C96" s="404" t="s">
        <v>396</v>
      </c>
      <c r="D96" s="265" t="s">
        <v>17</v>
      </c>
      <c r="E96" s="398"/>
      <c r="F96" s="398"/>
      <c r="G96" s="398">
        <f t="shared" si="2"/>
        <v>0</v>
      </c>
      <c r="H96" s="426"/>
      <c r="I96" s="338">
        <f t="shared" si="5"/>
        <v>0</v>
      </c>
      <c r="J96" s="430"/>
    </row>
    <row r="97" spans="1:10" customFormat="1">
      <c r="A97" s="360">
        <v>8.0999999999999979</v>
      </c>
      <c r="B97" s="360">
        <f t="shared" si="0"/>
        <v>47</v>
      </c>
      <c r="C97" s="404" t="s">
        <v>288</v>
      </c>
      <c r="D97" s="265" t="s">
        <v>17</v>
      </c>
      <c r="E97" s="398"/>
      <c r="F97" s="398"/>
      <c r="G97" s="398">
        <f t="shared" si="2"/>
        <v>0</v>
      </c>
      <c r="H97" s="426"/>
      <c r="I97" s="338">
        <f t="shared" si="5"/>
        <v>0</v>
      </c>
      <c r="J97" s="430"/>
    </row>
    <row r="98" spans="1:10" customFormat="1">
      <c r="A98" s="360">
        <v>8.1099999999999977</v>
      </c>
      <c r="B98" s="360">
        <f t="shared" si="0"/>
        <v>48</v>
      </c>
      <c r="C98" s="404" t="s">
        <v>289</v>
      </c>
      <c r="D98" s="265" t="s">
        <v>17</v>
      </c>
      <c r="E98" s="398"/>
      <c r="F98" s="398"/>
      <c r="G98" s="398">
        <f t="shared" si="2"/>
        <v>0</v>
      </c>
      <c r="H98" s="426"/>
      <c r="I98" s="338">
        <f t="shared" si="5"/>
        <v>0</v>
      </c>
      <c r="J98" s="430"/>
    </row>
    <row r="99" spans="1:10" customFormat="1" ht="25.5">
      <c r="A99" s="360">
        <v>8.1199999999999974</v>
      </c>
      <c r="B99" s="360">
        <f t="shared" si="0"/>
        <v>49</v>
      </c>
      <c r="C99" s="404" t="s">
        <v>397</v>
      </c>
      <c r="D99" s="265" t="s">
        <v>443</v>
      </c>
      <c r="E99" s="398"/>
      <c r="F99" s="398"/>
      <c r="G99" s="398">
        <f t="shared" si="2"/>
        <v>0</v>
      </c>
      <c r="H99" s="426"/>
      <c r="I99" s="338">
        <f t="shared" si="5"/>
        <v>0</v>
      </c>
      <c r="J99" s="430"/>
    </row>
    <row r="100" spans="1:10" customFormat="1">
      <c r="A100" s="360"/>
      <c r="B100" s="360">
        <f t="shared" si="0"/>
        <v>50</v>
      </c>
      <c r="C100" s="404" t="s">
        <v>104</v>
      </c>
      <c r="D100" s="265"/>
      <c r="E100" s="398"/>
      <c r="F100" s="398"/>
      <c r="G100" s="398"/>
      <c r="H100" s="426"/>
      <c r="I100" s="338"/>
      <c r="J100" s="430"/>
    </row>
    <row r="101" spans="1:10" customFormat="1">
      <c r="A101" s="359">
        <v>9</v>
      </c>
      <c r="B101" s="359">
        <f t="shared" si="0"/>
        <v>51</v>
      </c>
      <c r="C101" s="403" t="s">
        <v>70</v>
      </c>
      <c r="D101" s="265"/>
      <c r="E101" s="398"/>
      <c r="F101" s="398"/>
      <c r="G101" s="398"/>
      <c r="H101" s="426"/>
      <c r="I101" s="338"/>
    </row>
    <row r="102" spans="1:10" customFormat="1">
      <c r="A102" s="360">
        <v>9.01</v>
      </c>
      <c r="B102" s="360">
        <f t="shared" si="0"/>
        <v>52</v>
      </c>
      <c r="C102" s="404" t="s">
        <v>398</v>
      </c>
      <c r="D102" s="265" t="s">
        <v>20</v>
      </c>
      <c r="E102" s="398"/>
      <c r="F102" s="398"/>
      <c r="G102" s="398">
        <f t="shared" si="2"/>
        <v>0</v>
      </c>
      <c r="H102" s="426"/>
      <c r="I102" s="338">
        <f>HLOOKUP("RI",LP_ARMADOS,$B102,FALSE)*I$22+HLOOKUP("RV",LP_ARMADOS,$B102,FALSE)*I$23+HLOOKUP("RYI",LP_ARMADOS,$B102,FALSE)*I$24</f>
        <v>0</v>
      </c>
      <c r="J102" s="430"/>
    </row>
    <row r="103" spans="1:10" customFormat="1" ht="25.5">
      <c r="A103" s="360">
        <v>9.02</v>
      </c>
      <c r="B103" s="360">
        <f t="shared" si="0"/>
        <v>53</v>
      </c>
      <c r="C103" s="404" t="s">
        <v>399</v>
      </c>
      <c r="D103" s="265" t="s">
        <v>17</v>
      </c>
      <c r="E103" s="398"/>
      <c r="F103" s="398"/>
      <c r="G103" s="398">
        <f t="shared" si="2"/>
        <v>0</v>
      </c>
      <c r="H103" s="426"/>
      <c r="I103" s="338">
        <f>+SUM(I$22:I$25)</f>
        <v>0</v>
      </c>
      <c r="J103" s="430"/>
    </row>
    <row r="104" spans="1:10" customFormat="1">
      <c r="A104" s="360">
        <v>9.0299999999999994</v>
      </c>
      <c r="B104" s="360">
        <f t="shared" si="0"/>
        <v>54</v>
      </c>
      <c r="C104" s="404" t="s">
        <v>400</v>
      </c>
      <c r="D104" s="265" t="s">
        <v>17</v>
      </c>
      <c r="E104" s="398"/>
      <c r="F104" s="398"/>
      <c r="G104" s="398">
        <f t="shared" si="2"/>
        <v>0</v>
      </c>
      <c r="H104" s="426"/>
      <c r="I104" s="338">
        <f>HLOOKUP("RI",LP_ARMADOS,$B104,FALSE)*I$22+HLOOKUP("RV",LP_ARMADOS,$B104,FALSE)*I$23+HLOOKUP("RYI",LP_ARMADOS,$B104,FALSE)*I$24</f>
        <v>0</v>
      </c>
      <c r="J104" s="430"/>
    </row>
    <row r="105" spans="1:10" customFormat="1">
      <c r="A105" s="360">
        <v>9.0399999999999991</v>
      </c>
      <c r="B105" s="360">
        <f t="shared" si="0"/>
        <v>55</v>
      </c>
      <c r="C105" s="404" t="s">
        <v>401</v>
      </c>
      <c r="D105" s="265" t="s">
        <v>17</v>
      </c>
      <c r="E105" s="398"/>
      <c r="F105" s="398"/>
      <c r="G105" s="398">
        <f t="shared" si="2"/>
        <v>0</v>
      </c>
      <c r="H105" s="426"/>
      <c r="I105" s="338">
        <f>+SUM(I$22:I$25)</f>
        <v>0</v>
      </c>
      <c r="J105" s="430"/>
    </row>
    <row r="106" spans="1:10" customFormat="1" ht="38.25">
      <c r="A106" s="360">
        <v>9.0499999999999989</v>
      </c>
      <c r="B106" s="360">
        <f t="shared" si="0"/>
        <v>56</v>
      </c>
      <c r="C106" s="404" t="s">
        <v>402</v>
      </c>
      <c r="D106" s="265" t="s">
        <v>17</v>
      </c>
      <c r="E106" s="398"/>
      <c r="F106" s="398"/>
      <c r="G106" s="398">
        <f t="shared" si="2"/>
        <v>0</v>
      </c>
      <c r="H106" s="426"/>
      <c r="I106" s="338">
        <f>+SUM(I$22:I$25)</f>
        <v>0</v>
      </c>
      <c r="J106" s="430"/>
    </row>
    <row r="107" spans="1:10" customFormat="1">
      <c r="A107" s="360">
        <v>9.0599999999999987</v>
      </c>
      <c r="B107" s="360">
        <f t="shared" si="0"/>
        <v>57</v>
      </c>
      <c r="C107" s="404" t="s">
        <v>403</v>
      </c>
      <c r="D107" s="265" t="s">
        <v>17</v>
      </c>
      <c r="E107" s="398"/>
      <c r="F107" s="398"/>
      <c r="G107" s="398">
        <f t="shared" si="2"/>
        <v>0</v>
      </c>
      <c r="H107" s="426"/>
      <c r="I107" s="338">
        <f>+I103</f>
        <v>0</v>
      </c>
      <c r="J107" s="430"/>
    </row>
    <row r="108" spans="1:10" customFormat="1" ht="25.5">
      <c r="A108" s="360">
        <v>9.0699999999999985</v>
      </c>
      <c r="B108" s="360">
        <f t="shared" si="0"/>
        <v>58</v>
      </c>
      <c r="C108" s="404" t="s">
        <v>391</v>
      </c>
      <c r="D108" s="265" t="s">
        <v>17</v>
      </c>
      <c r="E108" s="398"/>
      <c r="F108" s="398"/>
      <c r="G108" s="398">
        <f t="shared" si="2"/>
        <v>0</v>
      </c>
      <c r="H108" s="426"/>
      <c r="I108" s="338">
        <f>+I103</f>
        <v>0</v>
      </c>
      <c r="J108" s="430"/>
    </row>
    <row r="109" spans="1:10" customFormat="1">
      <c r="A109" s="360">
        <v>9.0799999999999983</v>
      </c>
      <c r="B109" s="360">
        <f t="shared" si="0"/>
        <v>59</v>
      </c>
      <c r="C109" s="404" t="s">
        <v>404</v>
      </c>
      <c r="D109" s="265" t="s">
        <v>17</v>
      </c>
      <c r="E109" s="398"/>
      <c r="F109" s="398"/>
      <c r="G109" s="398">
        <f t="shared" si="2"/>
        <v>0</v>
      </c>
      <c r="H109" s="426"/>
      <c r="I109" s="338">
        <f>+I$103</f>
        <v>0</v>
      </c>
      <c r="J109" s="430"/>
    </row>
    <row r="110" spans="1:10" customFormat="1">
      <c r="A110" s="360">
        <v>9.0899999999999981</v>
      </c>
      <c r="B110" s="360">
        <f t="shared" si="0"/>
        <v>60</v>
      </c>
      <c r="C110" s="404" t="s">
        <v>292</v>
      </c>
      <c r="D110" s="265" t="s">
        <v>17</v>
      </c>
      <c r="E110" s="398"/>
      <c r="F110" s="398"/>
      <c r="G110" s="398">
        <f t="shared" si="2"/>
        <v>0</v>
      </c>
      <c r="H110" s="426"/>
      <c r="I110" s="338">
        <f>+I103</f>
        <v>0</v>
      </c>
      <c r="J110" s="430"/>
    </row>
    <row r="111" spans="1:10" customFormat="1">
      <c r="A111" s="360"/>
      <c r="B111" s="360">
        <f t="shared" si="0"/>
        <v>61</v>
      </c>
      <c r="C111" s="404" t="s">
        <v>104</v>
      </c>
      <c r="D111" s="265"/>
      <c r="E111" s="398"/>
      <c r="F111" s="398"/>
      <c r="G111" s="398"/>
      <c r="H111" s="426"/>
      <c r="I111" s="338"/>
      <c r="J111" s="430"/>
    </row>
    <row r="112" spans="1:10" customFormat="1">
      <c r="A112" s="359">
        <v>10</v>
      </c>
      <c r="B112" s="359">
        <f t="shared" si="0"/>
        <v>62</v>
      </c>
      <c r="C112" s="403" t="s">
        <v>71</v>
      </c>
      <c r="D112" s="265"/>
      <c r="E112" s="398"/>
      <c r="F112" s="398"/>
      <c r="G112" s="398"/>
      <c r="H112" s="426"/>
      <c r="I112" s="338"/>
    </row>
    <row r="113" spans="1:10" customFormat="1">
      <c r="A113" s="360">
        <v>10.01</v>
      </c>
      <c r="B113" s="360">
        <f t="shared" si="0"/>
        <v>63</v>
      </c>
      <c r="C113" s="404" t="s">
        <v>405</v>
      </c>
      <c r="D113" s="265" t="s">
        <v>17</v>
      </c>
      <c r="E113" s="398"/>
      <c r="F113" s="398"/>
      <c r="G113" s="398">
        <f t="shared" si="2"/>
        <v>0</v>
      </c>
      <c r="H113" s="426"/>
      <c r="I113" s="338">
        <f>+IF(I26="PAT-1",1,0)</f>
        <v>0</v>
      </c>
      <c r="J113" s="430"/>
    </row>
    <row r="114" spans="1:10" customFormat="1">
      <c r="A114" s="360">
        <v>10.02</v>
      </c>
      <c r="B114" s="360">
        <f t="shared" si="0"/>
        <v>64</v>
      </c>
      <c r="C114" s="404" t="s">
        <v>406</v>
      </c>
      <c r="D114" s="265" t="s">
        <v>17</v>
      </c>
      <c r="E114" s="398"/>
      <c r="F114" s="398"/>
      <c r="G114" s="398">
        <f t="shared" si="2"/>
        <v>0</v>
      </c>
      <c r="H114" s="426"/>
      <c r="I114" s="338">
        <f>+HLOOKUP(I$2,LP_ARMADOS,$B114,FALSE)+HLOOKUP(I$3,LP_ARMADOS,$B114,FALSE)+IF(I$13="MAD",55,0)</f>
        <v>0</v>
      </c>
      <c r="J114" s="430"/>
    </row>
    <row r="115" spans="1:10" customFormat="1">
      <c r="A115" s="360">
        <v>10.029999999999999</v>
      </c>
      <c r="B115" s="360">
        <f t="shared" si="0"/>
        <v>65</v>
      </c>
      <c r="C115" s="404" t="s">
        <v>407</v>
      </c>
      <c r="D115" s="265" t="s">
        <v>17</v>
      </c>
      <c r="E115" s="398"/>
      <c r="F115" s="398"/>
      <c r="G115" s="398">
        <f t="shared" si="2"/>
        <v>0</v>
      </c>
      <c r="H115" s="426"/>
      <c r="I115" s="338">
        <f>+I113</f>
        <v>0</v>
      </c>
      <c r="J115" s="430"/>
    </row>
    <row r="116" spans="1:10" customFormat="1">
      <c r="A116" s="360">
        <v>10.039999999999999</v>
      </c>
      <c r="B116" s="360">
        <f t="shared" si="0"/>
        <v>66</v>
      </c>
      <c r="C116" s="404" t="s">
        <v>408</v>
      </c>
      <c r="D116" s="265" t="s">
        <v>17</v>
      </c>
      <c r="E116" s="398"/>
      <c r="F116" s="398"/>
      <c r="G116" s="398">
        <f t="shared" si="2"/>
        <v>0</v>
      </c>
      <c r="H116" s="426"/>
      <c r="I116" s="338">
        <f t="shared" ref="I116" si="6">+HLOOKUP(I$2,LP_ARMADOS,$B116,FALSE)+HLOOKUP(I$3,LP_ARMADOS,$B116,FALSE)</f>
        <v>0</v>
      </c>
      <c r="J116" s="430"/>
    </row>
    <row r="117" spans="1:10" customFormat="1">
      <c r="A117" s="360"/>
      <c r="B117" s="360">
        <f t="shared" si="0"/>
        <v>67</v>
      </c>
      <c r="C117" s="404" t="s">
        <v>104</v>
      </c>
      <c r="D117" s="265"/>
      <c r="E117" s="398"/>
      <c r="F117" s="398"/>
      <c r="G117" s="398">
        <f t="shared" si="2"/>
        <v>0</v>
      </c>
      <c r="H117" s="426"/>
      <c r="I117" s="338"/>
      <c r="J117" s="430"/>
    </row>
    <row r="118" spans="1:10" customFormat="1">
      <c r="A118" s="359">
        <v>11</v>
      </c>
      <c r="B118" s="359">
        <f t="shared" ref="B118:B138" si="7">B117+1</f>
        <v>68</v>
      </c>
      <c r="C118" s="403" t="s">
        <v>19</v>
      </c>
      <c r="D118" s="265"/>
      <c r="E118" s="398"/>
      <c r="F118" s="398"/>
      <c r="G118" s="398">
        <f t="shared" si="2"/>
        <v>0</v>
      </c>
      <c r="H118" s="426"/>
      <c r="I118" s="338"/>
    </row>
    <row r="119" spans="1:10" customFormat="1" ht="25.5">
      <c r="A119" s="360">
        <v>11.01</v>
      </c>
      <c r="B119" s="360">
        <f t="shared" si="7"/>
        <v>69</v>
      </c>
      <c r="C119" s="404" t="s">
        <v>409</v>
      </c>
      <c r="D119" s="265" t="s">
        <v>17</v>
      </c>
      <c r="E119" s="398"/>
      <c r="F119" s="398"/>
      <c r="G119" s="398">
        <f t="shared" ref="G119:G138" si="8">+SUM($I119:$FZ119)</f>
        <v>0</v>
      </c>
      <c r="H119" s="426"/>
      <c r="I119" s="338">
        <f>+IF(I$2="PSEC-0P",1,0)+IF(I$2="PSEC-0PA",1,0)++IF(I$2="PSEC-3P",3,0)++IF(I$2="PSEC-3PA",3,0)</f>
        <v>0</v>
      </c>
      <c r="J119" s="430"/>
    </row>
    <row r="120" spans="1:10" customFormat="1">
      <c r="A120" s="360">
        <v>11.02</v>
      </c>
      <c r="B120" s="360">
        <f t="shared" si="7"/>
        <v>70</v>
      </c>
      <c r="C120" s="404" t="s">
        <v>410</v>
      </c>
      <c r="D120" s="265" t="s">
        <v>17</v>
      </c>
      <c r="E120" s="398"/>
      <c r="F120" s="398"/>
      <c r="G120" s="398">
        <f t="shared" si="8"/>
        <v>0</v>
      </c>
      <c r="H120" s="426" t="s">
        <v>444</v>
      </c>
      <c r="I120" s="338">
        <f>+IF(I$4=$H120,I$20,0)</f>
        <v>0</v>
      </c>
      <c r="J120" s="430"/>
    </row>
    <row r="121" spans="1:10" customFormat="1">
      <c r="A121" s="360">
        <v>11.03</v>
      </c>
      <c r="B121" s="360">
        <f t="shared" si="7"/>
        <v>71</v>
      </c>
      <c r="C121" s="404" t="s">
        <v>411</v>
      </c>
      <c r="D121" s="265" t="s">
        <v>17</v>
      </c>
      <c r="E121" s="398"/>
      <c r="F121" s="398"/>
      <c r="G121" s="398">
        <f t="shared" si="8"/>
        <v>0</v>
      </c>
      <c r="H121" s="426"/>
      <c r="I121" s="338">
        <f>+IF(I$2="PSEC-0P",1,0)+IF(I$2="PSEC-0PA",1,0)++IF(I$2="PSEC-3P",3,0)++IF(I$2="PSEC-3PA",3,0)</f>
        <v>0</v>
      </c>
      <c r="J121" s="430"/>
    </row>
    <row r="122" spans="1:10" customFormat="1" ht="12.75" customHeight="1">
      <c r="A122" s="438"/>
      <c r="B122" s="360" t="e">
        <f>#REF!+1</f>
        <v>#REF!</v>
      </c>
      <c r="C122" s="405"/>
      <c r="D122" s="265"/>
      <c r="E122" s="398"/>
      <c r="F122" s="398"/>
      <c r="G122" s="398">
        <f t="shared" si="8"/>
        <v>0</v>
      </c>
      <c r="H122" s="426"/>
      <c r="I122" s="338"/>
      <c r="J122" s="430"/>
    </row>
    <row r="123" spans="1:10" customFormat="1" ht="12.75" customHeight="1">
      <c r="A123" s="22"/>
      <c r="B123" s="360" t="e">
        <f t="shared" si="7"/>
        <v>#REF!</v>
      </c>
      <c r="C123" s="404"/>
      <c r="D123" s="265"/>
      <c r="E123" s="398"/>
      <c r="F123" s="398"/>
      <c r="G123" s="398">
        <f t="shared" si="8"/>
        <v>0</v>
      </c>
      <c r="H123" s="426"/>
      <c r="I123" s="338"/>
      <c r="J123" s="430"/>
    </row>
    <row r="124" spans="1:10" customFormat="1">
      <c r="A124" s="22"/>
      <c r="B124" s="360" t="e">
        <f t="shared" si="7"/>
        <v>#REF!</v>
      </c>
      <c r="C124" s="406" t="s">
        <v>72</v>
      </c>
      <c r="D124" s="265"/>
      <c r="E124" s="398"/>
      <c r="F124" s="398"/>
      <c r="G124" s="398">
        <f t="shared" si="8"/>
        <v>0</v>
      </c>
      <c r="H124" s="426"/>
      <c r="I124" s="338"/>
      <c r="J124" s="430"/>
    </row>
    <row r="125" spans="1:10" customFormat="1">
      <c r="A125" s="288"/>
      <c r="B125" s="360" t="e">
        <f t="shared" si="7"/>
        <v>#REF!</v>
      </c>
      <c r="C125" s="407" t="s">
        <v>104</v>
      </c>
      <c r="D125" s="425"/>
      <c r="E125" s="399"/>
      <c r="F125" s="399"/>
      <c r="G125" s="399">
        <f t="shared" si="8"/>
        <v>0</v>
      </c>
      <c r="H125" s="426"/>
      <c r="I125" s="338"/>
      <c r="J125" s="430"/>
    </row>
    <row r="126" spans="1:10" customFormat="1">
      <c r="A126" s="104"/>
      <c r="B126" s="360" t="e">
        <f t="shared" si="7"/>
        <v>#REF!</v>
      </c>
      <c r="C126" s="403" t="s">
        <v>73</v>
      </c>
      <c r="D126" s="265"/>
      <c r="E126" s="398"/>
      <c r="F126" s="398"/>
      <c r="G126" s="398">
        <f t="shared" si="8"/>
        <v>0</v>
      </c>
      <c r="H126" s="426"/>
      <c r="I126" s="338"/>
      <c r="J126" s="430"/>
    </row>
    <row r="127" spans="1:10" customFormat="1">
      <c r="A127" s="104"/>
      <c r="B127" s="360" t="e">
        <f t="shared" si="7"/>
        <v>#REF!</v>
      </c>
      <c r="C127" s="403"/>
      <c r="D127" s="265"/>
      <c r="E127" s="398"/>
      <c r="F127" s="398"/>
      <c r="G127" s="398">
        <f t="shared" si="8"/>
        <v>0</v>
      </c>
      <c r="H127" s="426"/>
      <c r="I127" s="338"/>
      <c r="J127" s="430"/>
    </row>
    <row r="128" spans="1:10" customFormat="1">
      <c r="A128" s="104">
        <v>1</v>
      </c>
      <c r="B128" s="360" t="e">
        <f t="shared" si="7"/>
        <v>#REF!</v>
      </c>
      <c r="C128" s="403" t="s">
        <v>372</v>
      </c>
      <c r="D128" s="265"/>
      <c r="E128" s="398"/>
      <c r="F128" s="398"/>
      <c r="G128" s="398">
        <f t="shared" si="8"/>
        <v>0</v>
      </c>
      <c r="H128" s="426"/>
      <c r="I128" s="338"/>
      <c r="J128" s="430"/>
    </row>
    <row r="129" spans="1:10" customFormat="1" ht="12" customHeight="1">
      <c r="A129" s="106">
        <v>1.01</v>
      </c>
      <c r="B129" s="106" t="e">
        <f t="shared" si="7"/>
        <v>#REF!</v>
      </c>
      <c r="C129" s="404" t="s">
        <v>412</v>
      </c>
      <c r="D129" s="265" t="s">
        <v>23</v>
      </c>
      <c r="E129" s="398"/>
      <c r="F129" s="398"/>
      <c r="G129" s="398">
        <f t="shared" si="8"/>
        <v>0</v>
      </c>
      <c r="H129" s="426"/>
      <c r="I129" s="338">
        <f>I$18/1000</f>
        <v>0</v>
      </c>
      <c r="J129" s="430"/>
    </row>
    <row r="130" spans="1:10" customFormat="1">
      <c r="A130" s="106">
        <v>1.02</v>
      </c>
      <c r="B130" s="106" t="e">
        <f t="shared" si="7"/>
        <v>#REF!</v>
      </c>
      <c r="C130" s="404" t="s">
        <v>413</v>
      </c>
      <c r="D130" s="265" t="s">
        <v>23</v>
      </c>
      <c r="E130" s="398"/>
      <c r="F130" s="398"/>
      <c r="G130" s="398">
        <f t="shared" si="8"/>
        <v>0</v>
      </c>
      <c r="H130" s="426"/>
      <c r="I130" s="338">
        <f>I$18/1000</f>
        <v>0</v>
      </c>
      <c r="J130" s="430"/>
    </row>
    <row r="131" spans="1:10" customFormat="1" ht="25.5">
      <c r="A131" s="106">
        <v>1.02</v>
      </c>
      <c r="B131" s="106" t="e">
        <f t="shared" si="7"/>
        <v>#REF!</v>
      </c>
      <c r="C131" s="404" t="s">
        <v>414</v>
      </c>
      <c r="D131" s="265" t="s">
        <v>23</v>
      </c>
      <c r="E131" s="398"/>
      <c r="F131" s="398"/>
      <c r="G131" s="398">
        <f t="shared" si="8"/>
        <v>0</v>
      </c>
      <c r="H131" s="426"/>
      <c r="I131" s="338">
        <f>I$18/1000</f>
        <v>0</v>
      </c>
      <c r="J131" s="430"/>
    </row>
    <row r="132" spans="1:10" customFormat="1" ht="12" customHeight="1">
      <c r="A132" s="106">
        <v>1.03</v>
      </c>
      <c r="B132" s="106" t="e">
        <f t="shared" si="7"/>
        <v>#REF!</v>
      </c>
      <c r="C132" s="404" t="s">
        <v>415</v>
      </c>
      <c r="D132" s="265" t="s">
        <v>167</v>
      </c>
      <c r="E132" s="398"/>
      <c r="F132" s="398"/>
      <c r="G132" s="398" t="e">
        <f t="shared" si="8"/>
        <v>#DIV/0!</v>
      </c>
      <c r="H132" s="426"/>
      <c r="I132" s="338" t="e">
        <f>$H132/(COUNTA($1:$1)-1)</f>
        <v>#DIV/0!</v>
      </c>
      <c r="J132" s="430"/>
    </row>
    <row r="133" spans="1:10" customFormat="1" ht="25.5">
      <c r="A133" s="106">
        <v>1.04</v>
      </c>
      <c r="B133" s="106" t="e">
        <f t="shared" si="7"/>
        <v>#REF!</v>
      </c>
      <c r="C133" s="404" t="s">
        <v>416</v>
      </c>
      <c r="D133" s="265" t="s">
        <v>167</v>
      </c>
      <c r="E133" s="398"/>
      <c r="F133" s="398"/>
      <c r="G133" s="398" t="e">
        <f t="shared" si="8"/>
        <v>#DIV/0!</v>
      </c>
      <c r="H133" s="426"/>
      <c r="I133" s="338" t="e">
        <f>$H133/(COUNTA($1:$1)-1)</f>
        <v>#DIV/0!</v>
      </c>
      <c r="J133" s="430"/>
    </row>
    <row r="134" spans="1:10" customFormat="1" ht="12" customHeight="1">
      <c r="A134" s="106">
        <v>1.05</v>
      </c>
      <c r="B134" s="106" t="e">
        <f t="shared" si="7"/>
        <v>#REF!</v>
      </c>
      <c r="C134" s="404" t="s">
        <v>373</v>
      </c>
      <c r="D134" s="265" t="s">
        <v>17</v>
      </c>
      <c r="E134" s="398"/>
      <c r="F134" s="398"/>
      <c r="G134" s="398" t="e">
        <f t="shared" si="8"/>
        <v>#DIV/0!</v>
      </c>
      <c r="H134" s="426"/>
      <c r="I134" s="338" t="e">
        <f>$H134/(COUNTA($1:$1)-1)</f>
        <v>#DIV/0!</v>
      </c>
      <c r="J134" s="430"/>
    </row>
    <row r="135" spans="1:10" customFormat="1" ht="12" customHeight="1">
      <c r="A135" s="106">
        <v>1.06</v>
      </c>
      <c r="B135" s="106" t="e">
        <f t="shared" si="7"/>
        <v>#REF!</v>
      </c>
      <c r="C135" s="404" t="s">
        <v>417</v>
      </c>
      <c r="D135" s="265" t="s">
        <v>377</v>
      </c>
      <c r="E135" s="398"/>
      <c r="F135" s="398"/>
      <c r="G135" s="398">
        <f t="shared" si="8"/>
        <v>0</v>
      </c>
      <c r="H135" s="426"/>
      <c r="I135" s="338">
        <f>+(11*I18/10000)</f>
        <v>0</v>
      </c>
      <c r="J135" s="430"/>
    </row>
    <row r="136" spans="1:10" customFormat="1" ht="12" customHeight="1">
      <c r="A136" s="106">
        <v>1.07</v>
      </c>
      <c r="B136" s="106" t="e">
        <f t="shared" si="7"/>
        <v>#REF!</v>
      </c>
      <c r="C136" s="404" t="s">
        <v>418</v>
      </c>
      <c r="D136" s="265" t="s">
        <v>167</v>
      </c>
      <c r="E136" s="398"/>
      <c r="F136" s="398"/>
      <c r="G136" s="398" t="e">
        <f t="shared" si="8"/>
        <v>#DIV/0!</v>
      </c>
      <c r="H136" s="426"/>
      <c r="I136" s="338" t="e">
        <f>$H136/(COUNTA($1:$1)-1)</f>
        <v>#DIV/0!</v>
      </c>
      <c r="J136" s="430"/>
    </row>
    <row r="137" spans="1:10" customFormat="1" ht="12" customHeight="1">
      <c r="A137" s="106">
        <v>1.08</v>
      </c>
      <c r="B137" s="106" t="e">
        <f t="shared" si="7"/>
        <v>#REF!</v>
      </c>
      <c r="C137" s="404" t="s">
        <v>419</v>
      </c>
      <c r="D137" s="265" t="s">
        <v>23</v>
      </c>
      <c r="E137" s="398"/>
      <c r="F137" s="398"/>
      <c r="G137" s="398">
        <f t="shared" si="8"/>
        <v>0</v>
      </c>
      <c r="H137" s="426"/>
      <c r="I137" s="338">
        <f>I$18/1000</f>
        <v>0</v>
      </c>
      <c r="J137" s="430"/>
    </row>
    <row r="138" spans="1:10" customFormat="1" ht="12" customHeight="1">
      <c r="A138" s="106"/>
      <c r="B138" s="106" t="e">
        <f t="shared" si="7"/>
        <v>#REF!</v>
      </c>
      <c r="C138" s="404" t="s">
        <v>104</v>
      </c>
      <c r="D138" s="265"/>
      <c r="E138" s="398"/>
      <c r="F138" s="398"/>
      <c r="G138" s="398">
        <f t="shared" si="8"/>
        <v>0</v>
      </c>
      <c r="H138" s="426"/>
      <c r="I138" s="338"/>
      <c r="J138" s="430"/>
    </row>
    <row r="139" spans="1:10" customFormat="1">
      <c r="A139" s="104">
        <v>2</v>
      </c>
      <c r="B139" s="360" t="e">
        <f t="shared" ref="B139:B177" si="9">B138+1</f>
        <v>#REF!</v>
      </c>
      <c r="C139" s="403" t="s">
        <v>420</v>
      </c>
      <c r="D139" s="265"/>
      <c r="E139" s="398"/>
      <c r="F139" s="398"/>
      <c r="G139" s="398">
        <f t="shared" ref="G139:G177" si="10">+SUM($I139:$FZ139)</f>
        <v>0</v>
      </c>
      <c r="H139" s="426"/>
      <c r="I139" s="338"/>
      <c r="J139" s="430"/>
    </row>
    <row r="140" spans="1:10" customFormat="1" ht="12" customHeight="1">
      <c r="A140" s="106">
        <v>2.0099999999999998</v>
      </c>
      <c r="B140" s="106" t="e">
        <f t="shared" si="9"/>
        <v>#REF!</v>
      </c>
      <c r="C140" s="404" t="s">
        <v>374</v>
      </c>
      <c r="D140" s="265" t="s">
        <v>75</v>
      </c>
      <c r="E140" s="398"/>
      <c r="F140" s="398"/>
      <c r="G140" s="398">
        <f t="shared" si="10"/>
        <v>0</v>
      </c>
      <c r="H140" s="426"/>
      <c r="I140" s="338">
        <f>IF(OR(I$28="CIM1",I$28="CIM2"),VLOOKUP(I$14,VOL_EXC_N,14,0)*I$11*I$15/100,0)+IF(OR(I$28="CIM3",I$28="CIM3_II",I$28="CIM3_III",,I$28="CIM3_IV"),VLOOKUP(I$14,VOL_EXC_C,14,0)*I$11*I$15/100,0)</f>
        <v>0</v>
      </c>
      <c r="J140" s="430"/>
    </row>
    <row r="141" spans="1:10" customFormat="1" ht="12" customHeight="1">
      <c r="A141" s="106">
        <v>2.0199999999999996</v>
      </c>
      <c r="B141" s="106" t="e">
        <f t="shared" si="9"/>
        <v>#REF!</v>
      </c>
      <c r="C141" s="404" t="s">
        <v>375</v>
      </c>
      <c r="D141" s="265" t="s">
        <v>75</v>
      </c>
      <c r="E141" s="398"/>
      <c r="F141" s="398"/>
      <c r="G141" s="398">
        <f t="shared" si="10"/>
        <v>0</v>
      </c>
      <c r="H141" s="426"/>
      <c r="I141" s="338">
        <f>IF(OR(I$28="CIM1",I$28="CIM2"),VLOOKUP(I$14,VOL_EXC_N,14,0)*I$11*I$16/100,0)+IF(OR(I$28="CIM3",I$28="CIM3_II",I$28="CIM3_III",,I$28="CIM3_IV"),VLOOKUP(I$14,VOL_EXC_C,14,0)*I$11*I$16/100,0)</f>
        <v>0</v>
      </c>
      <c r="J141" s="430"/>
    </row>
    <row r="142" spans="1:10" customFormat="1" ht="12" customHeight="1">
      <c r="A142" s="106">
        <v>2.0299999999999998</v>
      </c>
      <c r="B142" s="106" t="e">
        <f t="shared" si="9"/>
        <v>#REF!</v>
      </c>
      <c r="C142" s="404" t="s">
        <v>421</v>
      </c>
      <c r="D142" s="265" t="s">
        <v>17</v>
      </c>
      <c r="E142" s="398"/>
      <c r="F142" s="398"/>
      <c r="G142" s="398">
        <f t="shared" si="10"/>
        <v>0</v>
      </c>
      <c r="H142" s="426" t="s">
        <v>62</v>
      </c>
      <c r="I142" s="338">
        <f>IF($H142=I$14,I$11,0)</f>
        <v>0</v>
      </c>
      <c r="J142" s="430"/>
    </row>
    <row r="143" spans="1:10" customFormat="1" ht="12" customHeight="1">
      <c r="A143" s="106">
        <v>2.0499999999999998</v>
      </c>
      <c r="B143" s="106" t="e">
        <f t="shared" si="9"/>
        <v>#REF!</v>
      </c>
      <c r="C143" s="404" t="s">
        <v>422</v>
      </c>
      <c r="D143" s="265" t="s">
        <v>17</v>
      </c>
      <c r="E143" s="398"/>
      <c r="F143" s="398"/>
      <c r="G143" s="398">
        <f t="shared" si="10"/>
        <v>0</v>
      </c>
      <c r="H143" s="426" t="s">
        <v>62</v>
      </c>
      <c r="I143" s="338">
        <f>IF($H143=I$14,I$11,0)</f>
        <v>0</v>
      </c>
      <c r="J143" s="430"/>
    </row>
    <row r="144" spans="1:10" customFormat="1" ht="12" customHeight="1">
      <c r="A144" s="106">
        <v>2.0699999999999998</v>
      </c>
      <c r="B144" s="106" t="e">
        <f t="shared" si="9"/>
        <v>#REF!</v>
      </c>
      <c r="C144" s="404" t="s">
        <v>423</v>
      </c>
      <c r="D144" s="265" t="s">
        <v>75</v>
      </c>
      <c r="E144" s="398"/>
      <c r="F144" s="398"/>
      <c r="G144" s="398">
        <f t="shared" si="10"/>
        <v>0</v>
      </c>
      <c r="H144" s="426"/>
      <c r="I144" s="338">
        <f>IF(I$28="CIM1",I$11*#REF!/100,0)</f>
        <v>0</v>
      </c>
      <c r="J144" s="430"/>
    </row>
    <row r="145" spans="1:10" customFormat="1" ht="12" customHeight="1">
      <c r="A145" s="106">
        <v>2.0799999999999996</v>
      </c>
      <c r="B145" s="106" t="e">
        <f t="shared" si="9"/>
        <v>#REF!</v>
      </c>
      <c r="C145" s="404" t="s">
        <v>424</v>
      </c>
      <c r="D145" s="265" t="s">
        <v>75</v>
      </c>
      <c r="E145" s="398"/>
      <c r="F145" s="398"/>
      <c r="G145" s="398">
        <f t="shared" si="10"/>
        <v>0</v>
      </c>
      <c r="H145" s="426"/>
      <c r="I145" s="338">
        <f>IF($H145=I$14,I$11,0)</f>
        <v>0</v>
      </c>
      <c r="J145" s="430"/>
    </row>
    <row r="146" spans="1:10" customFormat="1" ht="12" customHeight="1">
      <c r="A146" s="106"/>
      <c r="B146" s="106" t="e">
        <f t="shared" si="9"/>
        <v>#REF!</v>
      </c>
      <c r="C146" s="404" t="s">
        <v>104</v>
      </c>
      <c r="D146" s="265"/>
      <c r="E146" s="398"/>
      <c r="F146" s="398"/>
      <c r="G146" s="398"/>
      <c r="H146" s="426"/>
      <c r="I146" s="338"/>
      <c r="J146" s="430"/>
    </row>
    <row r="147" spans="1:10" customFormat="1">
      <c r="A147" s="104">
        <v>3</v>
      </c>
      <c r="B147" s="360" t="e">
        <f t="shared" si="9"/>
        <v>#REF!</v>
      </c>
      <c r="C147" s="403" t="s">
        <v>106</v>
      </c>
      <c r="D147" s="265"/>
      <c r="E147" s="398"/>
      <c r="F147" s="398"/>
      <c r="G147" s="398"/>
      <c r="H147" s="426"/>
      <c r="I147" s="338"/>
      <c r="J147" s="430"/>
    </row>
    <row r="148" spans="1:10" customFormat="1" ht="12" customHeight="1">
      <c r="A148" s="106">
        <v>3.01</v>
      </c>
      <c r="B148" s="106" t="e">
        <f t="shared" si="9"/>
        <v>#REF!</v>
      </c>
      <c r="C148" s="404" t="s">
        <v>374</v>
      </c>
      <c r="D148" s="265" t="s">
        <v>75</v>
      </c>
      <c r="E148" s="398"/>
      <c r="F148" s="398"/>
      <c r="G148" s="398">
        <f t="shared" si="10"/>
        <v>0</v>
      </c>
      <c r="H148" s="426"/>
      <c r="I148" s="338">
        <f>(VLOOKUP("RI",EXCV_RET,6,0)*(I$22+I$24)+VLOOKUP("RV",EXCV_RET,6,0)*(I$23+I$25))*I$15/100</f>
        <v>0</v>
      </c>
      <c r="J148" s="430"/>
    </row>
    <row r="149" spans="1:10" customFormat="1" ht="12" customHeight="1">
      <c r="A149" s="106">
        <v>3.0199999999999996</v>
      </c>
      <c r="B149" s="106" t="e">
        <f t="shared" si="9"/>
        <v>#REF!</v>
      </c>
      <c r="C149" s="404" t="s">
        <v>375</v>
      </c>
      <c r="D149" s="265" t="s">
        <v>75</v>
      </c>
      <c r="E149" s="398"/>
      <c r="F149" s="398"/>
      <c r="G149" s="398">
        <f t="shared" si="10"/>
        <v>0</v>
      </c>
      <c r="H149" s="426"/>
      <c r="I149" s="338">
        <f>(VLOOKUP("RI",EXCV_RET,6,0)*(I$22+I$24)+VLOOKUP("RV",EXCV_RET,6,0)*(I$23+I$25))*I$16/100</f>
        <v>0</v>
      </c>
      <c r="J149" s="430"/>
    </row>
    <row r="150" spans="1:10" customFormat="1" ht="12" customHeight="1">
      <c r="A150" s="106">
        <v>3.03</v>
      </c>
      <c r="B150" s="106" t="e">
        <f t="shared" si="9"/>
        <v>#REF!</v>
      </c>
      <c r="C150" s="404" t="s">
        <v>425</v>
      </c>
      <c r="D150" s="265" t="s">
        <v>17</v>
      </c>
      <c r="E150" s="398"/>
      <c r="F150" s="398"/>
      <c r="G150" s="398">
        <f t="shared" si="10"/>
        <v>0</v>
      </c>
      <c r="H150" s="426"/>
      <c r="I150" s="338">
        <f>+I22</f>
        <v>0</v>
      </c>
      <c r="J150" s="430"/>
    </row>
    <row r="151" spans="1:10" customFormat="1" ht="12" customHeight="1">
      <c r="A151" s="106">
        <v>3.04</v>
      </c>
      <c r="B151" s="106" t="e">
        <f t="shared" si="9"/>
        <v>#REF!</v>
      </c>
      <c r="C151" s="404" t="s">
        <v>426</v>
      </c>
      <c r="D151" s="265" t="s">
        <v>75</v>
      </c>
      <c r="E151" s="398"/>
      <c r="F151" s="398"/>
      <c r="G151" s="398">
        <f t="shared" si="10"/>
        <v>0</v>
      </c>
      <c r="H151" s="426"/>
      <c r="I151" s="338">
        <f>(VLOOKUP("RI",EXCV_RET,7,0)*(I$22+I$24)+VLOOKUP("RV",EXCV_RET,7,0)*(I$23+I$25))*I$15/100</f>
        <v>0</v>
      </c>
      <c r="J151" s="430"/>
    </row>
    <row r="152" spans="1:10" customFormat="1" ht="12" customHeight="1">
      <c r="A152" s="106">
        <v>3.05</v>
      </c>
      <c r="B152" s="106" t="e">
        <f t="shared" si="9"/>
        <v>#REF!</v>
      </c>
      <c r="C152" s="404" t="s">
        <v>427</v>
      </c>
      <c r="D152" s="265" t="s">
        <v>75</v>
      </c>
      <c r="E152" s="398"/>
      <c r="F152" s="398"/>
      <c r="G152" s="398">
        <f t="shared" si="10"/>
        <v>0</v>
      </c>
      <c r="H152" s="426"/>
      <c r="I152" s="338">
        <f>(VLOOKUP("RI",EXCV_RET,7,0)*(I$22+I$24)+VLOOKUP("RV",EXCV_RET,7,0)*(I$23+I$25))*I$16/100</f>
        <v>0</v>
      </c>
      <c r="J152" s="430"/>
    </row>
    <row r="153" spans="1:10" customFormat="1" ht="12" customHeight="1">
      <c r="A153" s="106"/>
      <c r="B153" s="106" t="e">
        <f t="shared" si="9"/>
        <v>#REF!</v>
      </c>
      <c r="C153" s="404" t="s">
        <v>104</v>
      </c>
      <c r="D153" s="265"/>
      <c r="E153" s="398"/>
      <c r="F153" s="398"/>
      <c r="G153" s="398"/>
      <c r="H153" s="426"/>
      <c r="I153" s="338"/>
      <c r="J153" s="430"/>
    </row>
    <row r="154" spans="1:10" customFormat="1">
      <c r="A154" s="104">
        <v>4</v>
      </c>
      <c r="B154" s="360" t="e">
        <f t="shared" si="9"/>
        <v>#REF!</v>
      </c>
      <c r="C154" s="403" t="s">
        <v>107</v>
      </c>
      <c r="D154" s="265"/>
      <c r="E154" s="398"/>
      <c r="F154" s="398"/>
      <c r="G154" s="398"/>
      <c r="H154" s="426"/>
      <c r="I154" s="338"/>
      <c r="J154" s="430"/>
    </row>
    <row r="155" spans="1:10" customFormat="1" ht="12" customHeight="1">
      <c r="A155" s="106">
        <v>4.01</v>
      </c>
      <c r="B155" s="106" t="e">
        <f t="shared" si="9"/>
        <v>#REF!</v>
      </c>
      <c r="C155" s="404" t="s">
        <v>428</v>
      </c>
      <c r="D155" s="265" t="s">
        <v>443</v>
      </c>
      <c r="E155" s="398"/>
      <c r="F155" s="398"/>
      <c r="G155" s="398">
        <f t="shared" si="10"/>
        <v>0</v>
      </c>
      <c r="H155" s="426" t="s">
        <v>6</v>
      </c>
      <c r="I155" s="338">
        <f t="shared" ref="I155:I162" si="11">IF($H155=I$2,1,0)+IF($H155=I$3,1,0)</f>
        <v>0</v>
      </c>
      <c r="J155" s="430"/>
    </row>
    <row r="156" spans="1:10" customFormat="1" ht="12" customHeight="1">
      <c r="A156" s="106">
        <v>4.0199999999999996</v>
      </c>
      <c r="B156" s="106" t="e">
        <f t="shared" si="9"/>
        <v>#REF!</v>
      </c>
      <c r="C156" s="404" t="s">
        <v>429</v>
      </c>
      <c r="D156" s="265" t="s">
        <v>443</v>
      </c>
      <c r="E156" s="398"/>
      <c r="F156" s="398"/>
      <c r="G156" s="398">
        <f t="shared" si="10"/>
        <v>0</v>
      </c>
      <c r="H156" s="426" t="s">
        <v>108</v>
      </c>
      <c r="I156" s="338">
        <f t="shared" si="11"/>
        <v>0</v>
      </c>
      <c r="J156" s="430"/>
    </row>
    <row r="157" spans="1:10" customFormat="1" ht="12" customHeight="1">
      <c r="A157" s="106">
        <v>4.03</v>
      </c>
      <c r="B157" s="106" t="e">
        <f t="shared" si="9"/>
        <v>#REF!</v>
      </c>
      <c r="C157" s="404" t="s">
        <v>430</v>
      </c>
      <c r="D157" s="265" t="s">
        <v>443</v>
      </c>
      <c r="E157" s="398"/>
      <c r="F157" s="398"/>
      <c r="G157" s="398">
        <f t="shared" si="10"/>
        <v>0</v>
      </c>
      <c r="H157" s="426" t="s">
        <v>25</v>
      </c>
      <c r="I157" s="338">
        <f t="shared" si="11"/>
        <v>0</v>
      </c>
      <c r="J157" s="430"/>
    </row>
    <row r="158" spans="1:10" customFormat="1" ht="12" customHeight="1">
      <c r="A158" s="106">
        <v>4.04</v>
      </c>
      <c r="B158" s="106" t="e">
        <f t="shared" si="9"/>
        <v>#REF!</v>
      </c>
      <c r="C158" s="404" t="s">
        <v>431</v>
      </c>
      <c r="D158" s="265" t="s">
        <v>443</v>
      </c>
      <c r="E158" s="398"/>
      <c r="F158" s="398"/>
      <c r="G158" s="398">
        <f t="shared" si="10"/>
        <v>0</v>
      </c>
      <c r="H158" s="426" t="s">
        <v>445</v>
      </c>
      <c r="I158" s="338">
        <f t="shared" si="11"/>
        <v>0</v>
      </c>
      <c r="J158" s="430"/>
    </row>
    <row r="159" spans="1:10" customFormat="1" ht="12" customHeight="1">
      <c r="A159" s="106">
        <v>4.05</v>
      </c>
      <c r="B159" s="106" t="e">
        <f t="shared" si="9"/>
        <v>#REF!</v>
      </c>
      <c r="C159" s="404" t="s">
        <v>432</v>
      </c>
      <c r="D159" s="265" t="s">
        <v>443</v>
      </c>
      <c r="E159" s="398"/>
      <c r="F159" s="398"/>
      <c r="G159" s="398">
        <f t="shared" si="10"/>
        <v>0</v>
      </c>
      <c r="H159" s="426" t="s">
        <v>24</v>
      </c>
      <c r="I159" s="338">
        <f t="shared" si="11"/>
        <v>0</v>
      </c>
      <c r="J159" s="430"/>
    </row>
    <row r="160" spans="1:10" customFormat="1" ht="12" customHeight="1">
      <c r="A160" s="106">
        <v>4.0599999999999996</v>
      </c>
      <c r="B160" s="106" t="e">
        <f t="shared" si="9"/>
        <v>#REF!</v>
      </c>
      <c r="C160" s="404" t="s">
        <v>433</v>
      </c>
      <c r="D160" s="265" t="s">
        <v>443</v>
      </c>
      <c r="E160" s="398"/>
      <c r="F160" s="398"/>
      <c r="G160" s="398">
        <f t="shared" si="10"/>
        <v>0</v>
      </c>
      <c r="H160" s="426" t="s">
        <v>110</v>
      </c>
      <c r="I160" s="338">
        <f t="shared" si="11"/>
        <v>0</v>
      </c>
      <c r="J160" s="430"/>
    </row>
    <row r="161" spans="1:10" customFormat="1" ht="12" customHeight="1">
      <c r="A161" s="106">
        <v>4.08</v>
      </c>
      <c r="B161" s="106" t="e">
        <f t="shared" si="9"/>
        <v>#REF!</v>
      </c>
      <c r="C161" s="404" t="s">
        <v>434</v>
      </c>
      <c r="D161" s="265" t="s">
        <v>443</v>
      </c>
      <c r="E161" s="398"/>
      <c r="F161" s="398"/>
      <c r="G161" s="398">
        <f t="shared" si="10"/>
        <v>0</v>
      </c>
      <c r="H161" s="426" t="s">
        <v>2</v>
      </c>
      <c r="I161" s="338">
        <f t="shared" si="11"/>
        <v>0</v>
      </c>
      <c r="J161" s="430"/>
    </row>
    <row r="162" spans="1:10" customFormat="1" ht="12" customHeight="1">
      <c r="A162" s="106">
        <v>4.09</v>
      </c>
      <c r="B162" s="106" t="e">
        <f t="shared" si="9"/>
        <v>#REF!</v>
      </c>
      <c r="C162" s="404" t="s">
        <v>435</v>
      </c>
      <c r="D162" s="265" t="s">
        <v>443</v>
      </c>
      <c r="E162" s="398"/>
      <c r="F162" s="398"/>
      <c r="G162" s="398">
        <f t="shared" si="10"/>
        <v>0</v>
      </c>
      <c r="H162" s="426" t="s">
        <v>111</v>
      </c>
      <c r="I162" s="338">
        <f t="shared" si="11"/>
        <v>0</v>
      </c>
      <c r="J162" s="430"/>
    </row>
    <row r="163" spans="1:10" customFormat="1" ht="12" customHeight="1">
      <c r="A163" s="106"/>
      <c r="B163" s="106" t="e">
        <f t="shared" si="9"/>
        <v>#REF!</v>
      </c>
      <c r="C163" s="404" t="s">
        <v>104</v>
      </c>
      <c r="D163" s="265"/>
      <c r="E163" s="398"/>
      <c r="F163" s="398"/>
      <c r="G163" s="398">
        <f t="shared" si="10"/>
        <v>0</v>
      </c>
      <c r="H163" s="426"/>
      <c r="I163" s="338"/>
      <c r="J163" s="430"/>
    </row>
    <row r="164" spans="1:10" customFormat="1">
      <c r="A164" s="104">
        <v>5</v>
      </c>
      <c r="B164" s="360" t="e">
        <f t="shared" si="9"/>
        <v>#REF!</v>
      </c>
      <c r="C164" s="403" t="s">
        <v>74</v>
      </c>
      <c r="D164" s="265"/>
      <c r="E164" s="398"/>
      <c r="F164" s="398"/>
      <c r="G164" s="398">
        <f t="shared" si="10"/>
        <v>0</v>
      </c>
      <c r="H164" s="426"/>
      <c r="I164" s="338"/>
      <c r="J164" s="430"/>
    </row>
    <row r="165" spans="1:10" customFormat="1" ht="12" customHeight="1">
      <c r="A165" s="106">
        <v>5.01</v>
      </c>
      <c r="B165" s="106" t="e">
        <f t="shared" si="9"/>
        <v>#REF!</v>
      </c>
      <c r="C165" s="404" t="s">
        <v>436</v>
      </c>
      <c r="D165" s="265" t="s">
        <v>23</v>
      </c>
      <c r="E165" s="398"/>
      <c r="F165" s="398"/>
      <c r="G165" s="398">
        <f t="shared" si="10"/>
        <v>0</v>
      </c>
      <c r="H165" s="426" t="s">
        <v>0</v>
      </c>
      <c r="I165" s="338">
        <f>IF(I$19=$H165,I$18*I$20*F_COND/1000,0)</f>
        <v>0</v>
      </c>
      <c r="J165" s="430"/>
    </row>
    <row r="166" spans="1:10" customFormat="1" ht="12" customHeight="1">
      <c r="A166" s="106">
        <v>5.0199999999999996</v>
      </c>
      <c r="B166" s="106" t="e">
        <f t="shared" si="9"/>
        <v>#REF!</v>
      </c>
      <c r="C166" s="404" t="s">
        <v>437</v>
      </c>
      <c r="D166" s="265" t="s">
        <v>23</v>
      </c>
      <c r="E166" s="398"/>
      <c r="F166" s="398"/>
      <c r="G166" s="398">
        <f t="shared" si="10"/>
        <v>0</v>
      </c>
      <c r="H166" s="426" t="s">
        <v>63</v>
      </c>
      <c r="I166" s="338">
        <f>IF(I$19=$H166,I$18*I$20*F_COND/1000,0)</f>
        <v>0</v>
      </c>
      <c r="J166" s="430"/>
    </row>
    <row r="167" spans="1:10" customFormat="1" ht="12" customHeight="1">
      <c r="A167" s="106"/>
      <c r="B167" s="106" t="e">
        <f t="shared" si="9"/>
        <v>#REF!</v>
      </c>
      <c r="C167" s="404" t="s">
        <v>104</v>
      </c>
      <c r="D167" s="265"/>
      <c r="E167" s="398"/>
      <c r="F167" s="398"/>
      <c r="G167" s="398">
        <f t="shared" si="10"/>
        <v>0</v>
      </c>
      <c r="H167" s="426"/>
      <c r="I167" s="338">
        <f>+I25</f>
        <v>0</v>
      </c>
      <c r="J167" s="430"/>
    </row>
    <row r="168" spans="1:10" customFormat="1">
      <c r="A168" s="104">
        <v>6</v>
      </c>
      <c r="B168" s="360" t="e">
        <f t="shared" si="9"/>
        <v>#REF!</v>
      </c>
      <c r="C168" s="403" t="s">
        <v>18</v>
      </c>
      <c r="D168" s="265"/>
      <c r="E168" s="398"/>
      <c r="F168" s="398"/>
      <c r="G168" s="398">
        <f t="shared" si="10"/>
        <v>0</v>
      </c>
      <c r="H168" s="426"/>
      <c r="I168" s="338"/>
      <c r="J168" s="430"/>
    </row>
    <row r="169" spans="1:10" customFormat="1" ht="12" customHeight="1">
      <c r="A169" s="106">
        <v>6.01</v>
      </c>
      <c r="B169" s="106" t="e">
        <f t="shared" si="9"/>
        <v>#REF!</v>
      </c>
      <c r="C169" s="404" t="s">
        <v>374</v>
      </c>
      <c r="D169" s="265" t="s">
        <v>75</v>
      </c>
      <c r="E169" s="398"/>
      <c r="F169" s="398"/>
      <c r="G169" s="398">
        <f t="shared" si="10"/>
        <v>0</v>
      </c>
      <c r="H169" s="426"/>
      <c r="I169" s="338">
        <f>VLOOKUP(I$26,EXCV_PAT,6,0)*I$15/100</f>
        <v>0</v>
      </c>
      <c r="J169" s="430"/>
    </row>
    <row r="170" spans="1:10" customFormat="1" ht="12" customHeight="1">
      <c r="A170" s="106">
        <v>6.02</v>
      </c>
      <c r="B170" s="106" t="e">
        <f t="shared" si="9"/>
        <v>#REF!</v>
      </c>
      <c r="C170" s="404" t="s">
        <v>375</v>
      </c>
      <c r="D170" s="265" t="s">
        <v>75</v>
      </c>
      <c r="E170" s="398"/>
      <c r="F170" s="398"/>
      <c r="G170" s="398">
        <f t="shared" si="10"/>
        <v>0</v>
      </c>
      <c r="H170" s="426"/>
      <c r="I170" s="338">
        <f>VLOOKUP(I$26,EXCV_PAT,6,0)*I$16/100</f>
        <v>0</v>
      </c>
      <c r="J170" s="430"/>
    </row>
    <row r="171" spans="1:10" customFormat="1" ht="12" customHeight="1">
      <c r="A171" s="106">
        <v>6.03</v>
      </c>
      <c r="B171" s="106" t="e">
        <f t="shared" si="9"/>
        <v>#REF!</v>
      </c>
      <c r="C171" s="404" t="s">
        <v>438</v>
      </c>
      <c r="D171" s="265" t="s">
        <v>17</v>
      </c>
      <c r="E171" s="398"/>
      <c r="F171" s="398"/>
      <c r="G171" s="398">
        <f t="shared" si="10"/>
        <v>0</v>
      </c>
      <c r="H171" s="426"/>
      <c r="I171" s="338">
        <f>IF(I$26="PAT-1C",1,0)</f>
        <v>0</v>
      </c>
      <c r="J171" s="430"/>
    </row>
    <row r="172" spans="1:10" customFormat="1" ht="12" customHeight="1">
      <c r="A172" s="106">
        <v>6.04</v>
      </c>
      <c r="B172" s="106" t="e">
        <f t="shared" si="9"/>
        <v>#REF!</v>
      </c>
      <c r="C172" s="404" t="s">
        <v>439</v>
      </c>
      <c r="D172" s="265" t="s">
        <v>17</v>
      </c>
      <c r="E172" s="398"/>
      <c r="F172" s="398"/>
      <c r="G172" s="398">
        <f t="shared" si="10"/>
        <v>0</v>
      </c>
      <c r="H172" s="426" t="s">
        <v>1</v>
      </c>
      <c r="I172" s="338">
        <f>IF($H172=I$26,1,0)</f>
        <v>0</v>
      </c>
      <c r="J172" s="430"/>
    </row>
    <row r="173" spans="1:10" customFormat="1" ht="12" customHeight="1">
      <c r="A173" s="106">
        <v>6.05</v>
      </c>
      <c r="B173" s="106" t="e">
        <f t="shared" si="9"/>
        <v>#REF!</v>
      </c>
      <c r="C173" s="404" t="s">
        <v>440</v>
      </c>
      <c r="D173" s="265" t="s">
        <v>75</v>
      </c>
      <c r="E173" s="398"/>
      <c r="F173" s="398"/>
      <c r="G173" s="398">
        <f t="shared" si="10"/>
        <v>0</v>
      </c>
      <c r="H173" s="426"/>
      <c r="I173" s="338">
        <f>VLOOKUP(I$26,EXCV_PAT,6,0)</f>
        <v>0</v>
      </c>
      <c r="J173" s="430"/>
    </row>
    <row r="174" spans="1:10" customFormat="1" ht="12" customHeight="1">
      <c r="A174" s="106"/>
      <c r="B174" s="106" t="e">
        <f t="shared" si="9"/>
        <v>#REF!</v>
      </c>
      <c r="C174" s="404" t="s">
        <v>104</v>
      </c>
      <c r="D174" s="265"/>
      <c r="E174" s="398"/>
      <c r="F174" s="398"/>
      <c r="G174" s="398"/>
      <c r="H174" s="426"/>
      <c r="I174" s="338"/>
      <c r="J174" s="430"/>
    </row>
    <row r="175" spans="1:10" customFormat="1">
      <c r="A175" s="104">
        <v>7</v>
      </c>
      <c r="B175" s="360" t="e">
        <f t="shared" si="9"/>
        <v>#REF!</v>
      </c>
      <c r="C175" s="403" t="s">
        <v>16</v>
      </c>
      <c r="D175" s="265"/>
      <c r="E175" s="398"/>
      <c r="F175" s="398"/>
      <c r="G175" s="398"/>
      <c r="H175" s="426"/>
      <c r="I175" s="338"/>
      <c r="J175" s="430"/>
    </row>
    <row r="176" spans="1:10" customFormat="1" ht="12" customHeight="1">
      <c r="A176" s="106">
        <v>7.01</v>
      </c>
      <c r="B176" s="106" t="e">
        <f t="shared" si="9"/>
        <v>#REF!</v>
      </c>
      <c r="C176" s="404" t="s">
        <v>441</v>
      </c>
      <c r="D176" s="265" t="s">
        <v>23</v>
      </c>
      <c r="E176" s="398"/>
      <c r="F176" s="398"/>
      <c r="G176" s="398">
        <f t="shared" si="10"/>
        <v>0</v>
      </c>
      <c r="H176" s="426"/>
      <c r="I176" s="338">
        <f>I$18/1000</f>
        <v>0</v>
      </c>
      <c r="J176" s="430"/>
    </row>
    <row r="177" spans="1:13" customFormat="1" ht="38.25">
      <c r="A177" s="431">
        <v>7.02</v>
      </c>
      <c r="B177" s="431" t="e">
        <f t="shared" si="9"/>
        <v>#REF!</v>
      </c>
      <c r="C177" s="432" t="s">
        <v>442</v>
      </c>
      <c r="D177" s="433" t="s">
        <v>23</v>
      </c>
      <c r="E177" s="434"/>
      <c r="F177" s="434"/>
      <c r="G177" s="434">
        <f t="shared" si="10"/>
        <v>0</v>
      </c>
      <c r="H177" s="439"/>
      <c r="I177" s="435">
        <f>I$18/1000</f>
        <v>0</v>
      </c>
      <c r="J177" s="430"/>
      <c r="M177" s="1"/>
    </row>
    <row r="178" spans="1:13">
      <c r="A178"/>
      <c r="B178"/>
      <c r="C178"/>
      <c r="D178"/>
      <c r="E178" s="400"/>
      <c r="F178" s="400"/>
      <c r="G178" s="400"/>
      <c r="H178"/>
      <c r="I178"/>
    </row>
    <row r="179" spans="1:13">
      <c r="A179"/>
      <c r="B179"/>
      <c r="C179"/>
      <c r="D179"/>
      <c r="E179" s="400"/>
      <c r="F179" s="400"/>
      <c r="G179" s="400"/>
      <c r="H179"/>
      <c r="I179"/>
    </row>
    <row r="180" spans="1:13">
      <c r="A180"/>
      <c r="B180"/>
      <c r="C180"/>
      <c r="D180"/>
      <c r="E180" s="400"/>
      <c r="F180" s="400"/>
      <c r="G180" s="400"/>
      <c r="H180"/>
      <c r="I180"/>
    </row>
    <row r="181" spans="1:13">
      <c r="A181"/>
      <c r="B181"/>
      <c r="C181" s="112" t="s">
        <v>135</v>
      </c>
      <c r="D181"/>
      <c r="E181" s="400"/>
      <c r="F181" s="400"/>
      <c r="G181" s="400"/>
      <c r="H181"/>
      <c r="I181"/>
    </row>
    <row r="182" spans="1:13">
      <c r="A182"/>
      <c r="B182"/>
      <c r="C182"/>
      <c r="D182"/>
      <c r="E182" s="400"/>
      <c r="F182" s="400"/>
      <c r="G182" s="400"/>
      <c r="H182"/>
      <c r="I182"/>
    </row>
    <row r="183" spans="1:13">
      <c r="A183"/>
      <c r="B183"/>
      <c r="C183"/>
      <c r="D183"/>
      <c r="E183" s="400"/>
      <c r="F183" s="400"/>
      <c r="G183" s="400"/>
      <c r="H183"/>
      <c r="I183"/>
    </row>
    <row r="184" spans="1:13">
      <c r="A184"/>
      <c r="B184"/>
      <c r="C184"/>
      <c r="D184"/>
      <c r="E184" s="400"/>
      <c r="F184" s="400"/>
      <c r="G184" s="400"/>
      <c r="H184"/>
      <c r="I184"/>
    </row>
    <row r="185" spans="1:13">
      <c r="A185"/>
      <c r="B185"/>
      <c r="C185"/>
      <c r="D185"/>
      <c r="E185" s="400"/>
      <c r="F185" s="400"/>
      <c r="G185" s="400"/>
      <c r="H185"/>
      <c r="I185"/>
    </row>
    <row r="186" spans="1:13">
      <c r="A186"/>
      <c r="B186"/>
      <c r="C186"/>
      <c r="D186"/>
      <c r="E186"/>
      <c r="F186"/>
      <c r="G186"/>
      <c r="H186"/>
      <c r="I186"/>
    </row>
    <row r="187" spans="1:13" ht="13.5" customHeight="1">
      <c r="A187"/>
      <c r="B187"/>
      <c r="C187"/>
      <c r="D187"/>
      <c r="E187"/>
      <c r="F187"/>
      <c r="G187"/>
      <c r="H187"/>
      <c r="I187"/>
    </row>
    <row r="188" spans="1:13">
      <c r="A188"/>
      <c r="B188"/>
      <c r="C188"/>
      <c r="D188"/>
      <c r="E188"/>
      <c r="F188"/>
      <c r="G188"/>
      <c r="H188"/>
      <c r="I188"/>
    </row>
    <row r="189" spans="1:13">
      <c r="A189"/>
      <c r="B189"/>
      <c r="C189"/>
      <c r="D189"/>
      <c r="E189"/>
      <c r="F189"/>
      <c r="G189"/>
      <c r="H189"/>
      <c r="I189"/>
    </row>
    <row r="190" spans="1:13">
      <c r="A190"/>
      <c r="B190"/>
      <c r="C190"/>
      <c r="D190"/>
      <c r="E190"/>
      <c r="F190"/>
      <c r="G190"/>
      <c r="H190"/>
      <c r="I190"/>
    </row>
    <row r="191" spans="1:13">
      <c r="A191"/>
      <c r="B191"/>
      <c r="C191"/>
      <c r="D191"/>
      <c r="E191"/>
      <c r="F191"/>
      <c r="G191"/>
      <c r="H191"/>
      <c r="I191"/>
    </row>
    <row r="192" spans="1:13">
      <c r="A192"/>
      <c r="B192"/>
      <c r="C192"/>
      <c r="D192"/>
      <c r="E192"/>
      <c r="F192"/>
      <c r="G192"/>
      <c r="H192"/>
      <c r="I192"/>
    </row>
  </sheetData>
  <mergeCells count="10">
    <mergeCell ref="A49:A51"/>
    <mergeCell ref="F49:F51"/>
    <mergeCell ref="E49:E51"/>
    <mergeCell ref="C22:C25"/>
    <mergeCell ref="C15:C17"/>
    <mergeCell ref="C11:C14"/>
    <mergeCell ref="C18:C21"/>
    <mergeCell ref="G49:G51"/>
    <mergeCell ref="B49:C51"/>
    <mergeCell ref="D49:D51"/>
  </mergeCells>
  <pageMargins left="0.78740157480314965" right="0.39370078740157483" top="0.38" bottom="0.39370078740157483" header="0.27" footer="0.31496062992125984"/>
  <pageSetup paperSize="8" scale="60" fitToWidth="30" fitToHeight="4" orientation="portrait" r:id="rId1"/>
  <headerFooter>
    <oddHeader>&amp;R&amp;P / &amp;N</oddHeader>
  </headerFooter>
  <rowBreaks count="1" manualBreakCount="1">
    <brk id="125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AD29"/>
  <sheetViews>
    <sheetView view="pageBreakPreview" zoomScale="55" zoomScaleSheetLayoutView="55" workbookViewId="0">
      <selection activeCell="F21" sqref="F21"/>
    </sheetView>
  </sheetViews>
  <sheetFormatPr defaultColWidth="11.5703125" defaultRowHeight="12.75"/>
  <cols>
    <col min="1" max="1" width="1.85546875" customWidth="1"/>
    <col min="2" max="2" width="14.140625" customWidth="1"/>
    <col min="3" max="3" width="2.5703125" customWidth="1"/>
    <col min="4" max="4" width="4.5703125" customWidth="1"/>
    <col min="5" max="5" width="66.85546875" customWidth="1"/>
    <col min="6" max="6" width="26.85546875" customWidth="1"/>
    <col min="7" max="7" width="0" hidden="1" customWidth="1"/>
    <col min="8" max="9" width="25.7109375" customWidth="1"/>
    <col min="10" max="10" width="1.5703125" customWidth="1"/>
    <col min="12" max="12" width="18.7109375" customWidth="1"/>
    <col min="13" max="13" width="2" customWidth="1"/>
    <col min="14" max="14" width="88.5703125" customWidth="1"/>
    <col min="15" max="15" width="9.42578125" customWidth="1"/>
    <col min="16" max="18" width="17.42578125" customWidth="1"/>
    <col min="19" max="19" width="1.28515625" customWidth="1"/>
    <col min="20" max="20" width="11" customWidth="1"/>
    <col min="22" max="22" width="7.28515625" bestFit="1" customWidth="1"/>
    <col min="23" max="23" width="28.85546875" customWidth="1"/>
    <col min="24" max="24" width="13.85546875" customWidth="1"/>
    <col min="25" max="25" width="15.42578125" customWidth="1"/>
    <col min="26" max="26" width="10.7109375" customWidth="1"/>
    <col min="27" max="27" width="15.28515625" customWidth="1"/>
    <col min="28" max="28" width="14" customWidth="1"/>
    <col min="29" max="29" width="12.28515625" bestFit="1" customWidth="1"/>
    <col min="30" max="30" width="12" bestFit="1" customWidth="1"/>
  </cols>
  <sheetData>
    <row r="1" spans="1:30" ht="14.25" customHeight="1">
      <c r="A1" s="131"/>
      <c r="B1" s="131"/>
      <c r="C1" s="131"/>
      <c r="D1" s="131"/>
      <c r="E1" s="131"/>
      <c r="F1" s="131"/>
      <c r="G1" s="131"/>
      <c r="H1" s="131"/>
      <c r="I1" s="131"/>
      <c r="L1" s="2"/>
      <c r="M1" s="187"/>
      <c r="N1" s="2"/>
      <c r="O1" s="2"/>
      <c r="P1" s="2"/>
      <c r="Q1" s="188"/>
      <c r="R1" s="188"/>
      <c r="S1" s="2"/>
      <c r="T1" s="188"/>
    </row>
    <row r="2" spans="1:30" ht="26.25">
      <c r="A2" s="131"/>
      <c r="B2" s="572" t="s">
        <v>199</v>
      </c>
      <c r="C2" s="572"/>
      <c r="D2" s="572"/>
      <c r="E2" s="572"/>
      <c r="F2" s="572"/>
      <c r="G2" s="572"/>
      <c r="H2" s="572"/>
      <c r="I2" s="572"/>
      <c r="L2" s="234" t="s">
        <v>237</v>
      </c>
      <c r="M2" s="234"/>
      <c r="N2" s="234"/>
      <c r="O2" s="234"/>
      <c r="P2" s="234"/>
      <c r="Q2" s="234"/>
      <c r="R2" s="234"/>
      <c r="S2" s="2"/>
      <c r="T2" s="188"/>
    </row>
    <row r="3" spans="1:30" ht="20.25">
      <c r="A3" s="131"/>
      <c r="B3" s="132"/>
      <c r="C3" s="132"/>
      <c r="D3" s="132"/>
      <c r="E3" s="132"/>
      <c r="F3" s="132"/>
      <c r="G3" s="132"/>
      <c r="H3" s="132"/>
      <c r="I3" s="132"/>
      <c r="L3" s="189"/>
      <c r="M3" s="196"/>
      <c r="N3" s="190"/>
      <c r="O3" s="197"/>
      <c r="P3" s="197"/>
      <c r="Q3" s="190"/>
      <c r="R3" s="190"/>
      <c r="S3" s="2"/>
      <c r="T3" s="231"/>
      <c r="V3" s="556"/>
      <c r="W3" s="557"/>
      <c r="X3" s="557"/>
      <c r="Y3" s="557"/>
      <c r="Z3" s="557"/>
      <c r="AA3" s="557"/>
      <c r="AB3" s="557"/>
      <c r="AC3" s="557"/>
      <c r="AD3" s="558"/>
    </row>
    <row r="4" spans="1:30" ht="25.5" customHeight="1">
      <c r="A4" s="131"/>
      <c r="B4" s="132"/>
      <c r="C4" s="132"/>
      <c r="D4" s="132"/>
      <c r="E4" s="132"/>
      <c r="F4" s="132"/>
      <c r="G4" s="132"/>
      <c r="H4" s="132"/>
      <c r="I4" s="132"/>
      <c r="L4" s="205"/>
      <c r="M4" s="196"/>
      <c r="N4" s="235"/>
      <c r="O4" s="236"/>
      <c r="P4" s="236"/>
      <c r="Q4" s="236"/>
      <c r="R4" s="236"/>
      <c r="S4" s="2"/>
      <c r="T4" s="232"/>
      <c r="V4" s="194" t="s">
        <v>27</v>
      </c>
      <c r="W4" s="194" t="s">
        <v>153</v>
      </c>
      <c r="X4" s="194" t="s">
        <v>154</v>
      </c>
      <c r="Y4" s="195" t="str">
        <f>"LONG. (m)" &amp; SUM($D$3:$D$103)</f>
        <v>LONG. (m)0</v>
      </c>
      <c r="Z4" s="194" t="s">
        <v>155</v>
      </c>
      <c r="AA4" s="194" t="s">
        <v>156</v>
      </c>
      <c r="AB4" s="194" t="s">
        <v>29</v>
      </c>
      <c r="AC4" s="194" t="s">
        <v>13</v>
      </c>
      <c r="AD4" s="194" t="s">
        <v>157</v>
      </c>
    </row>
    <row r="5" spans="1:30" ht="20.25">
      <c r="A5" s="131"/>
      <c r="B5" s="132"/>
      <c r="C5" s="132"/>
      <c r="D5" s="132"/>
      <c r="E5" s="132"/>
      <c r="F5" s="132"/>
      <c r="G5" s="132"/>
      <c r="H5" s="132"/>
      <c r="I5" s="132"/>
      <c r="L5" s="191"/>
      <c r="M5" s="196"/>
      <c r="N5" s="192"/>
      <c r="O5" s="192"/>
      <c r="P5" s="192"/>
      <c r="Q5" s="190"/>
      <c r="R5" s="190"/>
      <c r="S5" s="2"/>
      <c r="T5" s="232"/>
    </row>
    <row r="6" spans="1:30" ht="20.25">
      <c r="A6" s="131"/>
      <c r="B6" s="132"/>
      <c r="C6" s="132"/>
      <c r="D6" s="132"/>
      <c r="E6" s="132"/>
      <c r="F6" s="132"/>
      <c r="G6" s="132"/>
      <c r="H6" s="132"/>
      <c r="I6" s="132"/>
      <c r="L6" s="191" t="s">
        <v>260</v>
      </c>
      <c r="M6" s="390" t="s">
        <v>137</v>
      </c>
      <c r="N6" s="198" t="s">
        <v>254</v>
      </c>
      <c r="O6" s="198"/>
      <c r="P6" s="198"/>
      <c r="Q6" s="190"/>
      <c r="R6" s="190"/>
      <c r="S6" s="2"/>
      <c r="T6" s="232"/>
    </row>
    <row r="7" spans="1:30" ht="23.25">
      <c r="A7" s="131"/>
      <c r="B7" s="133">
        <v>1</v>
      </c>
      <c r="C7" s="132"/>
      <c r="D7" s="586" t="str">
        <f>VLOOKUP(B7,ser,2,FALSE)</f>
        <v xml:space="preserve"> “ELECTRIFICACIÓN RURAL SER CHANCHAMAYO III ETAPA"</v>
      </c>
      <c r="E7" s="587"/>
      <c r="F7" s="587"/>
      <c r="G7" s="587"/>
      <c r="H7" s="587"/>
      <c r="I7" s="588"/>
      <c r="L7" s="191" t="s">
        <v>265</v>
      </c>
      <c r="M7" s="390" t="s">
        <v>137</v>
      </c>
      <c r="N7" s="192" t="s">
        <v>259</v>
      </c>
      <c r="O7" s="192"/>
      <c r="P7" s="192"/>
      <c r="Q7" s="190"/>
      <c r="R7" s="190"/>
      <c r="S7" s="2"/>
      <c r="T7" s="232"/>
    </row>
    <row r="8" spans="1:30" ht="15.75">
      <c r="A8" s="131"/>
      <c r="B8" s="134"/>
      <c r="C8" s="135"/>
      <c r="D8" s="135"/>
      <c r="E8" s="135"/>
      <c r="F8" s="135"/>
      <c r="G8" s="131"/>
      <c r="H8" s="131"/>
      <c r="I8" s="131"/>
      <c r="L8" s="191" t="s">
        <v>266</v>
      </c>
      <c r="M8" s="390" t="s">
        <v>137</v>
      </c>
      <c r="N8" s="192"/>
      <c r="O8" s="192"/>
      <c r="P8" s="192"/>
      <c r="Q8" s="192"/>
      <c r="R8" s="192"/>
      <c r="S8" s="2"/>
      <c r="T8" s="232"/>
    </row>
    <row r="9" spans="1:30" ht="20.25">
      <c r="A9" s="131"/>
      <c r="B9" s="573"/>
      <c r="C9" s="573"/>
      <c r="D9" s="573"/>
      <c r="E9" s="573"/>
      <c r="F9" s="573"/>
      <c r="G9" s="573"/>
      <c r="H9" s="573"/>
      <c r="I9" s="573"/>
      <c r="L9" s="191" t="s">
        <v>136</v>
      </c>
      <c r="M9" s="390" t="s">
        <v>137</v>
      </c>
      <c r="N9" s="192" t="s">
        <v>223</v>
      </c>
      <c r="O9" s="192"/>
      <c r="P9" s="192"/>
      <c r="Q9" s="192"/>
      <c r="R9" s="192"/>
      <c r="S9" s="2"/>
      <c r="T9" s="232"/>
    </row>
    <row r="10" spans="1:30" ht="18">
      <c r="A10" s="131"/>
      <c r="B10" s="137"/>
      <c r="C10" s="136"/>
      <c r="D10" s="138"/>
      <c r="E10" s="136"/>
      <c r="F10" s="136"/>
      <c r="G10" s="131"/>
      <c r="H10" s="131"/>
      <c r="I10" s="131"/>
      <c r="L10" s="191"/>
      <c r="M10" s="196"/>
      <c r="N10" s="206" t="s">
        <v>153</v>
      </c>
      <c r="O10" s="1"/>
      <c r="P10" s="192"/>
      <c r="Q10" s="190"/>
      <c r="R10" s="190"/>
      <c r="S10" s="2"/>
      <c r="T10" s="232"/>
    </row>
    <row r="11" spans="1:30" ht="16.5">
      <c r="A11" s="131"/>
      <c r="B11" s="137" t="s">
        <v>136</v>
      </c>
      <c r="C11" s="137"/>
      <c r="D11" s="138" t="s">
        <v>137</v>
      </c>
      <c r="E11" s="139" t="s">
        <v>223</v>
      </c>
      <c r="F11" s="137"/>
      <c r="G11" s="131"/>
      <c r="H11" s="131"/>
      <c r="I11" s="131"/>
      <c r="L11" s="2"/>
      <c r="M11" s="187"/>
      <c r="N11" s="2"/>
      <c r="O11" s="2"/>
      <c r="P11" s="2"/>
      <c r="Q11" s="188"/>
      <c r="R11" s="188"/>
      <c r="S11" s="2"/>
      <c r="T11" s="232"/>
    </row>
    <row r="12" spans="1:30" ht="17.25" customHeight="1" thickBot="1">
      <c r="A12" s="131"/>
      <c r="B12" s="140" t="s">
        <v>138</v>
      </c>
      <c r="C12" s="141"/>
      <c r="D12" s="142" t="s">
        <v>137</v>
      </c>
      <c r="E12" s="140" t="s">
        <v>139</v>
      </c>
      <c r="F12" s="140"/>
      <c r="G12" s="131"/>
      <c r="H12" s="131"/>
      <c r="I12" s="131"/>
      <c r="L12" s="559" t="s">
        <v>27</v>
      </c>
      <c r="M12" s="563" t="s">
        <v>105</v>
      </c>
      <c r="N12" s="564"/>
      <c r="O12" s="569" t="s">
        <v>36</v>
      </c>
      <c r="P12" s="560" t="s">
        <v>158</v>
      </c>
      <c r="Q12" s="560" t="s">
        <v>161</v>
      </c>
      <c r="R12" s="560" t="s">
        <v>258</v>
      </c>
      <c r="S12" s="2"/>
      <c r="T12" s="232"/>
    </row>
    <row r="13" spans="1:30" ht="39" customHeight="1" thickBot="1">
      <c r="A13" s="131"/>
      <c r="B13" s="574" t="s">
        <v>27</v>
      </c>
      <c r="C13" s="576" t="s">
        <v>140</v>
      </c>
      <c r="D13" s="577"/>
      <c r="E13" s="577"/>
      <c r="F13" s="578"/>
      <c r="G13" s="582" t="s">
        <v>141</v>
      </c>
      <c r="H13" s="584" t="s">
        <v>255</v>
      </c>
      <c r="I13" s="585"/>
      <c r="L13" s="559"/>
      <c r="M13" s="565"/>
      <c r="N13" s="566"/>
      <c r="O13" s="570"/>
      <c r="P13" s="561"/>
      <c r="Q13" s="561"/>
      <c r="R13" s="561"/>
      <c r="S13" s="2"/>
      <c r="T13" s="233"/>
    </row>
    <row r="14" spans="1:30" ht="34.5" customHeight="1" thickBot="1">
      <c r="A14" s="131"/>
      <c r="B14" s="575"/>
      <c r="C14" s="579"/>
      <c r="D14" s="580"/>
      <c r="E14" s="580"/>
      <c r="F14" s="581"/>
      <c r="G14" s="583"/>
      <c r="H14" s="143" t="s">
        <v>142</v>
      </c>
      <c r="I14" s="144" t="s">
        <v>256</v>
      </c>
      <c r="L14" s="559"/>
      <c r="M14" s="567"/>
      <c r="N14" s="568"/>
      <c r="O14" s="571"/>
      <c r="P14" s="562"/>
      <c r="Q14" s="562"/>
      <c r="R14" s="562"/>
      <c r="S14" s="2"/>
      <c r="T14" s="193"/>
    </row>
    <row r="15" spans="1:30" ht="15">
      <c r="A15" s="131"/>
      <c r="B15" s="145"/>
      <c r="C15" s="146"/>
      <c r="D15" s="147"/>
      <c r="E15" s="147"/>
      <c r="F15" s="147"/>
      <c r="G15" s="148"/>
      <c r="H15" s="149"/>
      <c r="I15" s="149"/>
      <c r="L15" s="207"/>
      <c r="M15" s="208"/>
      <c r="N15" s="209"/>
      <c r="O15" s="207"/>
      <c r="P15" s="207"/>
      <c r="Q15" s="207"/>
      <c r="R15" s="207"/>
      <c r="S15" s="2"/>
      <c r="T15" s="207"/>
    </row>
    <row r="16" spans="1:30" ht="18">
      <c r="A16" s="131"/>
      <c r="B16" s="150" t="s">
        <v>143</v>
      </c>
      <c r="C16" s="151"/>
      <c r="D16" s="151" t="s">
        <v>144</v>
      </c>
      <c r="E16" s="152"/>
      <c r="F16" s="152"/>
      <c r="G16" s="153" t="e">
        <v>#REF!</v>
      </c>
      <c r="H16" s="154"/>
      <c r="I16" s="155"/>
      <c r="L16" s="210"/>
      <c r="M16" s="4"/>
      <c r="N16" s="211" t="s">
        <v>144</v>
      </c>
      <c r="O16" s="210"/>
      <c r="P16" s="210"/>
      <c r="Q16" s="210"/>
      <c r="R16" s="210"/>
      <c r="S16" s="2"/>
      <c r="T16" s="210"/>
    </row>
    <row r="17" spans="1:20" ht="18">
      <c r="A17" s="131"/>
      <c r="B17" s="150" t="s">
        <v>145</v>
      </c>
      <c r="C17" s="156"/>
      <c r="D17" s="157" t="s">
        <v>73</v>
      </c>
      <c r="E17" s="157"/>
      <c r="F17" s="157"/>
      <c r="G17" s="153" t="e">
        <v>#REF!</v>
      </c>
      <c r="H17" s="154"/>
      <c r="I17" s="155"/>
      <c r="L17" s="210"/>
      <c r="M17" s="4"/>
      <c r="N17" s="212"/>
      <c r="O17" s="210"/>
      <c r="P17" s="210"/>
      <c r="Q17" s="210"/>
      <c r="R17" s="210"/>
      <c r="S17" s="2"/>
      <c r="T17" s="210"/>
    </row>
    <row r="18" spans="1:20" ht="18.75" thickBot="1">
      <c r="A18" s="131"/>
      <c r="B18" s="150" t="s">
        <v>146</v>
      </c>
      <c r="C18" s="156"/>
      <c r="D18" s="157" t="s">
        <v>147</v>
      </c>
      <c r="E18" s="157"/>
      <c r="F18" s="238"/>
      <c r="G18" s="158" t="e">
        <f>+#REF!</f>
        <v>#REF!</v>
      </c>
      <c r="H18" s="154"/>
      <c r="I18" s="155"/>
    </row>
    <row r="19" spans="1:20" ht="18.75" thickBot="1">
      <c r="A19" s="131"/>
      <c r="B19" s="159" t="s">
        <v>148</v>
      </c>
      <c r="C19" s="160"/>
      <c r="D19" s="161" t="s">
        <v>149</v>
      </c>
      <c r="E19" s="161"/>
      <c r="F19" s="161"/>
      <c r="G19" s="162" t="e">
        <f>SUM(G16:G18)</f>
        <v>#REF!</v>
      </c>
      <c r="H19" s="163">
        <f>SUM(H16:H18)</f>
        <v>0</v>
      </c>
      <c r="I19" s="163">
        <f>SUM(I16:I18)</f>
        <v>0</v>
      </c>
    </row>
    <row r="20" spans="1:20" ht="18">
      <c r="A20" s="131"/>
      <c r="B20" s="164"/>
      <c r="C20" s="165"/>
      <c r="D20" s="166"/>
      <c r="E20" s="166"/>
      <c r="F20" s="167"/>
      <c r="G20" s="153"/>
      <c r="H20" s="154"/>
      <c r="I20" s="154"/>
    </row>
    <row r="21" spans="1:20" ht="18">
      <c r="A21" s="131"/>
      <c r="B21" s="168" t="s">
        <v>150</v>
      </c>
      <c r="C21" s="146"/>
      <c r="D21" s="146"/>
      <c r="E21" s="152" t="s">
        <v>267</v>
      </c>
      <c r="F21" s="169">
        <v>0.14081126302056399</v>
      </c>
      <c r="G21" s="153"/>
      <c r="H21" s="154">
        <f t="shared" ref="H21" si="0">+$F$21*$H$19</f>
        <v>0</v>
      </c>
      <c r="I21" s="154">
        <f t="shared" ref="I21" si="1">+$F$21*$I$19</f>
        <v>0</v>
      </c>
    </row>
    <row r="22" spans="1:20" ht="18">
      <c r="A22" s="131"/>
      <c r="B22" s="168"/>
      <c r="C22" s="146"/>
      <c r="D22" s="146"/>
      <c r="E22" s="152" t="s">
        <v>268</v>
      </c>
      <c r="F22" s="169">
        <v>4.4134985270262101E-3</v>
      </c>
      <c r="G22" s="153"/>
      <c r="H22" s="154">
        <f>+$F$22*$H$19</f>
        <v>0</v>
      </c>
      <c r="I22" s="154">
        <f>+$F$22*$I$19</f>
        <v>0</v>
      </c>
    </row>
    <row r="23" spans="1:20" ht="18.75" thickBot="1">
      <c r="A23" s="131"/>
      <c r="B23" s="168" t="s">
        <v>151</v>
      </c>
      <c r="C23" s="146"/>
      <c r="D23" s="146"/>
      <c r="E23" s="152" t="s">
        <v>152</v>
      </c>
      <c r="F23" s="170">
        <v>0.1</v>
      </c>
      <c r="G23" s="153" t="e">
        <v>#REF!</v>
      </c>
      <c r="H23" s="154">
        <f>+$F$23*$H$19</f>
        <v>0</v>
      </c>
      <c r="I23" s="154">
        <f>+$F$23*$I$19</f>
        <v>0</v>
      </c>
    </row>
    <row r="24" spans="1:20" ht="18">
      <c r="A24" s="131"/>
      <c r="B24" s="171"/>
      <c r="C24" s="165"/>
      <c r="D24" s="165"/>
      <c r="E24" s="172"/>
      <c r="F24" s="172"/>
      <c r="G24" s="173"/>
      <c r="H24" s="174"/>
      <c r="I24" s="174"/>
    </row>
    <row r="25" spans="1:20" ht="18">
      <c r="A25" s="131"/>
      <c r="B25" s="168" t="s">
        <v>214</v>
      </c>
      <c r="C25" s="175"/>
      <c r="D25" s="175"/>
      <c r="E25" s="152" t="s">
        <v>215</v>
      </c>
      <c r="F25" s="169">
        <v>0.18</v>
      </c>
      <c r="G25" s="177"/>
      <c r="H25" s="178"/>
      <c r="I25" s="178">
        <f>SUM(I19:I23)*$F$25</f>
        <v>0</v>
      </c>
    </row>
    <row r="26" spans="1:20" ht="18">
      <c r="A26" s="131"/>
      <c r="B26" s="168"/>
      <c r="C26" s="175"/>
      <c r="D26" s="175"/>
      <c r="E26" s="134"/>
      <c r="F26" s="134"/>
      <c r="G26" s="177"/>
      <c r="H26" s="178"/>
      <c r="I26" s="178"/>
    </row>
    <row r="27" spans="1:20" ht="18">
      <c r="A27" s="131"/>
      <c r="B27" s="150" t="s">
        <v>97</v>
      </c>
      <c r="C27" s="175"/>
      <c r="D27" s="176" t="s">
        <v>264</v>
      </c>
      <c r="E27" s="176"/>
      <c r="F27" s="176"/>
      <c r="G27" s="177" t="e">
        <f>SUM(G19:G23)</f>
        <v>#REF!</v>
      </c>
      <c r="H27" s="178"/>
      <c r="I27" s="178">
        <f>SUM(I19:I25)</f>
        <v>0</v>
      </c>
    </row>
    <row r="28" spans="1:20" ht="16.5" thickBot="1">
      <c r="A28" s="131"/>
      <c r="B28" s="179"/>
      <c r="C28" s="180"/>
      <c r="D28" s="181"/>
      <c r="E28" s="182"/>
      <c r="F28" s="182"/>
      <c r="G28" s="183"/>
      <c r="H28" s="184"/>
      <c r="I28" s="184"/>
    </row>
    <row r="29" spans="1:20">
      <c r="A29" s="131"/>
      <c r="B29" s="185"/>
      <c r="C29" s="186"/>
      <c r="D29" s="186"/>
      <c r="E29" s="186"/>
      <c r="F29" s="186"/>
      <c r="G29" s="131"/>
      <c r="H29" s="131"/>
      <c r="I29" s="131"/>
    </row>
  </sheetData>
  <mergeCells count="14">
    <mergeCell ref="B2:I2"/>
    <mergeCell ref="B9:I9"/>
    <mergeCell ref="B13:B14"/>
    <mergeCell ref="C13:F14"/>
    <mergeCell ref="G13:G14"/>
    <mergeCell ref="H13:I13"/>
    <mergeCell ref="D7:I7"/>
    <mergeCell ref="V3:AD3"/>
    <mergeCell ref="L12:L14"/>
    <mergeCell ref="Q12:Q14"/>
    <mergeCell ref="R12:R14"/>
    <mergeCell ref="P12:P14"/>
    <mergeCell ref="M12:N14"/>
    <mergeCell ref="O12:O14"/>
  </mergeCells>
  <conditionalFormatting sqref="H13:I14">
    <cfRule type="cellIs" dxfId="0" priority="6" stopIfTrue="1" operator="equal">
      <formula>0</formula>
    </cfRule>
  </conditionalFormatting>
  <pageMargins left="0.7" right="0.7" top="0.75" bottom="0.75" header="0.3" footer="0.3"/>
  <pageSetup paperSize="120" scale="18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9DF4-1AFE-4E6A-A971-2683EA70C85C}">
  <dimension ref="A1:E7"/>
  <sheetViews>
    <sheetView workbookViewId="0">
      <selection activeCell="C8" sqref="C8"/>
    </sheetView>
  </sheetViews>
  <sheetFormatPr defaultRowHeight="12.75"/>
  <cols>
    <col min="2" max="2" width="76.85546875" bestFit="1" customWidth="1"/>
    <col min="3" max="3" width="13.28515625" bestFit="1" customWidth="1"/>
    <col min="4" max="4" width="8" bestFit="1" customWidth="1"/>
    <col min="5" max="5" width="11.140625" bestFit="1" customWidth="1"/>
  </cols>
  <sheetData>
    <row r="1" spans="1:5" ht="14.25">
      <c r="A1" s="444" t="s">
        <v>449</v>
      </c>
      <c r="B1" s="444" t="s">
        <v>450</v>
      </c>
      <c r="C1" s="444" t="s">
        <v>453</v>
      </c>
      <c r="D1" s="444" t="s">
        <v>451</v>
      </c>
      <c r="E1" s="444" t="s">
        <v>452</v>
      </c>
    </row>
    <row r="2" spans="1:5" ht="14.25">
      <c r="A2" s="446">
        <v>8</v>
      </c>
      <c r="B2" s="445" t="s">
        <v>454</v>
      </c>
      <c r="C2" t="s">
        <v>463</v>
      </c>
      <c r="D2" t="s">
        <v>460</v>
      </c>
      <c r="E2" t="s">
        <v>462</v>
      </c>
    </row>
    <row r="3" spans="1:5" ht="14.25">
      <c r="A3" s="446">
        <v>9</v>
      </c>
      <c r="B3" s="1" t="s">
        <v>455</v>
      </c>
      <c r="C3" t="s">
        <v>464</v>
      </c>
      <c r="D3" t="s">
        <v>461</v>
      </c>
      <c r="E3" t="s">
        <v>462</v>
      </c>
    </row>
    <row r="4" spans="1:5" ht="14.25">
      <c r="A4" s="446">
        <v>10</v>
      </c>
      <c r="B4" s="1" t="s">
        <v>456</v>
      </c>
      <c r="C4" t="s">
        <v>465</v>
      </c>
      <c r="D4" t="s">
        <v>460</v>
      </c>
      <c r="E4" t="s">
        <v>462</v>
      </c>
    </row>
    <row r="5" spans="1:5" ht="14.25">
      <c r="A5" s="446">
        <v>11</v>
      </c>
      <c r="B5" s="1" t="s">
        <v>457</v>
      </c>
      <c r="C5" t="s">
        <v>466</v>
      </c>
      <c r="D5" t="s">
        <v>460</v>
      </c>
      <c r="E5" t="s">
        <v>462</v>
      </c>
    </row>
    <row r="6" spans="1:5" ht="14.25">
      <c r="A6" s="446">
        <v>12</v>
      </c>
      <c r="B6" s="1" t="s">
        <v>458</v>
      </c>
      <c r="C6" t="s">
        <v>467</v>
      </c>
      <c r="D6" t="s">
        <v>460</v>
      </c>
      <c r="E6" t="s">
        <v>462</v>
      </c>
    </row>
    <row r="7" spans="1:5" ht="14.25">
      <c r="A7" s="446">
        <v>15</v>
      </c>
      <c r="B7" s="1" t="s">
        <v>459</v>
      </c>
      <c r="C7" t="s">
        <v>468</v>
      </c>
      <c r="D7" t="s">
        <v>460</v>
      </c>
      <c r="E7" t="s">
        <v>462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0F1D-C805-4D74-BA81-ED5F53F4DF4C}">
  <dimension ref="A1:F10"/>
  <sheetViews>
    <sheetView tabSelected="1" workbookViewId="0">
      <selection activeCell="F16" sqref="F16"/>
    </sheetView>
  </sheetViews>
  <sheetFormatPr defaultColWidth="11.42578125" defaultRowHeight="12.75"/>
  <cols>
    <col min="1" max="1" width="29.85546875" customWidth="1"/>
    <col min="6" max="6" width="12.42578125" bestFit="1" customWidth="1"/>
  </cols>
  <sheetData>
    <row r="1" spans="1:6">
      <c r="A1" s="297" t="s">
        <v>469</v>
      </c>
      <c r="B1" s="447" t="s">
        <v>470</v>
      </c>
    </row>
    <row r="2" spans="1:6">
      <c r="A2" s="449" t="s">
        <v>450</v>
      </c>
      <c r="B2" s="448" t="s">
        <v>471</v>
      </c>
      <c r="F2" s="449" t="s">
        <v>483</v>
      </c>
    </row>
    <row r="3" spans="1:6">
      <c r="A3" s="449" t="s">
        <v>472</v>
      </c>
      <c r="B3" s="448" t="s">
        <v>473</v>
      </c>
      <c r="F3" s="450" t="s">
        <v>484</v>
      </c>
    </row>
    <row r="4" spans="1:6">
      <c r="A4" s="449" t="s">
        <v>451</v>
      </c>
      <c r="B4" s="448" t="s">
        <v>474</v>
      </c>
    </row>
    <row r="5" spans="1:6">
      <c r="A5" s="449" t="s">
        <v>475</v>
      </c>
      <c r="B5" s="448" t="s">
        <v>476</v>
      </c>
    </row>
    <row r="6" spans="1:6">
      <c r="A6" s="449" t="s">
        <v>477</v>
      </c>
      <c r="B6" s="448" t="s">
        <v>485</v>
      </c>
    </row>
    <row r="7" spans="1:6">
      <c r="A7" s="449" t="s">
        <v>478</v>
      </c>
      <c r="B7" s="448" t="s">
        <v>479</v>
      </c>
    </row>
    <row r="8" spans="1:6">
      <c r="A8" s="450" t="s">
        <v>480</v>
      </c>
      <c r="B8" s="448">
        <v>47</v>
      </c>
    </row>
    <row r="9" spans="1:6">
      <c r="A9" s="450" t="s">
        <v>481</v>
      </c>
      <c r="B9" s="448" t="s">
        <v>482</v>
      </c>
    </row>
    <row r="10" spans="1:6">
      <c r="A10" s="589" t="s">
        <v>486</v>
      </c>
      <c r="B10" s="590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28</vt:i4>
      </vt:variant>
    </vt:vector>
  </HeadingPairs>
  <TitlesOfParts>
    <vt:vector size="35" baseType="lpstr">
      <vt:lpstr>DATOS</vt:lpstr>
      <vt:lpstr>BD_LP</vt:lpstr>
      <vt:lpstr>P_0</vt:lpstr>
      <vt:lpstr>M_0</vt:lpstr>
      <vt:lpstr>Heaths</vt:lpstr>
      <vt:lpstr>General</vt:lpstr>
      <vt:lpstr>Configuracion</vt:lpstr>
      <vt:lpstr>P_0!AISLAMIENTO</vt:lpstr>
      <vt:lpstr>EXCV_PAT</vt:lpstr>
      <vt:lpstr>EXCV_RET</vt:lpstr>
      <vt:lpstr>P_0!F_COND</vt:lpstr>
      <vt:lpstr>F_COND</vt:lpstr>
      <vt:lpstr>GenTransporte</vt:lpstr>
      <vt:lpstr>Globales</vt:lpstr>
      <vt:lpstr>IsStudy</vt:lpstr>
      <vt:lpstr>LP_ARMADOS</vt:lpstr>
      <vt:lpstr>Modo</vt:lpstr>
      <vt:lpstr>PORCENTAJE_ROCA</vt:lpstr>
      <vt:lpstr>PorTransporte</vt:lpstr>
      <vt:lpstr>BD_LP!Print_Area</vt:lpstr>
      <vt:lpstr>Heaths!Print_Area</vt:lpstr>
      <vt:lpstr>M_0!Print_Area</vt:lpstr>
      <vt:lpstr>P_0!Print_Area</vt:lpstr>
      <vt:lpstr>BD_LP!Print_Titles</vt:lpstr>
      <vt:lpstr>M_0!Print_Titles</vt:lpstr>
      <vt:lpstr>P_0!Print_Titles</vt:lpstr>
      <vt:lpstr>Proyectos</vt:lpstr>
      <vt:lpstr>ser</vt:lpstr>
      <vt:lpstr>Thumedo</vt:lpstr>
      <vt:lpstr>Tnormal</vt:lpstr>
      <vt:lpstr>Trocoso</vt:lpstr>
      <vt:lpstr>VOL_EXC</vt:lpstr>
      <vt:lpstr>VOL_EXC_C</vt:lpstr>
      <vt:lpstr>VOL_EXC_N</vt:lpstr>
      <vt:lpstr>VOL_RYC_CAC</vt:lpstr>
    </vt:vector>
  </TitlesOfParts>
  <Company>CASAS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Angel Huayas</cp:lastModifiedBy>
  <cp:lastPrinted>2015-04-13T09:28:08Z</cp:lastPrinted>
  <dcterms:created xsi:type="dcterms:W3CDTF">2011-07-25T21:01:56Z</dcterms:created>
  <dcterms:modified xsi:type="dcterms:W3CDTF">2025-06-09T02:14:31Z</dcterms:modified>
</cp:coreProperties>
</file>